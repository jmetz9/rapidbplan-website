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Donh\Dropbox\RapidBplan Tools\"/>
    </mc:Choice>
  </mc:AlternateContent>
  <bookViews>
    <workbookView xWindow="480" yWindow="30" windowWidth="11355" windowHeight="5805" tabRatio="918" activeTab="1"/>
  </bookViews>
  <sheets>
    <sheet name="Personal Expense Budget" sheetId="20" r:id="rId1"/>
    <sheet name="0. Basic Info" sheetId="3" r:id="rId2"/>
    <sheet name="1. Sales Forecast" sheetId="11" r:id="rId3"/>
    <sheet name="2. Operating Budget" sheetId="19" r:id="rId4"/>
    <sheet name="3. Startup Costs" sheetId="8" r:id="rId5"/>
    <sheet name="4. Equipment &amp; Vehicle Costs" sheetId="1" r:id="rId6"/>
    <sheet name="5. Facility Costs" sheetId="2" r:id="rId7"/>
    <sheet name="6. Seasonality" sheetId="15" r:id="rId8"/>
    <sheet name="7. Funding Plan" sheetId="12" r:id="rId9"/>
    <sheet name="8. P&amp;L and Cashflow" sheetId="14" r:id="rId10"/>
    <sheet name="9. Sales Summary Tables" sheetId="17" r:id="rId11"/>
    <sheet name="10. Financial Summary Tables" sheetId="18" r:id="rId12"/>
    <sheet name="11. Balance Sheet" sheetId="21" r:id="rId13"/>
    <sheet name="12. Loan Detail" sheetId="13" r:id="rId14"/>
    <sheet name="BP Checklist" sheetId="16" state="hidden" r:id="rId15"/>
  </sheets>
  <externalReferences>
    <externalReference r:id="rId16"/>
  </externalReferences>
  <definedNames>
    <definedName name="_xlnm._FilterDatabase" localSheetId="4" hidden="1">'3. Startup Costs'!$A$3:$G$63</definedName>
    <definedName name="_xlnm._FilterDatabase" localSheetId="5" hidden="1">'4. Equipment &amp; Vehicle Costs'!$A$4:$E$66</definedName>
    <definedName name="cash_balance_on_starting_date">[1]Funding!$B$11</definedName>
    <definedName name="depreciation">'[1]P&amp;L'!$A$36:$AN$36</definedName>
    <definedName name="dividends">'[1]Cash Flow'!$A$37:$AG$37</definedName>
    <definedName name="ending_inventory_balance">'[1]Inventory Detail'!$A$11:$AG$11</definedName>
    <definedName name="ending_receivables_balance">'[1]Receivables Detail'!$A$11:$AG$11</definedName>
    <definedName name="long_term_liabilities_principal_repayment">'[1]Cash Flow'!$A$34:$AG$34</definedName>
    <definedName name="net_profit">'[1]P&amp;L'!$A$94:$AG$94</definedName>
    <definedName name="new_current_borrowing">'[1]Cash Flow'!$A$14:$AG$14</definedName>
    <definedName name="new_investment_received">'[1]Cash Flow'!$A$19:$AG$19</definedName>
    <definedName name="new_long_term_liabilities">'[1]Cash Flow'!$A$16:$AG$16</definedName>
    <definedName name="new_other_liabilities_interest_free">'[1]Cash Flow'!$A$15:$AG$15</definedName>
    <definedName name="other_liabilities_principal_repayment">'[1]Cash Flow'!$A$33:$AG$33</definedName>
    <definedName name="past_capital_assets">[1]Past!$D$21</definedName>
    <definedName name="past_performance_accounts_payable">[1]Past!$D$28</definedName>
    <definedName name="past_performance_accounts_receivable">[1]Past!$D$15</definedName>
    <definedName name="past_performance_accumulated_depreciation">[1]Past!$D$22</definedName>
    <definedName name="past_performance_cash">[1]Past!$D$14</definedName>
    <definedName name="past_performance_current_borrowing">[1]Past!$D$29</definedName>
    <definedName name="past_performance_earnings">[1]Past!$D$38</definedName>
    <definedName name="past_performance_inventory">[1]Past!$D$16</definedName>
    <definedName name="past_performance_long_term_liabilities">[1]Past!$D$33</definedName>
    <definedName name="past_performance_other_current_assets">[1]Past!$D$17</definedName>
    <definedName name="past_performance_other_current_liabilities">[1]Past!$D$30</definedName>
    <definedName name="past_performance_paid_in_capital">[1]Past!$D$36</definedName>
    <definedName name="principal_repayment_of_current_borrowing">'[1]Cash Flow'!$A$32:$AG$32</definedName>
    <definedName name="_xlnm.Print_Area" localSheetId="1">'0. Basic Info'!$A$1:$F$40</definedName>
    <definedName name="_xlnm.Print_Area" localSheetId="2">'1. Sales Forecast'!$A$1:$G$74</definedName>
    <definedName name="_xlnm.Print_Area" localSheetId="12">'11. Balance Sheet'!$A$5:$AC$77</definedName>
    <definedName name="_xlnm.Print_Area" localSheetId="3">'2. Operating Budget'!$A$1:$L$44</definedName>
    <definedName name="_xlnm.Print_Area" localSheetId="9">'8. P&amp;L and Cashflow'!$A$5:$AC$77</definedName>
    <definedName name="PS_Accrual">[1]Logistics!$B$17</definedName>
    <definedName name="PS_DateSetting">[1]Logistics!$B$30</definedName>
    <definedName name="PS_Inventory">[1]Logistics!$B$15</definedName>
    <definedName name="PS_Nonprofit">[1]Logistics!$B$14</definedName>
    <definedName name="PS_Receivables">[1]Logistics!$B$16</definedName>
    <definedName name="PS_StartingMonth">[1]Logistics!$B$19</definedName>
    <definedName name="PS_StartingYear">[1]Logistics!$B$20</definedName>
    <definedName name="PS_Startup">[1]Logistics!$B$12</definedName>
    <definedName name="purchase_long_term_assets">'[1]Cash Flow'!$A$36:$AG$36</definedName>
    <definedName name="purchase_other_current_assets">'[1]Cash Flow'!$A$35:$AG$35</definedName>
    <definedName name="sales_of_long_term_assets">'[1]Cash Flow'!$A$18:$AG$18</definedName>
    <definedName name="sales_of_other_current_assets">'[1]Cash Flow'!$A$17:$AG$17</definedName>
    <definedName name="sales_tax_vat_hst_gst_paidout">'[1]Cash Flow'!$A$31:$AG$31</definedName>
    <definedName name="sales_tax_vat_hst_gst_received">'[1]Cash Flow'!$A$13:$AG$13</definedName>
    <definedName name="startup_current_borrowing">[1]Funding!$B$18</definedName>
    <definedName name="startup_inventory">'[1]Start-up'!$B$19</definedName>
    <definedName name="startup_long_term_assets">'[1]Start-up'!$B$21</definedName>
    <definedName name="startup_long_term_liabilities">[1]Funding!$B$19</definedName>
    <definedName name="startup_other_current_assets">'[1]Start-up'!$B$20</definedName>
    <definedName name="startup_other_current_liabilities">[1]Funding!$B$21</definedName>
    <definedName name="startup_total_investment">[1]Funding!$B$30</definedName>
  </definedNames>
  <calcPr calcId="171027"/>
</workbook>
</file>

<file path=xl/calcChain.xml><?xml version="1.0" encoding="utf-8"?>
<calcChain xmlns="http://schemas.openxmlformats.org/spreadsheetml/2006/main">
  <c r="AD4" i="13" l="1"/>
  <c r="AD12" i="13"/>
  <c r="P16" i="21"/>
  <c r="P17" i="21"/>
  <c r="AC12" i="21"/>
  <c r="AF12" i="21"/>
  <c r="AE12" i="21"/>
  <c r="AD12" i="21"/>
  <c r="AB12" i="21"/>
  <c r="AA12" i="21"/>
  <c r="Z12" i="21"/>
  <c r="Y12" i="21"/>
  <c r="X12" i="21"/>
  <c r="W12" i="21"/>
  <c r="V12" i="21"/>
  <c r="U12" i="21"/>
  <c r="T12" i="21"/>
  <c r="S12" i="21"/>
  <c r="R12" i="21"/>
  <c r="Q12" i="21"/>
  <c r="B63" i="14"/>
  <c r="D70" i="14"/>
  <c r="D67" i="14"/>
  <c r="D69" i="14"/>
  <c r="D68" i="14"/>
  <c r="O12" i="21"/>
  <c r="P12" i="21" s="1"/>
  <c r="N12" i="21"/>
  <c r="M12" i="21"/>
  <c r="L12" i="21"/>
  <c r="K12" i="21"/>
  <c r="J12" i="21"/>
  <c r="I12" i="21"/>
  <c r="H12" i="21"/>
  <c r="G12" i="21"/>
  <c r="F12" i="21"/>
  <c r="E12" i="21"/>
  <c r="D12" i="21"/>
  <c r="P73" i="14"/>
  <c r="BO24" i="13"/>
  <c r="BN24" i="13"/>
  <c r="BM24" i="13"/>
  <c r="BL24" i="13"/>
  <c r="BK24" i="13"/>
  <c r="BJ24" i="13"/>
  <c r="BI24" i="13"/>
  <c r="BH24" i="13"/>
  <c r="BG24" i="13"/>
  <c r="BF24" i="13"/>
  <c r="BE24" i="13"/>
  <c r="BD24" i="13"/>
  <c r="BO22" i="13"/>
  <c r="BN22" i="13"/>
  <c r="BM22" i="13"/>
  <c r="BL22" i="13"/>
  <c r="BK22" i="13"/>
  <c r="BJ22" i="13"/>
  <c r="BI22" i="13"/>
  <c r="BH22" i="13"/>
  <c r="BG22" i="13"/>
  <c r="BF22" i="13"/>
  <c r="BE22" i="13"/>
  <c r="BD22" i="13"/>
  <c r="AC73" i="14"/>
  <c r="D9" i="12" l="1"/>
  <c r="C9" i="12" s="1"/>
  <c r="D18" i="12"/>
  <c r="A20" i="13" l="1"/>
  <c r="AC75" i="14" l="1"/>
  <c r="AC74" i="14"/>
  <c r="AC72" i="14"/>
  <c r="AC70" i="14"/>
  <c r="AC68" i="14"/>
  <c r="AC67" i="14"/>
  <c r="P75" i="14"/>
  <c r="P74" i="14"/>
  <c r="P72" i="14"/>
  <c r="P70" i="14"/>
  <c r="P68" i="14"/>
  <c r="P67" i="14"/>
  <c r="G62" i="2" l="1"/>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4" i="2" s="1"/>
  <c r="G6" i="2"/>
  <c r="G5" i="2"/>
  <c r="G7" i="8" l="1"/>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F5" i="8"/>
  <c r="G5" i="8" s="1"/>
  <c r="F6" i="8"/>
  <c r="G6" i="8" s="1"/>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F6" i="1"/>
  <c r="G6" i="1" s="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AC4" i="21" l="1"/>
  <c r="AF8" i="21"/>
  <c r="AF21" i="21" s="1"/>
  <c r="AE8" i="21"/>
  <c r="AE21" i="21" s="1"/>
  <c r="AD8" i="21"/>
  <c r="AD21" i="21" s="1"/>
  <c r="AC8" i="21"/>
  <c r="AC21" i="21" s="1"/>
  <c r="P8" i="21"/>
  <c r="P21" i="21" s="1"/>
  <c r="AF4" i="21"/>
  <c r="AE4" i="21"/>
  <c r="AD4" i="21"/>
  <c r="P4" i="21"/>
  <c r="D8" i="21"/>
  <c r="D4" i="21" s="1"/>
  <c r="E8" i="21" l="1"/>
  <c r="E4" i="21" s="1"/>
  <c r="F8" i="21" l="1"/>
  <c r="F4" i="21" s="1"/>
  <c r="BB24" i="13"/>
  <c r="BA24" i="13"/>
  <c r="AZ24" i="13"/>
  <c r="AY24" i="13"/>
  <c r="AX24" i="13"/>
  <c r="AW24" i="13"/>
  <c r="AV24" i="13"/>
  <c r="AU24" i="13"/>
  <c r="AT24" i="13"/>
  <c r="AS24" i="13"/>
  <c r="AR24" i="13"/>
  <c r="AQ24" i="13"/>
  <c r="BB22" i="13"/>
  <c r="BA22" i="13"/>
  <c r="AZ22" i="13"/>
  <c r="AY22" i="13"/>
  <c r="AX22" i="13"/>
  <c r="AW22" i="13"/>
  <c r="AV22" i="13"/>
  <c r="AU22" i="13"/>
  <c r="AT22" i="13"/>
  <c r="AS22" i="13"/>
  <c r="AR22" i="13"/>
  <c r="AQ22" i="13"/>
  <c r="AO24" i="13"/>
  <c r="AN24" i="13"/>
  <c r="AM24" i="13"/>
  <c r="AL24" i="13"/>
  <c r="AK24" i="13"/>
  <c r="AJ24" i="13"/>
  <c r="AI24" i="13"/>
  <c r="AH24" i="13"/>
  <c r="AG24" i="13"/>
  <c r="AF24" i="13"/>
  <c r="AE24" i="13"/>
  <c r="AD24" i="13"/>
  <c r="AO22" i="13"/>
  <c r="AN22" i="13"/>
  <c r="AM22" i="13"/>
  <c r="AL22" i="13"/>
  <c r="AK22" i="13"/>
  <c r="AJ22" i="13"/>
  <c r="AI22" i="13"/>
  <c r="AH22" i="13"/>
  <c r="AG22" i="13"/>
  <c r="AF22" i="13"/>
  <c r="AE22" i="13"/>
  <c r="AD22" i="13"/>
  <c r="D80" i="14"/>
  <c r="E80" i="14" s="1"/>
  <c r="F80" i="14" s="1"/>
  <c r="G80" i="14" s="1"/>
  <c r="H80" i="14" s="1"/>
  <c r="I80" i="14" s="1"/>
  <c r="J80" i="14" s="1"/>
  <c r="K80" i="14" s="1"/>
  <c r="L80" i="14" s="1"/>
  <c r="M80" i="14" s="1"/>
  <c r="N80" i="14" s="1"/>
  <c r="O80" i="14" s="1"/>
  <c r="C24" i="21"/>
  <c r="C26" i="21" s="1"/>
  <c r="C17" i="21"/>
  <c r="A1" i="21"/>
  <c r="O24" i="21" l="1"/>
  <c r="O26" i="21" s="1"/>
  <c r="P80" i="14"/>
  <c r="P24" i="21" s="1"/>
  <c r="P26" i="21" s="1"/>
  <c r="G8" i="21"/>
  <c r="G4" i="21" s="1"/>
  <c r="H8" i="21" s="1"/>
  <c r="E21" i="21"/>
  <c r="D21" i="21"/>
  <c r="F21" i="21"/>
  <c r="I24" i="21"/>
  <c r="I26" i="21" s="1"/>
  <c r="M24" i="21"/>
  <c r="M26" i="21" s="1"/>
  <c r="J24" i="21"/>
  <c r="J26" i="21" s="1"/>
  <c r="H24" i="21"/>
  <c r="H26" i="21" s="1"/>
  <c r="L24" i="21"/>
  <c r="L26" i="21" s="1"/>
  <c r="E24" i="21"/>
  <c r="E26" i="21" s="1"/>
  <c r="F24" i="21"/>
  <c r="F26" i="21" s="1"/>
  <c r="N24" i="21"/>
  <c r="N26" i="21" s="1"/>
  <c r="D24" i="21"/>
  <c r="D26" i="21" s="1"/>
  <c r="G24" i="21"/>
  <c r="G26" i="21" s="1"/>
  <c r="K24" i="21"/>
  <c r="K26" i="21" s="1"/>
  <c r="C29" i="21"/>
  <c r="G21" i="21" l="1"/>
  <c r="H4" i="21"/>
  <c r="I8" i="21" s="1"/>
  <c r="H21" i="21"/>
  <c r="I4" i="21" l="1"/>
  <c r="J8" i="21" s="1"/>
  <c r="I21" i="21"/>
  <c r="J4" i="21" l="1"/>
  <c r="K8" i="21" s="1"/>
  <c r="J21" i="21"/>
  <c r="K4" i="21" l="1"/>
  <c r="L8" i="21" s="1"/>
  <c r="K21" i="21"/>
  <c r="L4" i="21" l="1"/>
  <c r="M8" i="21" s="1"/>
  <c r="L21" i="21"/>
  <c r="M4" i="21" l="1"/>
  <c r="N8" i="21" s="1"/>
  <c r="N4" i="21" s="1"/>
  <c r="M21" i="21"/>
  <c r="O8" i="21" l="1"/>
  <c r="O4" i="21" s="1"/>
  <c r="N21" i="21"/>
  <c r="Q8" i="21" l="1"/>
  <c r="Q4" i="21" s="1"/>
  <c r="O21" i="21"/>
  <c r="R8" i="21" l="1"/>
  <c r="R4" i="21" s="1"/>
  <c r="Q21" i="21"/>
  <c r="S8" i="21" l="1"/>
  <c r="S4" i="21" s="1"/>
  <c r="R21" i="21"/>
  <c r="F12" i="11"/>
  <c r="F11" i="11"/>
  <c r="F10" i="11"/>
  <c r="F9" i="11"/>
  <c r="F8" i="11"/>
  <c r="F7" i="11"/>
  <c r="F6" i="11"/>
  <c r="T8" i="21" l="1"/>
  <c r="T4" i="21" s="1"/>
  <c r="S21" i="21"/>
  <c r="BP24" i="13"/>
  <c r="BP22" i="13"/>
  <c r="BC24" i="13"/>
  <c r="BC22" i="13"/>
  <c r="AP24" i="13"/>
  <c r="AP22" i="13"/>
  <c r="AB22" i="13"/>
  <c r="AA22" i="13"/>
  <c r="Z22" i="13"/>
  <c r="Y22" i="13"/>
  <c r="X22" i="13"/>
  <c r="W22" i="13"/>
  <c r="V22" i="13"/>
  <c r="U22" i="13"/>
  <c r="T22" i="13"/>
  <c r="S22" i="13"/>
  <c r="R22" i="13"/>
  <c r="AB24" i="13"/>
  <c r="AA24" i="13"/>
  <c r="Z24" i="13"/>
  <c r="Y24" i="13"/>
  <c r="X24" i="13"/>
  <c r="W24" i="13"/>
  <c r="V24" i="13"/>
  <c r="U24" i="13"/>
  <c r="T24" i="13"/>
  <c r="S24" i="13"/>
  <c r="R24" i="13"/>
  <c r="Q24" i="13"/>
  <c r="Q22" i="13"/>
  <c r="AF6" i="14"/>
  <c r="AE6" i="14"/>
  <c r="AD6" i="14"/>
  <c r="AC6" i="14"/>
  <c r="AB6" i="14"/>
  <c r="AA6" i="14"/>
  <c r="Z6" i="14"/>
  <c r="Y6" i="14"/>
  <c r="X6" i="14"/>
  <c r="W6" i="14"/>
  <c r="V6" i="14"/>
  <c r="U6" i="14"/>
  <c r="T6" i="14"/>
  <c r="S6" i="14"/>
  <c r="R6" i="14"/>
  <c r="Q6" i="14"/>
  <c r="L63" i="15"/>
  <c r="K63" i="15"/>
  <c r="J63" i="15"/>
  <c r="I63" i="15"/>
  <c r="H63" i="15"/>
  <c r="G63" i="15"/>
  <c r="F63" i="15"/>
  <c r="E63" i="15"/>
  <c r="D63" i="15"/>
  <c r="C63" i="15"/>
  <c r="B63" i="15"/>
  <c r="A63" i="15"/>
  <c r="L52" i="15"/>
  <c r="K52" i="15"/>
  <c r="J52" i="15"/>
  <c r="I52" i="15"/>
  <c r="H52" i="15"/>
  <c r="G52" i="15"/>
  <c r="F52" i="15"/>
  <c r="E52" i="15"/>
  <c r="D52" i="15"/>
  <c r="C52" i="15"/>
  <c r="B52" i="15"/>
  <c r="A52" i="15"/>
  <c r="U8" i="21" l="1"/>
  <c r="U4" i="21" s="1"/>
  <c r="T21" i="21"/>
  <c r="M52" i="15"/>
  <c r="V8" i="21" l="1"/>
  <c r="V4" i="21" s="1"/>
  <c r="U21" i="21"/>
  <c r="W8" i="21" l="1"/>
  <c r="W4" i="21" s="1"/>
  <c r="V21" i="21"/>
  <c r="X8" i="21" l="1"/>
  <c r="X4" i="21" s="1"/>
  <c r="W21" i="21"/>
  <c r="AF64" i="14"/>
  <c r="AE64" i="14"/>
  <c r="AD64" i="14"/>
  <c r="AC64" i="14"/>
  <c r="AB12" i="14"/>
  <c r="AA64" i="14"/>
  <c r="Z64" i="14"/>
  <c r="Y64" i="14"/>
  <c r="X64" i="14"/>
  <c r="W64" i="14"/>
  <c r="V64" i="14"/>
  <c r="U64" i="14"/>
  <c r="T64" i="14"/>
  <c r="S64" i="14"/>
  <c r="R64" i="14"/>
  <c r="Q64" i="14"/>
  <c r="AF2" i="14"/>
  <c r="AE6" i="19" s="1"/>
  <c r="AE2" i="14"/>
  <c r="AD6" i="19" s="1"/>
  <c r="AD2" i="14"/>
  <c r="AC6" i="19" s="1"/>
  <c r="AC2" i="14"/>
  <c r="AB6" i="19" s="1"/>
  <c r="AB2" i="14"/>
  <c r="AA2" i="14"/>
  <c r="Z2" i="14"/>
  <c r="Y2" i="14"/>
  <c r="X2" i="14"/>
  <c r="W2" i="14"/>
  <c r="V2" i="14"/>
  <c r="U2" i="14"/>
  <c r="T2" i="14"/>
  <c r="S2" i="14"/>
  <c r="R2" i="14"/>
  <c r="Q2" i="14"/>
  <c r="Y8" i="21" l="1"/>
  <c r="Y4" i="21" s="1"/>
  <c r="X21" i="21"/>
  <c r="AB64" i="14"/>
  <c r="Q12" i="14"/>
  <c r="Y12" i="14"/>
  <c r="S12" i="14"/>
  <c r="AA12" i="14"/>
  <c r="U12" i="14"/>
  <c r="AC12" i="14"/>
  <c r="W12" i="14"/>
  <c r="AE12" i="14"/>
  <c r="R12" i="14"/>
  <c r="V12" i="14"/>
  <c r="Z12" i="14"/>
  <c r="AD12" i="14"/>
  <c r="T12" i="14"/>
  <c r="X12" i="14"/>
  <c r="AF12" i="14"/>
  <c r="Z8" i="21" l="1"/>
  <c r="Z4" i="21" s="1"/>
  <c r="Y21" i="21"/>
  <c r="L1" i="20"/>
  <c r="AA8" i="21" l="1"/>
  <c r="AA4" i="21" s="1"/>
  <c r="Z21" i="21"/>
  <c r="AB8" i="21" l="1"/>
  <c r="AA21" i="21"/>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27" i="20"/>
  <c r="G26" i="20"/>
  <c r="G25" i="20"/>
  <c r="G24" i="20"/>
  <c r="G23" i="20"/>
  <c r="G22" i="20"/>
  <c r="G21" i="20"/>
  <c r="G20" i="20"/>
  <c r="G18" i="20"/>
  <c r="G17" i="20"/>
  <c r="G16" i="20"/>
  <c r="G15" i="20"/>
  <c r="G14" i="20"/>
  <c r="G13" i="20"/>
  <c r="G12" i="20"/>
  <c r="G11" i="20"/>
  <c r="G10" i="20"/>
  <c r="G9" i="20"/>
  <c r="G8" i="20"/>
  <c r="G7" i="20"/>
  <c r="G6" i="20"/>
  <c r="F60" i="20"/>
  <c r="F59"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27" i="20"/>
  <c r="F26" i="20"/>
  <c r="F25" i="20"/>
  <c r="F24" i="20"/>
  <c r="F23" i="20"/>
  <c r="F22" i="20"/>
  <c r="F21" i="20"/>
  <c r="F20" i="20"/>
  <c r="F18" i="20"/>
  <c r="F17" i="20"/>
  <c r="F16" i="20"/>
  <c r="F15" i="20"/>
  <c r="F14" i="20"/>
  <c r="F13" i="20"/>
  <c r="F12" i="20"/>
  <c r="F11" i="20"/>
  <c r="F10" i="20"/>
  <c r="F9" i="20"/>
  <c r="F8" i="20"/>
  <c r="F7" i="20"/>
  <c r="F6" i="20"/>
  <c r="E60" i="20"/>
  <c r="E59"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8" i="20"/>
  <c r="E17" i="20"/>
  <c r="E16" i="20"/>
  <c r="E15" i="20"/>
  <c r="E14" i="20"/>
  <c r="E13" i="20"/>
  <c r="E12" i="20"/>
  <c r="E11" i="20"/>
  <c r="E10" i="20"/>
  <c r="E9" i="20"/>
  <c r="E8" i="20"/>
  <c r="E7" i="20"/>
  <c r="E6" i="20"/>
  <c r="D19" i="20"/>
  <c r="F19" i="20" s="1"/>
  <c r="E7" i="1"/>
  <c r="F7" i="1" s="1"/>
  <c r="AB21" i="21" l="1"/>
  <c r="AB4" i="21"/>
  <c r="E19" i="20"/>
  <c r="E1" i="20" s="1"/>
  <c r="F1" i="20"/>
  <c r="G19" i="20"/>
  <c r="G1" i="20" s="1"/>
  <c r="E3" i="19" l="1"/>
  <c r="D3" i="19" s="1"/>
  <c r="F15" i="2"/>
  <c r="F16" i="2"/>
  <c r="F17" i="2"/>
  <c r="F18" i="2"/>
  <c r="F19" i="2"/>
  <c r="F20" i="2"/>
  <c r="F21" i="2"/>
  <c r="F22" i="2"/>
  <c r="F23" i="2"/>
  <c r="F24" i="2"/>
  <c r="F25" i="2"/>
  <c r="F26" i="2"/>
  <c r="F27" i="2"/>
  <c r="F28" i="2"/>
  <c r="F29" i="2"/>
  <c r="F30" i="2"/>
  <c r="F31" i="2"/>
  <c r="F32" i="2"/>
  <c r="F33" i="2"/>
  <c r="F34" i="2"/>
  <c r="F35" i="2"/>
  <c r="F36" i="2"/>
  <c r="F37" i="2"/>
  <c r="F38" i="2"/>
  <c r="B30" i="12"/>
  <c r="E1" i="3" l="1"/>
  <c r="BP3" i="13"/>
  <c r="BC3" i="13"/>
  <c r="AP3" i="13"/>
  <c r="AC3" i="13"/>
  <c r="P3" i="13"/>
  <c r="A1" i="14"/>
  <c r="B14" i="14"/>
  <c r="B13"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G44" i="19"/>
  <c r="Z44" i="19" s="1"/>
  <c r="G43" i="19"/>
  <c r="Z43" i="19" s="1"/>
  <c r="G42" i="19"/>
  <c r="Z42" i="19" s="1"/>
  <c r="G41" i="19"/>
  <c r="Z41" i="19" s="1"/>
  <c r="G40" i="19"/>
  <c r="Z40" i="19" s="1"/>
  <c r="G39" i="19"/>
  <c r="Z39" i="19" s="1"/>
  <c r="G38" i="19"/>
  <c r="Z38" i="19" s="1"/>
  <c r="G37" i="19"/>
  <c r="Z37" i="19" s="1"/>
  <c r="G36" i="19"/>
  <c r="Z36" i="19" s="1"/>
  <c r="G35" i="19"/>
  <c r="Z35" i="19" s="1"/>
  <c r="G34" i="19"/>
  <c r="Z34" i="19" s="1"/>
  <c r="G33" i="19"/>
  <c r="Z33" i="19" s="1"/>
  <c r="G32" i="19"/>
  <c r="Z32" i="19" s="1"/>
  <c r="G31" i="19"/>
  <c r="Z31" i="19" s="1"/>
  <c r="G30" i="19"/>
  <c r="Z30" i="19" s="1"/>
  <c r="G29" i="19"/>
  <c r="Z29" i="19" s="1"/>
  <c r="G28" i="19"/>
  <c r="Z28" i="19" s="1"/>
  <c r="G27" i="19"/>
  <c r="Z27" i="19" s="1"/>
  <c r="G26" i="19"/>
  <c r="Z26" i="19" s="1"/>
  <c r="G25" i="19"/>
  <c r="Z25" i="19" s="1"/>
  <c r="G24" i="19"/>
  <c r="Z24" i="19" s="1"/>
  <c r="G23" i="19"/>
  <c r="Z23" i="19" s="1"/>
  <c r="G22" i="19"/>
  <c r="Z22" i="19" s="1"/>
  <c r="G21" i="19"/>
  <c r="Z21" i="19" s="1"/>
  <c r="G20" i="19"/>
  <c r="Z20" i="19" s="1"/>
  <c r="G19" i="19"/>
  <c r="Z19" i="19" s="1"/>
  <c r="G18" i="19"/>
  <c r="Z18" i="19" s="1"/>
  <c r="G17" i="19"/>
  <c r="Z17" i="19" s="1"/>
  <c r="G16" i="19"/>
  <c r="Z16" i="19" s="1"/>
  <c r="G15" i="19"/>
  <c r="Z15" i="19" s="1"/>
  <c r="G14" i="19"/>
  <c r="Z14" i="19" s="1"/>
  <c r="G13" i="19"/>
  <c r="Z13" i="19" s="1"/>
  <c r="G12" i="19"/>
  <c r="Z12" i="19" s="1"/>
  <c r="G11" i="19"/>
  <c r="Z11" i="19" s="1"/>
  <c r="G10" i="19"/>
  <c r="Z10" i="19" s="1"/>
  <c r="G9" i="19"/>
  <c r="Z9" i="19" s="1"/>
  <c r="H8" i="19"/>
  <c r="G8" i="19"/>
  <c r="Z8" i="19" s="1"/>
  <c r="G7" i="19"/>
  <c r="Z7" i="19" s="1"/>
  <c r="B15" i="14"/>
  <c r="B16" i="14"/>
  <c r="A1" i="19"/>
  <c r="C17" i="11"/>
  <c r="C58" i="14"/>
  <c r="A47" i="15" l="1"/>
  <c r="L47" i="15"/>
  <c r="K47" i="15"/>
  <c r="J47" i="15"/>
  <c r="I47" i="15"/>
  <c r="H47" i="15"/>
  <c r="G47" i="15"/>
  <c r="F47" i="15"/>
  <c r="E47" i="15"/>
  <c r="D47" i="15"/>
  <c r="C47" i="15"/>
  <c r="B47" i="15"/>
  <c r="P6" i="14"/>
  <c r="E1" i="11" l="1"/>
  <c r="C2" i="14" l="1"/>
  <c r="C12" i="14" l="1"/>
  <c r="A6" i="13" l="1"/>
  <c r="B42" i="18" l="1"/>
  <c r="A42" i="18"/>
  <c r="A41" i="18"/>
  <c r="A40" i="18"/>
  <c r="A39" i="18"/>
  <c r="A38" i="18"/>
  <c r="A37" i="18"/>
  <c r="A36" i="18"/>
  <c r="A35" i="18"/>
  <c r="A34" i="18"/>
  <c r="A33" i="18"/>
  <c r="A32" i="18"/>
  <c r="A31" i="18"/>
  <c r="A30" i="18"/>
  <c r="A29" i="18"/>
  <c r="A28" i="18"/>
  <c r="A27" i="18"/>
  <c r="A26" i="18"/>
  <c r="A25" i="18"/>
  <c r="A24" i="18"/>
  <c r="A23" i="18"/>
  <c r="A22" i="18"/>
  <c r="A21" i="18"/>
  <c r="A2" i="13" l="1"/>
  <c r="A1" i="12"/>
  <c r="A1" i="2"/>
  <c r="A1" i="1"/>
  <c r="A1" i="8"/>
  <c r="A1" i="15"/>
  <c r="F62" i="2"/>
  <c r="F61" i="2"/>
  <c r="F60" i="2"/>
  <c r="F59" i="2"/>
  <c r="F58" i="2"/>
  <c r="F57" i="2"/>
  <c r="F56" i="2"/>
  <c r="F55" i="2"/>
  <c r="F54" i="2"/>
  <c r="F53" i="2"/>
  <c r="F52" i="2"/>
  <c r="F51" i="2"/>
  <c r="F50" i="2"/>
  <c r="F49" i="2"/>
  <c r="F48" i="2"/>
  <c r="F47" i="2"/>
  <c r="F46" i="2"/>
  <c r="F45" i="2"/>
  <c r="F44" i="2"/>
  <c r="F43" i="2"/>
  <c r="F42" i="2"/>
  <c r="F41" i="2"/>
  <c r="F40" i="2"/>
  <c r="F39" i="2"/>
  <c r="F14" i="2"/>
  <c r="F13" i="2"/>
  <c r="F12" i="2"/>
  <c r="F11" i="2"/>
  <c r="F10" i="2"/>
  <c r="F9" i="2"/>
  <c r="F8" i="2"/>
  <c r="F7" i="2"/>
  <c r="F6" i="2"/>
  <c r="F5" i="2"/>
  <c r="E17" i="3" l="1"/>
  <c r="O24" i="13" l="1"/>
  <c r="N24" i="13"/>
  <c r="M24" i="13"/>
  <c r="L24" i="13"/>
  <c r="K24" i="13"/>
  <c r="J24" i="13"/>
  <c r="I24" i="13"/>
  <c r="H24" i="13"/>
  <c r="G24" i="13"/>
  <c r="F24" i="13"/>
  <c r="E24" i="13"/>
  <c r="O22" i="13"/>
  <c r="N22" i="13"/>
  <c r="M22" i="13"/>
  <c r="L22" i="13"/>
  <c r="K22" i="13"/>
  <c r="J22" i="13"/>
  <c r="I22" i="13"/>
  <c r="H22" i="13"/>
  <c r="G22" i="13"/>
  <c r="F22" i="13"/>
  <c r="E22" i="13"/>
  <c r="D24" i="13"/>
  <c r="D22" i="13"/>
  <c r="C75" i="14" l="1"/>
  <c r="B33" i="12" s="1"/>
  <c r="B32" i="12"/>
  <c r="B31" i="12"/>
  <c r="M36" i="15"/>
  <c r="L28" i="15"/>
  <c r="K28" i="15"/>
  <c r="J28" i="15"/>
  <c r="I28" i="15"/>
  <c r="H28" i="15"/>
  <c r="G28" i="15"/>
  <c r="F28" i="15"/>
  <c r="E28" i="15"/>
  <c r="D28" i="15"/>
  <c r="C28" i="15"/>
  <c r="B28" i="15"/>
  <c r="A28" i="15"/>
  <c r="Q80" i="14" l="1"/>
  <c r="M28" i="15"/>
  <c r="R80" i="14" l="1"/>
  <c r="Q24" i="21"/>
  <c r="Q26" i="21" s="1"/>
  <c r="C25" i="11"/>
  <c r="G15" i="15" s="1"/>
  <c r="D6" i="14"/>
  <c r="A35" i="15" s="1"/>
  <c r="A51" i="15" s="1"/>
  <c r="C45" i="11"/>
  <c r="A45" i="11"/>
  <c r="A70" i="11" s="1"/>
  <c r="A21" i="11"/>
  <c r="A58" i="11" s="1"/>
  <c r="C42" i="11"/>
  <c r="C43" i="11"/>
  <c r="D43" i="11" s="1"/>
  <c r="E43" i="11" s="1"/>
  <c r="F43" i="11" s="1"/>
  <c r="G43" i="11" s="1"/>
  <c r="C44" i="11"/>
  <c r="D44" i="11" s="1"/>
  <c r="E44" i="11" s="1"/>
  <c r="F44" i="11" s="1"/>
  <c r="G44" i="11" s="1"/>
  <c r="C46" i="11"/>
  <c r="C47" i="11"/>
  <c r="C48" i="11"/>
  <c r="A5" i="13"/>
  <c r="A13" i="13"/>
  <c r="A12" i="13"/>
  <c r="D12" i="13" s="1"/>
  <c r="P12" i="13" s="1"/>
  <c r="A14" i="13"/>
  <c r="A21" i="13"/>
  <c r="P52" i="14"/>
  <c r="AC24" i="13"/>
  <c r="AC22" i="13"/>
  <c r="P24" i="13"/>
  <c r="P22" i="13"/>
  <c r="D20" i="13"/>
  <c r="A11" i="13"/>
  <c r="D3" i="13"/>
  <c r="Q3" i="13" s="1"/>
  <c r="AD3" i="13" s="1"/>
  <c r="AQ3" i="13" s="1"/>
  <c r="A3" i="13"/>
  <c r="G23" i="12"/>
  <c r="F23" i="12"/>
  <c r="A48" i="11"/>
  <c r="A73" i="11" s="1"/>
  <c r="A47" i="11"/>
  <c r="A72" i="11" s="1"/>
  <c r="A46" i="11"/>
  <c r="A71" i="11" s="1"/>
  <c r="A44" i="11"/>
  <c r="A69" i="11" s="1"/>
  <c r="A43" i="11"/>
  <c r="A68" i="11" s="1"/>
  <c r="A42" i="11"/>
  <c r="A67" i="11" s="1"/>
  <c r="A41" i="11"/>
  <c r="A66" i="11" s="1"/>
  <c r="A24" i="11"/>
  <c r="A61" i="11" s="1"/>
  <c r="A23" i="11"/>
  <c r="A60" i="11" s="1"/>
  <c r="A22" i="11"/>
  <c r="A59" i="11" s="1"/>
  <c r="A20" i="11"/>
  <c r="A57" i="11" s="1"/>
  <c r="A19" i="11"/>
  <c r="A56" i="11" s="1"/>
  <c r="A18" i="11"/>
  <c r="A55" i="11" s="1"/>
  <c r="A17" i="11"/>
  <c r="A54" i="11" s="1"/>
  <c r="F68" i="1"/>
  <c r="G68" i="1"/>
  <c r="F69" i="1"/>
  <c r="G69" i="1"/>
  <c r="F70" i="1"/>
  <c r="G70" i="1"/>
  <c r="F71" i="1"/>
  <c r="G71" i="1"/>
  <c r="F72" i="1"/>
  <c r="G72" i="1"/>
  <c r="F73" i="1"/>
  <c r="G73" i="1"/>
  <c r="F74" i="1"/>
  <c r="G74" i="1"/>
  <c r="F75" i="1"/>
  <c r="G75" i="1"/>
  <c r="F76" i="1"/>
  <c r="G76" i="1"/>
  <c r="F77" i="1"/>
  <c r="G77" i="1"/>
  <c r="F78" i="1"/>
  <c r="G78" i="1"/>
  <c r="F79" i="1"/>
  <c r="G79" i="1"/>
  <c r="F80" i="1"/>
  <c r="G80" i="1"/>
  <c r="F81" i="1"/>
  <c r="G81" i="1"/>
  <c r="F82" i="1"/>
  <c r="G82" i="1"/>
  <c r="F4" i="8"/>
  <c r="G4" i="8" s="1"/>
  <c r="F2" i="2"/>
  <c r="F5" i="1"/>
  <c r="G5" i="1" s="1"/>
  <c r="P20" i="13" l="1"/>
  <c r="C55" i="11"/>
  <c r="D42" i="11"/>
  <c r="C60" i="11"/>
  <c r="D47" i="11"/>
  <c r="E47" i="11" s="1"/>
  <c r="F47" i="11" s="1"/>
  <c r="G47" i="11" s="1"/>
  <c r="C59" i="11"/>
  <c r="D46" i="11"/>
  <c r="E46" i="11" s="1"/>
  <c r="F46" i="11" s="1"/>
  <c r="G46" i="11" s="1"/>
  <c r="C61" i="11"/>
  <c r="D48" i="11"/>
  <c r="E48" i="11" s="1"/>
  <c r="F48" i="11" s="1"/>
  <c r="G48" i="11" s="1"/>
  <c r="C58" i="11"/>
  <c r="D45" i="11"/>
  <c r="E45" i="11" s="1"/>
  <c r="F45" i="11" s="1"/>
  <c r="G45" i="11" s="1"/>
  <c r="S80" i="14"/>
  <c r="R24" i="21"/>
  <c r="R26" i="21" s="1"/>
  <c r="A36" i="11"/>
  <c r="A32" i="11"/>
  <c r="A37" i="11"/>
  <c r="A35" i="11"/>
  <c r="A31" i="11"/>
  <c r="A34" i="11"/>
  <c r="A33" i="11"/>
  <c r="D64" i="14"/>
  <c r="D2" i="14"/>
  <c r="D12" i="14"/>
  <c r="D21" i="13"/>
  <c r="D23" i="13" s="1"/>
  <c r="D25" i="13" s="1"/>
  <c r="P2" i="14"/>
  <c r="AA6" i="19" s="1"/>
  <c r="P11" i="13"/>
  <c r="P19" i="13" s="1"/>
  <c r="E6" i="14"/>
  <c r="B35" i="15" s="1"/>
  <c r="B51" i="15" s="1"/>
  <c r="AE3" i="13"/>
  <c r="AF3" i="13" s="1"/>
  <c r="AG3" i="13" s="1"/>
  <c r="AH3" i="13" s="1"/>
  <c r="AI3" i="13" s="1"/>
  <c r="AJ3" i="13" s="1"/>
  <c r="AK3" i="13" s="1"/>
  <c r="AL3" i="13" s="1"/>
  <c r="AM3" i="13" s="1"/>
  <c r="AN3" i="13" s="1"/>
  <c r="AO3" i="13" s="1"/>
  <c r="G4" i="1"/>
  <c r="D7" i="12" s="1"/>
  <c r="D13" i="13"/>
  <c r="F2" i="1"/>
  <c r="F3" i="1" s="1"/>
  <c r="F4" i="1" s="1"/>
  <c r="F1" i="8"/>
  <c r="F2" i="8" s="1"/>
  <c r="G3" i="8"/>
  <c r="D6" i="12" s="1"/>
  <c r="D11" i="12" s="1"/>
  <c r="C16" i="12" s="1"/>
  <c r="C49" i="11"/>
  <c r="C50" i="11" s="1"/>
  <c r="E3" i="13"/>
  <c r="F3" i="13" s="1"/>
  <c r="G3" i="13" s="1"/>
  <c r="H3" i="13" s="1"/>
  <c r="I3" i="13" s="1"/>
  <c r="J3" i="13" s="1"/>
  <c r="K3" i="13" s="1"/>
  <c r="L3" i="13" s="1"/>
  <c r="M3" i="13" s="1"/>
  <c r="N3" i="13" s="1"/>
  <c r="O3" i="13" s="1"/>
  <c r="D11" i="13"/>
  <c r="E11" i="13" s="1"/>
  <c r="F11" i="13" s="1"/>
  <c r="G11" i="13" s="1"/>
  <c r="H11" i="13" s="1"/>
  <c r="I11" i="13" s="1"/>
  <c r="J11" i="13" s="1"/>
  <c r="K11" i="13" s="1"/>
  <c r="L11" i="13" s="1"/>
  <c r="M11" i="13" s="1"/>
  <c r="N11" i="13" s="1"/>
  <c r="O11" i="13" s="1"/>
  <c r="C56" i="11"/>
  <c r="C57" i="11"/>
  <c r="F3" i="2"/>
  <c r="F4" i="2" s="1"/>
  <c r="BD3" i="13"/>
  <c r="BE3" i="13" s="1"/>
  <c r="BF3" i="13" s="1"/>
  <c r="BG3" i="13" s="1"/>
  <c r="BH3" i="13" s="1"/>
  <c r="BI3" i="13" s="1"/>
  <c r="BJ3" i="13" s="1"/>
  <c r="BK3" i="13" s="1"/>
  <c r="BL3" i="13" s="1"/>
  <c r="BM3" i="13" s="1"/>
  <c r="BN3" i="13" s="1"/>
  <c r="BO3" i="13" s="1"/>
  <c r="AR3" i="13"/>
  <c r="AS3" i="13" s="1"/>
  <c r="AT3" i="13" s="1"/>
  <c r="AU3" i="13" s="1"/>
  <c r="AV3" i="13" s="1"/>
  <c r="AW3" i="13" s="1"/>
  <c r="AX3" i="13" s="1"/>
  <c r="AY3" i="13" s="1"/>
  <c r="AZ3" i="13" s="1"/>
  <c r="BA3" i="13" s="1"/>
  <c r="BB3" i="13" s="1"/>
  <c r="R3" i="13"/>
  <c r="S3" i="13" s="1"/>
  <c r="T3" i="13" s="1"/>
  <c r="U3" i="13" s="1"/>
  <c r="V3" i="13" s="1"/>
  <c r="W3" i="13" s="1"/>
  <c r="X3" i="13" s="1"/>
  <c r="Y3" i="13" s="1"/>
  <c r="Z3" i="13" s="1"/>
  <c r="AA3" i="13" s="1"/>
  <c r="AB3" i="13" s="1"/>
  <c r="D14" i="13"/>
  <c r="D56" i="11" l="1"/>
  <c r="C68" i="11"/>
  <c r="D58" i="11"/>
  <c r="C70" i="11"/>
  <c r="D59" i="11"/>
  <c r="C71" i="11"/>
  <c r="D55" i="11"/>
  <c r="C67" i="11"/>
  <c r="D57" i="11"/>
  <c r="C69" i="11"/>
  <c r="D61" i="11"/>
  <c r="E61" i="11" s="1"/>
  <c r="F61" i="11" s="1"/>
  <c r="G61" i="11" s="1"/>
  <c r="C73" i="11"/>
  <c r="D60" i="11"/>
  <c r="C72" i="11"/>
  <c r="E42" i="11"/>
  <c r="D49" i="11"/>
  <c r="D50" i="11" s="1"/>
  <c r="T80" i="14"/>
  <c r="S24" i="21"/>
  <c r="S26" i="21" s="1"/>
  <c r="E64" i="14"/>
  <c r="E2" i="14"/>
  <c r="P12" i="14"/>
  <c r="P64" i="14"/>
  <c r="D15" i="13"/>
  <c r="F6" i="14"/>
  <c r="E12" i="14"/>
  <c r="C8" i="12"/>
  <c r="A64" i="2"/>
  <c r="A65" i="2" s="1"/>
  <c r="AC11" i="13"/>
  <c r="AC19" i="13" s="1"/>
  <c r="C31" i="21"/>
  <c r="D31" i="21" s="1"/>
  <c r="E31" i="21" s="1"/>
  <c r="F31" i="21" s="1"/>
  <c r="G31" i="21" s="1"/>
  <c r="H31" i="21" s="1"/>
  <c r="I31" i="21" s="1"/>
  <c r="J31" i="21" s="1"/>
  <c r="K31" i="21" s="1"/>
  <c r="L31" i="21" s="1"/>
  <c r="M31" i="21" s="1"/>
  <c r="N31" i="21" s="1"/>
  <c r="O31" i="21" s="1"/>
  <c r="E20" i="13"/>
  <c r="F3" i="8"/>
  <c r="C6" i="12" s="1"/>
  <c r="Q11" i="13"/>
  <c r="R11" i="13" s="1"/>
  <c r="S11" i="13" s="1"/>
  <c r="T11" i="13" s="1"/>
  <c r="U11" i="13" s="1"/>
  <c r="V11" i="13" s="1"/>
  <c r="W11" i="13" s="1"/>
  <c r="X11" i="13" s="1"/>
  <c r="Y11" i="13" s="1"/>
  <c r="Z11" i="13" s="1"/>
  <c r="AA11" i="13" s="1"/>
  <c r="AB11" i="13" s="1"/>
  <c r="D19" i="13"/>
  <c r="E19" i="13" s="1"/>
  <c r="F19" i="13" s="1"/>
  <c r="G19" i="13" s="1"/>
  <c r="H19" i="13" s="1"/>
  <c r="I19" i="13" s="1"/>
  <c r="J19" i="13" s="1"/>
  <c r="K19" i="13" s="1"/>
  <c r="L19" i="13" s="1"/>
  <c r="M19" i="13" s="1"/>
  <c r="N19" i="13" s="1"/>
  <c r="O19" i="13" s="1"/>
  <c r="C54" i="11"/>
  <c r="C41" i="11"/>
  <c r="C62" i="11"/>
  <c r="B60" i="11" s="1"/>
  <c r="C7" i="12"/>
  <c r="B84" i="1"/>
  <c r="B85" i="1" s="1"/>
  <c r="P31" i="21" l="1"/>
  <c r="Q31" i="21" s="1"/>
  <c r="R31" i="21" s="1"/>
  <c r="S31" i="21" s="1"/>
  <c r="T31" i="21" s="1"/>
  <c r="U31" i="21" s="1"/>
  <c r="V31" i="21" s="1"/>
  <c r="W31" i="21" s="1"/>
  <c r="X31" i="21" s="1"/>
  <c r="Y31" i="21" s="1"/>
  <c r="Z31" i="21" s="1"/>
  <c r="AA31" i="21" s="1"/>
  <c r="AB31" i="21" s="1"/>
  <c r="AC31" i="21" s="1"/>
  <c r="AD31" i="21" s="1"/>
  <c r="AE31" i="21" s="1"/>
  <c r="AF31" i="21" s="1"/>
  <c r="B59" i="11"/>
  <c r="B56" i="11"/>
  <c r="B58" i="11"/>
  <c r="B61" i="11"/>
  <c r="B57" i="11"/>
  <c r="B55" i="11"/>
  <c r="E6" i="12"/>
  <c r="C16" i="21"/>
  <c r="D16" i="21" s="1"/>
  <c r="E60" i="11"/>
  <c r="D72" i="11"/>
  <c r="C74" i="11"/>
  <c r="C75" i="11" s="1"/>
  <c r="C66" i="11"/>
  <c r="C30" i="11" s="1"/>
  <c r="D30" i="11" s="1"/>
  <c r="E30" i="11" s="1"/>
  <c r="F30" i="11" s="1"/>
  <c r="G30" i="11" s="1"/>
  <c r="D66" i="11"/>
  <c r="E66" i="11" s="1"/>
  <c r="F66" i="11" s="1"/>
  <c r="G66" i="11" s="1"/>
  <c r="E21" i="13"/>
  <c r="E23" i="13" s="1"/>
  <c r="E25" i="13" s="1"/>
  <c r="E7" i="12"/>
  <c r="E55" i="11"/>
  <c r="F55" i="11" s="1"/>
  <c r="G55" i="11" s="1"/>
  <c r="D67" i="11"/>
  <c r="E58" i="11"/>
  <c r="D70" i="11"/>
  <c r="E57" i="11"/>
  <c r="D69" i="11"/>
  <c r="E59" i="11"/>
  <c r="D71" i="11"/>
  <c r="E56" i="11"/>
  <c r="D68" i="11"/>
  <c r="D73" i="11"/>
  <c r="D74" i="11" s="1"/>
  <c r="D41" i="11"/>
  <c r="E41" i="11" s="1"/>
  <c r="F41" i="11" s="1"/>
  <c r="G41" i="11" s="1"/>
  <c r="D54" i="11"/>
  <c r="E54" i="11" s="1"/>
  <c r="F54" i="11" s="1"/>
  <c r="G54" i="11" s="1"/>
  <c r="F42" i="11"/>
  <c r="E49" i="11"/>
  <c r="E50" i="11" s="1"/>
  <c r="U80" i="14"/>
  <c r="T24" i="21"/>
  <c r="T26" i="21" s="1"/>
  <c r="N39" i="15"/>
  <c r="O39" i="15" s="1"/>
  <c r="D62" i="11"/>
  <c r="N54" i="15" s="1"/>
  <c r="O54" i="15" s="1"/>
  <c r="F12" i="14"/>
  <c r="C35" i="15"/>
  <c r="C51" i="15" s="1"/>
  <c r="D16" i="13"/>
  <c r="F64" i="14"/>
  <c r="F2" i="14"/>
  <c r="G6" i="14"/>
  <c r="D35" i="15" s="1"/>
  <c r="D51" i="15" s="1"/>
  <c r="C51" i="14"/>
  <c r="AD11" i="13"/>
  <c r="AE11" i="13" s="1"/>
  <c r="AF11" i="13" s="1"/>
  <c r="AG11" i="13" s="1"/>
  <c r="AH11" i="13" s="1"/>
  <c r="AI11" i="13" s="1"/>
  <c r="AJ11" i="13" s="1"/>
  <c r="AK11" i="13" s="1"/>
  <c r="AL11" i="13" s="1"/>
  <c r="AM11" i="13" s="1"/>
  <c r="AN11" i="13" s="1"/>
  <c r="AO11" i="13" s="1"/>
  <c r="BC11" i="13"/>
  <c r="BC19" i="13" s="1"/>
  <c r="AP11" i="13"/>
  <c r="AP19" i="13" s="1"/>
  <c r="G14" i="15"/>
  <c r="N38" i="15"/>
  <c r="O38" i="15" s="1"/>
  <c r="Q19" i="13"/>
  <c r="AD19" i="13" s="1"/>
  <c r="BP11" i="13"/>
  <c r="BP19" i="13" s="1"/>
  <c r="E67" i="11" l="1"/>
  <c r="B62" i="11"/>
  <c r="C18" i="21"/>
  <c r="F57" i="11"/>
  <c r="E69" i="11"/>
  <c r="F58" i="11"/>
  <c r="E70" i="11"/>
  <c r="F59" i="11"/>
  <c r="E71" i="11"/>
  <c r="F56" i="11"/>
  <c r="E68" i="11"/>
  <c r="F60" i="11"/>
  <c r="E72" i="11"/>
  <c r="D75" i="11"/>
  <c r="G67" i="11"/>
  <c r="F67" i="11"/>
  <c r="E12" i="13"/>
  <c r="E14" i="13" s="1"/>
  <c r="E73" i="11"/>
  <c r="N55" i="15"/>
  <c r="O55" i="15" s="1"/>
  <c r="E55" i="15" s="1"/>
  <c r="G42" i="11"/>
  <c r="G49" i="11" s="1"/>
  <c r="G50" i="11" s="1"/>
  <c r="F49" i="11"/>
  <c r="F50" i="11" s="1"/>
  <c r="E16" i="21"/>
  <c r="V80" i="14"/>
  <c r="U24" i="21"/>
  <c r="U26" i="21" s="1"/>
  <c r="E62" i="11"/>
  <c r="AD7" i="14" s="1"/>
  <c r="E54" i="15"/>
  <c r="L54" i="15"/>
  <c r="I54" i="15"/>
  <c r="D54" i="15"/>
  <c r="C54" i="15"/>
  <c r="G54" i="15"/>
  <c r="B54" i="15"/>
  <c r="J54" i="15"/>
  <c r="F54" i="15"/>
  <c r="A54" i="15"/>
  <c r="H54" i="15"/>
  <c r="K54" i="15"/>
  <c r="G64" i="14"/>
  <c r="G2" i="14"/>
  <c r="H6" i="14"/>
  <c r="E35" i="15" s="1"/>
  <c r="E51" i="15" s="1"/>
  <c r="G12" i="14"/>
  <c r="D51" i="14"/>
  <c r="D17" i="21" s="1"/>
  <c r="B41" i="18"/>
  <c r="AQ11" i="13"/>
  <c r="BD11" i="13" s="1"/>
  <c r="BE11" i="13" s="1"/>
  <c r="BF11" i="13" s="1"/>
  <c r="BG11" i="13" s="1"/>
  <c r="BH11" i="13" s="1"/>
  <c r="BI11" i="13" s="1"/>
  <c r="BJ11" i="13" s="1"/>
  <c r="BK11" i="13" s="1"/>
  <c r="BL11" i="13" s="1"/>
  <c r="BM11" i="13" s="1"/>
  <c r="BN11" i="13" s="1"/>
  <c r="BO11" i="13" s="1"/>
  <c r="L39" i="15"/>
  <c r="G39" i="15"/>
  <c r="I39" i="15"/>
  <c r="H39" i="15"/>
  <c r="C39" i="15"/>
  <c r="E39" i="15"/>
  <c r="D39" i="15"/>
  <c r="J39" i="15"/>
  <c r="A39" i="15"/>
  <c r="A49" i="15" s="1"/>
  <c r="F39" i="15"/>
  <c r="B39" i="15"/>
  <c r="K39" i="15"/>
  <c r="R19" i="13"/>
  <c r="S19" i="13" s="1"/>
  <c r="T19" i="13" s="1"/>
  <c r="U19" i="13" s="1"/>
  <c r="V19" i="13" s="1"/>
  <c r="W19" i="13" s="1"/>
  <c r="X19" i="13" s="1"/>
  <c r="Y19" i="13" s="1"/>
  <c r="Z19" i="13" s="1"/>
  <c r="AA19" i="13" s="1"/>
  <c r="AB19" i="13" s="1"/>
  <c r="F20" i="13"/>
  <c r="AQ19" i="13"/>
  <c r="AE19" i="13"/>
  <c r="AF19" i="13" s="1"/>
  <c r="AG19" i="13" s="1"/>
  <c r="AH19" i="13" s="1"/>
  <c r="AI19" i="13" s="1"/>
  <c r="AJ19" i="13" s="1"/>
  <c r="AK19" i="13" s="1"/>
  <c r="AL19" i="13" s="1"/>
  <c r="AM19" i="13" s="1"/>
  <c r="AN19" i="13" s="1"/>
  <c r="AO19" i="13" s="1"/>
  <c r="E74" i="11" l="1"/>
  <c r="AD8" i="14" s="1"/>
  <c r="G60" i="11"/>
  <c r="G72" i="11" s="1"/>
  <c r="F72" i="11"/>
  <c r="G59" i="11"/>
  <c r="G71" i="11" s="1"/>
  <c r="F71" i="11"/>
  <c r="E13" i="13"/>
  <c r="E15" i="13" s="1"/>
  <c r="G56" i="11"/>
  <c r="G68" i="11" s="1"/>
  <c r="F68" i="11"/>
  <c r="G58" i="11"/>
  <c r="G70" i="11" s="1"/>
  <c r="F70" i="11"/>
  <c r="G57" i="11"/>
  <c r="G69" i="11" s="1"/>
  <c r="F69" i="11"/>
  <c r="E75" i="11"/>
  <c r="G73" i="11"/>
  <c r="F73" i="11"/>
  <c r="J55" i="15"/>
  <c r="J57" i="15" s="1"/>
  <c r="C55" i="15"/>
  <c r="S8" i="14" s="1"/>
  <c r="G55" i="15"/>
  <c r="G57" i="15" s="1"/>
  <c r="A55" i="15"/>
  <c r="A65" i="15" s="1"/>
  <c r="I55" i="15"/>
  <c r="Y8" i="14" s="1"/>
  <c r="K55" i="15"/>
  <c r="K57" i="15" s="1"/>
  <c r="D55" i="15"/>
  <c r="D65" i="15" s="1"/>
  <c r="H55" i="15"/>
  <c r="X8" i="14" s="1"/>
  <c r="F55" i="15"/>
  <c r="F57" i="15" s="1"/>
  <c r="B55" i="15"/>
  <c r="B65" i="15" s="1"/>
  <c r="L55" i="15"/>
  <c r="L57" i="15" s="1"/>
  <c r="F16" i="21"/>
  <c r="D18" i="21"/>
  <c r="W80" i="14"/>
  <c r="V24" i="21"/>
  <c r="V26" i="21" s="1"/>
  <c r="AD9" i="14"/>
  <c r="E65" i="15"/>
  <c r="E57" i="15"/>
  <c r="U8" i="14"/>
  <c r="C53" i="15"/>
  <c r="C64" i="15"/>
  <c r="S7" i="14"/>
  <c r="C56" i="15"/>
  <c r="H56" i="15"/>
  <c r="H64" i="15"/>
  <c r="X7" i="14"/>
  <c r="H53" i="15"/>
  <c r="B56" i="15"/>
  <c r="B64" i="15"/>
  <c r="R7" i="14"/>
  <c r="B53" i="15"/>
  <c r="I53" i="15"/>
  <c r="I64" i="15"/>
  <c r="I56" i="15"/>
  <c r="Y7" i="14"/>
  <c r="F62" i="11"/>
  <c r="AE7" i="14" s="1"/>
  <c r="F56" i="15"/>
  <c r="F53" i="15"/>
  <c r="V7" i="14"/>
  <c r="F64" i="15"/>
  <c r="E56" i="15"/>
  <c r="E53" i="15"/>
  <c r="U7" i="14"/>
  <c r="E64" i="15"/>
  <c r="K56" i="15"/>
  <c r="K53" i="15"/>
  <c r="AA7" i="14"/>
  <c r="K64" i="15"/>
  <c r="J53" i="15"/>
  <c r="J56" i="15"/>
  <c r="J64" i="15"/>
  <c r="Z7" i="14"/>
  <c r="D53" i="15"/>
  <c r="D64" i="15"/>
  <c r="T7" i="14"/>
  <c r="D56" i="15"/>
  <c r="A64" i="15"/>
  <c r="A53" i="15"/>
  <c r="A56" i="15"/>
  <c r="M54" i="15"/>
  <c r="Q7" i="14"/>
  <c r="G56" i="15"/>
  <c r="G53" i="15"/>
  <c r="W7" i="14"/>
  <c r="G64" i="15"/>
  <c r="L56" i="15"/>
  <c r="L53" i="15"/>
  <c r="AB7" i="14"/>
  <c r="L64" i="15"/>
  <c r="AD33" i="14"/>
  <c r="AC27" i="19" s="1"/>
  <c r="AD27" i="14"/>
  <c r="AC21" i="19" s="1"/>
  <c r="AD37" i="14"/>
  <c r="AC31" i="19" s="1"/>
  <c r="AD14" i="14"/>
  <c r="AC8" i="19" s="1"/>
  <c r="B41" i="15"/>
  <c r="B49" i="15"/>
  <c r="E8" i="14" s="1"/>
  <c r="D41" i="15"/>
  <c r="D49" i="15"/>
  <c r="G8" i="14" s="1"/>
  <c r="I41" i="15"/>
  <c r="I49" i="15"/>
  <c r="L8" i="14" s="1"/>
  <c r="F41" i="15"/>
  <c r="F49" i="15"/>
  <c r="I8" i="14" s="1"/>
  <c r="E41" i="15"/>
  <c r="E49" i="15"/>
  <c r="H8" i="14" s="1"/>
  <c r="G41" i="15"/>
  <c r="G49" i="15"/>
  <c r="J8" i="14" s="1"/>
  <c r="D8" i="14"/>
  <c r="C41" i="15"/>
  <c r="C49" i="15"/>
  <c r="F8" i="14" s="1"/>
  <c r="L41" i="15"/>
  <c r="L49" i="15"/>
  <c r="O8" i="14" s="1"/>
  <c r="K41" i="15"/>
  <c r="K49" i="15"/>
  <c r="N8" i="14" s="1"/>
  <c r="J41" i="15"/>
  <c r="J49" i="15"/>
  <c r="M8" i="14" s="1"/>
  <c r="H41" i="15"/>
  <c r="H49" i="15"/>
  <c r="K8" i="14" s="1"/>
  <c r="AR11" i="13"/>
  <c r="AS11" i="13" s="1"/>
  <c r="AT11" i="13" s="1"/>
  <c r="AU11" i="13" s="1"/>
  <c r="AV11" i="13" s="1"/>
  <c r="AW11" i="13" s="1"/>
  <c r="AX11" i="13" s="1"/>
  <c r="AY11" i="13" s="1"/>
  <c r="AZ11" i="13" s="1"/>
  <c r="BA11" i="13" s="1"/>
  <c r="BB11" i="13" s="1"/>
  <c r="H64" i="14"/>
  <c r="H2" i="14"/>
  <c r="I6" i="14"/>
  <c r="F35" i="15" s="1"/>
  <c r="F51" i="15" s="1"/>
  <c r="H12" i="14"/>
  <c r="C38" i="15"/>
  <c r="H38" i="15"/>
  <c r="L38" i="15"/>
  <c r="J38" i="15"/>
  <c r="D38" i="15"/>
  <c r="F38" i="15"/>
  <c r="G38" i="15"/>
  <c r="A38" i="15"/>
  <c r="I38" i="15"/>
  <c r="K38" i="15"/>
  <c r="E38" i="15"/>
  <c r="B38" i="15"/>
  <c r="M39" i="15"/>
  <c r="A41" i="15"/>
  <c r="AR19" i="13"/>
  <c r="AS19" i="13" s="1"/>
  <c r="AT19" i="13" s="1"/>
  <c r="AU19" i="13" s="1"/>
  <c r="AV19" i="13" s="1"/>
  <c r="AW19" i="13" s="1"/>
  <c r="AX19" i="13" s="1"/>
  <c r="AY19" i="13" s="1"/>
  <c r="AZ19" i="13" s="1"/>
  <c r="BA19" i="13" s="1"/>
  <c r="BB19" i="13" s="1"/>
  <c r="BD19" i="13"/>
  <c r="BE19" i="13" s="1"/>
  <c r="BF19" i="13" s="1"/>
  <c r="BG19" i="13" s="1"/>
  <c r="BH19" i="13" s="1"/>
  <c r="BI19" i="13" s="1"/>
  <c r="BJ19" i="13" s="1"/>
  <c r="BK19" i="13" s="1"/>
  <c r="BL19" i="13" s="1"/>
  <c r="BM19" i="13" s="1"/>
  <c r="BN19" i="13" s="1"/>
  <c r="BO19" i="13" s="1"/>
  <c r="F21" i="13"/>
  <c r="F74" i="11" l="1"/>
  <c r="AE8" i="14" s="1"/>
  <c r="G74" i="11"/>
  <c r="F75" i="11"/>
  <c r="J65" i="15"/>
  <c r="I65" i="15"/>
  <c r="AB8" i="14"/>
  <c r="AA8" i="14"/>
  <c r="G65" i="15"/>
  <c r="W8" i="14"/>
  <c r="K65" i="15"/>
  <c r="C65" i="15"/>
  <c r="R8" i="14"/>
  <c r="C57" i="15"/>
  <c r="B57" i="15"/>
  <c r="F65" i="15"/>
  <c r="Z8" i="14"/>
  <c r="I57" i="15"/>
  <c r="V8" i="14"/>
  <c r="L65" i="15"/>
  <c r="D57" i="15"/>
  <c r="T8" i="14"/>
  <c r="Q8" i="14"/>
  <c r="H65" i="15"/>
  <c r="H57" i="15"/>
  <c r="A57" i="15"/>
  <c r="M55" i="15"/>
  <c r="X9" i="14"/>
  <c r="G16" i="21"/>
  <c r="X80" i="14"/>
  <c r="W24" i="21"/>
  <c r="W26" i="21" s="1"/>
  <c r="T9" i="14"/>
  <c r="S9" i="14"/>
  <c r="U49" i="14"/>
  <c r="U45" i="14"/>
  <c r="U41" i="14"/>
  <c r="U28" i="14"/>
  <c r="U20" i="14"/>
  <c r="U19" i="14"/>
  <c r="U48" i="14"/>
  <c r="U44" i="14"/>
  <c r="U40" i="14"/>
  <c r="U31" i="14"/>
  <c r="U30" i="14"/>
  <c r="U17" i="14"/>
  <c r="U46" i="14"/>
  <c r="U38" i="14"/>
  <c r="U37" i="14"/>
  <c r="U23" i="14"/>
  <c r="U50" i="14"/>
  <c r="U27" i="14"/>
  <c r="U13" i="14"/>
  <c r="U43" i="14"/>
  <c r="U29" i="14"/>
  <c r="U34" i="14"/>
  <c r="U18" i="14"/>
  <c r="U42" i="14"/>
  <c r="U26" i="14"/>
  <c r="U32" i="14"/>
  <c r="U47" i="14"/>
  <c r="U22" i="14"/>
  <c r="U33" i="14"/>
  <c r="U39" i="14"/>
  <c r="U24" i="14"/>
  <c r="U14" i="14"/>
  <c r="G62" i="11"/>
  <c r="AF7" i="14" s="1"/>
  <c r="AF8" i="14"/>
  <c r="Z45" i="14"/>
  <c r="Z26" i="14"/>
  <c r="Z40" i="14"/>
  <c r="Z18" i="14"/>
  <c r="Z39" i="14"/>
  <c r="Z38" i="14"/>
  <c r="Z37" i="14"/>
  <c r="Z13" i="14"/>
  <c r="Z41" i="14"/>
  <c r="Z20" i="14"/>
  <c r="Z30" i="14"/>
  <c r="Z17" i="14"/>
  <c r="Z33" i="14"/>
  <c r="Z32" i="14"/>
  <c r="Z42" i="14"/>
  <c r="Z28" i="14"/>
  <c r="Z19" i="14"/>
  <c r="Z50" i="14"/>
  <c r="Z27" i="14"/>
  <c r="Z44" i="14"/>
  <c r="Z46" i="14"/>
  <c r="Z24" i="14"/>
  <c r="Z34" i="14"/>
  <c r="Z29" i="14"/>
  <c r="Z48" i="14"/>
  <c r="Z47" i="14"/>
  <c r="Z22" i="14"/>
  <c r="Z49" i="14"/>
  <c r="Z43" i="14"/>
  <c r="Z31" i="14"/>
  <c r="Z23" i="14"/>
  <c r="Z14" i="14"/>
  <c r="Z15" i="14" s="1"/>
  <c r="Y50" i="14"/>
  <c r="Y46" i="14"/>
  <c r="Y42" i="14"/>
  <c r="Y38" i="14"/>
  <c r="Y27" i="14"/>
  <c r="Y26" i="14"/>
  <c r="Y33" i="14"/>
  <c r="Y17" i="14"/>
  <c r="Y49" i="14"/>
  <c r="Y45" i="14"/>
  <c r="Y41" i="14"/>
  <c r="Y28" i="14"/>
  <c r="Y22" i="14"/>
  <c r="Y20" i="14"/>
  <c r="Y23" i="14"/>
  <c r="Y37" i="14"/>
  <c r="Y13" i="14"/>
  <c r="Y43" i="14"/>
  <c r="Y32" i="14"/>
  <c r="Y18" i="14"/>
  <c r="Y39" i="14"/>
  <c r="Y19" i="14"/>
  <c r="Y34" i="14"/>
  <c r="Y48" i="14"/>
  <c r="Y40" i="14"/>
  <c r="Y31" i="14"/>
  <c r="Y30" i="14"/>
  <c r="Y47" i="14"/>
  <c r="Y29" i="14"/>
  <c r="Y44" i="14"/>
  <c r="Y24" i="14"/>
  <c r="Y14" i="14"/>
  <c r="M53" i="15"/>
  <c r="T37" i="14"/>
  <c r="T24" i="14"/>
  <c r="T49" i="14"/>
  <c r="T28" i="14"/>
  <c r="T31" i="14"/>
  <c r="T42" i="14"/>
  <c r="T50" i="14"/>
  <c r="T33" i="14"/>
  <c r="T34" i="14"/>
  <c r="T23" i="14"/>
  <c r="T45" i="14"/>
  <c r="T48" i="14"/>
  <c r="T29" i="14"/>
  <c r="T30" i="14"/>
  <c r="T39" i="14"/>
  <c r="T18" i="14"/>
  <c r="T13" i="14"/>
  <c r="T20" i="14"/>
  <c r="T40" i="14"/>
  <c r="T17" i="14"/>
  <c r="T22" i="14"/>
  <c r="T19" i="14"/>
  <c r="T27" i="14"/>
  <c r="T41" i="14"/>
  <c r="T47" i="14"/>
  <c r="T46" i="14"/>
  <c r="T26" i="14"/>
  <c r="T32" i="14"/>
  <c r="T43" i="14"/>
  <c r="T38" i="14"/>
  <c r="T44" i="14"/>
  <c r="T14" i="14"/>
  <c r="AA33" i="14"/>
  <c r="AA48" i="14"/>
  <c r="AA24" i="14"/>
  <c r="AA47" i="14"/>
  <c r="AA23" i="14"/>
  <c r="AA45" i="14"/>
  <c r="AA28" i="14"/>
  <c r="AA49" i="14"/>
  <c r="AA32" i="14"/>
  <c r="AA44" i="14"/>
  <c r="AA19" i="14"/>
  <c r="AA43" i="14"/>
  <c r="AA50" i="14"/>
  <c r="AA38" i="14"/>
  <c r="AA20" i="14"/>
  <c r="AA26" i="14"/>
  <c r="AA30" i="14"/>
  <c r="AA17" i="14"/>
  <c r="AA42" i="14"/>
  <c r="AA27" i="14"/>
  <c r="AA13" i="14"/>
  <c r="AA37" i="14"/>
  <c r="AA40" i="14"/>
  <c r="AA39" i="14"/>
  <c r="AA22" i="14"/>
  <c r="AA29" i="14"/>
  <c r="AA41" i="14"/>
  <c r="AA31" i="14"/>
  <c r="AA18" i="14"/>
  <c r="AA46" i="14"/>
  <c r="AA34" i="14"/>
  <c r="AA14" i="14"/>
  <c r="AE9" i="14"/>
  <c r="R47" i="14"/>
  <c r="R33" i="14"/>
  <c r="R42" i="14"/>
  <c r="R27" i="14"/>
  <c r="R17" i="14"/>
  <c r="R44" i="14"/>
  <c r="R30" i="14"/>
  <c r="R24" i="14"/>
  <c r="R43" i="14"/>
  <c r="R23" i="14"/>
  <c r="R38" i="14"/>
  <c r="R22" i="14"/>
  <c r="R49" i="14"/>
  <c r="R31" i="14"/>
  <c r="R26" i="14"/>
  <c r="R37" i="14"/>
  <c r="R32" i="14"/>
  <c r="R41" i="14"/>
  <c r="R40" i="14"/>
  <c r="R18" i="14"/>
  <c r="R34" i="14"/>
  <c r="R48" i="14"/>
  <c r="R13" i="14"/>
  <c r="R50" i="14"/>
  <c r="R19" i="14"/>
  <c r="R28" i="14"/>
  <c r="R29" i="14"/>
  <c r="R46" i="14"/>
  <c r="R20" i="14"/>
  <c r="R39" i="14"/>
  <c r="R45" i="14"/>
  <c r="R14" i="14"/>
  <c r="X34" i="14"/>
  <c r="X23" i="14"/>
  <c r="X46" i="14"/>
  <c r="X49" i="14"/>
  <c r="X28" i="14"/>
  <c r="X40" i="14"/>
  <c r="X18" i="14"/>
  <c r="X17" i="14"/>
  <c r="X27" i="14"/>
  <c r="X22" i="14"/>
  <c r="X42" i="14"/>
  <c r="X45" i="14"/>
  <c r="X48" i="14"/>
  <c r="X29" i="14"/>
  <c r="X31" i="14"/>
  <c r="X37" i="14"/>
  <c r="X50" i="14"/>
  <c r="X32" i="14"/>
  <c r="X39" i="14"/>
  <c r="X13" i="14"/>
  <c r="X41" i="14"/>
  <c r="X26" i="14"/>
  <c r="X38" i="14"/>
  <c r="X44" i="14"/>
  <c r="X30" i="14"/>
  <c r="X24" i="14"/>
  <c r="X33" i="14"/>
  <c r="X47" i="14"/>
  <c r="X19" i="14"/>
  <c r="X20" i="14"/>
  <c r="X43" i="14"/>
  <c r="X14" i="14"/>
  <c r="X15" i="14" s="1"/>
  <c r="Y9" i="14"/>
  <c r="U9" i="14"/>
  <c r="AB13" i="14"/>
  <c r="AB26" i="14"/>
  <c r="AB20" i="14"/>
  <c r="AB39" i="14"/>
  <c r="AB42" i="14"/>
  <c r="AB45" i="14"/>
  <c r="AB48" i="14"/>
  <c r="AB40" i="14"/>
  <c r="AB34" i="14"/>
  <c r="AB50" i="14"/>
  <c r="AB32" i="14"/>
  <c r="AB18" i="14"/>
  <c r="AB37" i="14"/>
  <c r="AB24" i="14"/>
  <c r="AB19" i="14"/>
  <c r="AB30" i="14"/>
  <c r="AB38" i="14"/>
  <c r="AB41" i="14"/>
  <c r="AB31" i="14"/>
  <c r="AB29" i="14"/>
  <c r="AB23" i="14"/>
  <c r="AB47" i="14"/>
  <c r="AB33" i="14"/>
  <c r="AB17" i="14"/>
  <c r="AB46" i="14"/>
  <c r="AB22" i="14"/>
  <c r="AB44" i="14"/>
  <c r="AB27" i="14"/>
  <c r="AB49" i="14"/>
  <c r="AB28" i="14"/>
  <c r="AB43" i="14"/>
  <c r="AB14" i="14"/>
  <c r="W13" i="14"/>
  <c r="W30" i="14"/>
  <c r="W37" i="14"/>
  <c r="W17" i="14"/>
  <c r="W38" i="14"/>
  <c r="W49" i="14"/>
  <c r="W40" i="14"/>
  <c r="W28" i="14"/>
  <c r="W33" i="14"/>
  <c r="W47" i="14"/>
  <c r="W23" i="14"/>
  <c r="W50" i="14"/>
  <c r="W34" i="14"/>
  <c r="W45" i="14"/>
  <c r="W29" i="14"/>
  <c r="W20" i="14"/>
  <c r="W31" i="14"/>
  <c r="W18" i="14"/>
  <c r="W22" i="14"/>
  <c r="W48" i="14"/>
  <c r="W42" i="14"/>
  <c r="W43" i="14"/>
  <c r="W46" i="14"/>
  <c r="W41" i="14"/>
  <c r="W44" i="14"/>
  <c r="W39" i="14"/>
  <c r="W26" i="14"/>
  <c r="W32" i="14"/>
  <c r="W24" i="14"/>
  <c r="W19" i="14"/>
  <c r="W27" i="14"/>
  <c r="W14" i="14"/>
  <c r="V13" i="14"/>
  <c r="V40" i="14"/>
  <c r="V43" i="14"/>
  <c r="V23" i="14"/>
  <c r="V50" i="14"/>
  <c r="V34" i="14"/>
  <c r="V41" i="14"/>
  <c r="V31" i="14"/>
  <c r="V29" i="14"/>
  <c r="V30" i="14"/>
  <c r="V39" i="14"/>
  <c r="V19" i="14"/>
  <c r="V46" i="14"/>
  <c r="V27" i="14"/>
  <c r="V38" i="14"/>
  <c r="V28" i="14"/>
  <c r="V47" i="14"/>
  <c r="V17" i="14"/>
  <c r="V26" i="14"/>
  <c r="V33" i="14"/>
  <c r="V22" i="14"/>
  <c r="V18" i="14"/>
  <c r="V20" i="14"/>
  <c r="V48" i="14"/>
  <c r="V37" i="14"/>
  <c r="V42" i="14"/>
  <c r="V32" i="14"/>
  <c r="V44" i="14"/>
  <c r="V49" i="14"/>
  <c r="V24" i="14"/>
  <c r="V45" i="14"/>
  <c r="V14" i="14"/>
  <c r="M56" i="15"/>
  <c r="Q49" i="14"/>
  <c r="Q45" i="14"/>
  <c r="Q41" i="14"/>
  <c r="Q28" i="14"/>
  <c r="Q33" i="14"/>
  <c r="Q18" i="14"/>
  <c r="Q27" i="14"/>
  <c r="Q26" i="14"/>
  <c r="Q48" i="14"/>
  <c r="Q44" i="14"/>
  <c r="Q40" i="14"/>
  <c r="Q30" i="14"/>
  <c r="Q23" i="14"/>
  <c r="Q31" i="14"/>
  <c r="Q19" i="14"/>
  <c r="Q50" i="14"/>
  <c r="Q42" i="14"/>
  <c r="Q37" i="14"/>
  <c r="Q34" i="14"/>
  <c r="Q38" i="14"/>
  <c r="Q29" i="14"/>
  <c r="Q47" i="14"/>
  <c r="Q39" i="14"/>
  <c r="Q32" i="14"/>
  <c r="Q17" i="14"/>
  <c r="Q46" i="14"/>
  <c r="Q22" i="14"/>
  <c r="Q13" i="14"/>
  <c r="Q20" i="14"/>
  <c r="Q43" i="14"/>
  <c r="Q24" i="14"/>
  <c r="AC7" i="14"/>
  <c r="Q14" i="14"/>
  <c r="M64" i="15"/>
  <c r="AE37" i="14"/>
  <c r="AD31" i="19" s="1"/>
  <c r="AE33" i="14"/>
  <c r="AD27" i="19" s="1"/>
  <c r="AE27" i="14"/>
  <c r="AD21" i="19" s="1"/>
  <c r="AE14" i="14"/>
  <c r="AD8" i="19" s="1"/>
  <c r="S31" i="14"/>
  <c r="S42" i="14"/>
  <c r="S22" i="14"/>
  <c r="S49" i="14"/>
  <c r="S26" i="14"/>
  <c r="S47" i="14"/>
  <c r="S29" i="14"/>
  <c r="S13" i="14"/>
  <c r="S30" i="14"/>
  <c r="S38" i="14"/>
  <c r="S19" i="14"/>
  <c r="S45" i="14"/>
  <c r="S20" i="14"/>
  <c r="S37" i="14"/>
  <c r="S24" i="14"/>
  <c r="S32" i="14"/>
  <c r="S27" i="14"/>
  <c r="S28" i="14"/>
  <c r="S40" i="14"/>
  <c r="S17" i="14"/>
  <c r="S23" i="14"/>
  <c r="S50" i="14"/>
  <c r="S18" i="14"/>
  <c r="S48" i="14"/>
  <c r="S39" i="14"/>
  <c r="S46" i="14"/>
  <c r="S44" i="14"/>
  <c r="S33" i="14"/>
  <c r="S34" i="14"/>
  <c r="S41" i="14"/>
  <c r="S43" i="14"/>
  <c r="S14" i="14"/>
  <c r="S15" i="14" s="1"/>
  <c r="M41" i="15"/>
  <c r="M49" i="15"/>
  <c r="C8" i="14" s="1"/>
  <c r="E22" i="11" s="1"/>
  <c r="E48" i="15"/>
  <c r="H7" i="14" s="1"/>
  <c r="G48" i="15"/>
  <c r="J7" i="14" s="1"/>
  <c r="L48" i="15"/>
  <c r="O7" i="14" s="1"/>
  <c r="K48" i="15"/>
  <c r="N7" i="14" s="1"/>
  <c r="F48" i="15"/>
  <c r="I7" i="14" s="1"/>
  <c r="H48" i="15"/>
  <c r="K7" i="14" s="1"/>
  <c r="I48" i="15"/>
  <c r="L7" i="14" s="1"/>
  <c r="D48" i="15"/>
  <c r="G7" i="14" s="1"/>
  <c r="C48" i="15"/>
  <c r="F7" i="14" s="1"/>
  <c r="B48" i="15"/>
  <c r="E7" i="14" s="1"/>
  <c r="A48" i="15"/>
  <c r="D7" i="14" s="1"/>
  <c r="J48" i="15"/>
  <c r="M7" i="14" s="1"/>
  <c r="E16" i="13"/>
  <c r="I64" i="14"/>
  <c r="I2" i="14"/>
  <c r="J6" i="14"/>
  <c r="G35" i="15" s="1"/>
  <c r="G51" i="15" s="1"/>
  <c r="I12" i="14"/>
  <c r="E40" i="15"/>
  <c r="E37" i="15"/>
  <c r="L40" i="15"/>
  <c r="L37" i="15"/>
  <c r="K37" i="15"/>
  <c r="K40" i="15"/>
  <c r="F37" i="15"/>
  <c r="F40" i="15"/>
  <c r="I37" i="15"/>
  <c r="I40" i="15"/>
  <c r="D37" i="15"/>
  <c r="D40" i="15"/>
  <c r="C40" i="15"/>
  <c r="C37" i="15"/>
  <c r="G37" i="15"/>
  <c r="G40" i="15"/>
  <c r="H37" i="15"/>
  <c r="H40" i="15"/>
  <c r="B37" i="15"/>
  <c r="B40" i="15"/>
  <c r="M38" i="15"/>
  <c r="A37" i="15"/>
  <c r="A40" i="15"/>
  <c r="J40" i="15"/>
  <c r="J37" i="15"/>
  <c r="F23" i="13"/>
  <c r="F25" i="13" s="1"/>
  <c r="R9" i="14" l="1"/>
  <c r="Z9" i="14"/>
  <c r="F12" i="13"/>
  <c r="V9" i="14"/>
  <c r="AB9" i="14"/>
  <c r="G75" i="11"/>
  <c r="W9" i="14"/>
  <c r="AA9" i="14"/>
  <c r="M65" i="15"/>
  <c r="AC8" i="14"/>
  <c r="Q9" i="14"/>
  <c r="M57" i="15"/>
  <c r="F22" i="11"/>
  <c r="G22" i="11"/>
  <c r="H16" i="21"/>
  <c r="Y80" i="14"/>
  <c r="X24" i="21"/>
  <c r="X26" i="21" s="1"/>
  <c r="AC14" i="14"/>
  <c r="AB8" i="19" s="1"/>
  <c r="AC17" i="14"/>
  <c r="AB11" i="19" s="1"/>
  <c r="AC42" i="14"/>
  <c r="AB36" i="19" s="1"/>
  <c r="AC48" i="14"/>
  <c r="AB42" i="19" s="1"/>
  <c r="AC33" i="14"/>
  <c r="AB27" i="19" s="1"/>
  <c r="AC49" i="14"/>
  <c r="AB43" i="19" s="1"/>
  <c r="U15" i="14"/>
  <c r="V15" i="14"/>
  <c r="W15" i="14"/>
  <c r="AB15" i="14"/>
  <c r="Y15" i="14"/>
  <c r="AF33" i="14"/>
  <c r="AE27" i="19" s="1"/>
  <c r="AF27" i="14"/>
  <c r="AE21" i="19" s="1"/>
  <c r="AF37" i="14"/>
  <c r="AE31" i="19" s="1"/>
  <c r="AF14" i="14"/>
  <c r="AE8" i="19" s="1"/>
  <c r="AC32" i="14"/>
  <c r="AB26" i="19" s="1"/>
  <c r="AC50" i="14"/>
  <c r="AB44" i="19" s="1"/>
  <c r="AC26" i="14"/>
  <c r="AB20" i="19" s="1"/>
  <c r="T15" i="14"/>
  <c r="AC22" i="14"/>
  <c r="AB16" i="19" s="1"/>
  <c r="AC39" i="14"/>
  <c r="AB33" i="19" s="1"/>
  <c r="AC34" i="14"/>
  <c r="AB28" i="19" s="1"/>
  <c r="AC19" i="14"/>
  <c r="AB13" i="19" s="1"/>
  <c r="AC40" i="14"/>
  <c r="AB34" i="19" s="1"/>
  <c r="AC27" i="14"/>
  <c r="AB21" i="19" s="1"/>
  <c r="AC41" i="14"/>
  <c r="AB35" i="19" s="1"/>
  <c r="AC13" i="14"/>
  <c r="Q15" i="14"/>
  <c r="AC38" i="14"/>
  <c r="AB32" i="19" s="1"/>
  <c r="AC30" i="14"/>
  <c r="AB24" i="19" s="1"/>
  <c r="AA15" i="14"/>
  <c r="AC43" i="14"/>
  <c r="AB37" i="19" s="1"/>
  <c r="AC46" i="14"/>
  <c r="AB40" i="19" s="1"/>
  <c r="AC47" i="14"/>
  <c r="AB41" i="19" s="1"/>
  <c r="AC37" i="14"/>
  <c r="AB31" i="19" s="1"/>
  <c r="AC31" i="14"/>
  <c r="AB25" i="19" s="1"/>
  <c r="AC44" i="14"/>
  <c r="AB38" i="19" s="1"/>
  <c r="AC18" i="14"/>
  <c r="AB12" i="19" s="1"/>
  <c r="AC45" i="14"/>
  <c r="AB39" i="19" s="1"/>
  <c r="R15" i="14"/>
  <c r="AF9" i="14"/>
  <c r="I50" i="14"/>
  <c r="I49" i="14"/>
  <c r="I48" i="14"/>
  <c r="I47" i="14"/>
  <c r="I46" i="14"/>
  <c r="I45" i="14"/>
  <c r="I44" i="14"/>
  <c r="I43" i="14"/>
  <c r="I42" i="14"/>
  <c r="I41" i="14"/>
  <c r="I40" i="14"/>
  <c r="I39" i="14"/>
  <c r="I38" i="14"/>
  <c r="I37" i="14"/>
  <c r="I34" i="14"/>
  <c r="I29" i="14"/>
  <c r="I18" i="14"/>
  <c r="I17" i="14"/>
  <c r="I14" i="14"/>
  <c r="M50" i="14"/>
  <c r="M49" i="14"/>
  <c r="M48" i="14"/>
  <c r="M47" i="14"/>
  <c r="M46" i="14"/>
  <c r="M45" i="14"/>
  <c r="M44" i="14"/>
  <c r="M43" i="14"/>
  <c r="M42" i="14"/>
  <c r="M41" i="14"/>
  <c r="M40" i="14"/>
  <c r="M39" i="14"/>
  <c r="M38" i="14"/>
  <c r="M37" i="14"/>
  <c r="M34" i="14"/>
  <c r="M29" i="14"/>
  <c r="M18" i="14"/>
  <c r="M17" i="14"/>
  <c r="M14" i="14"/>
  <c r="N50" i="14"/>
  <c r="N49" i="14"/>
  <c r="N48" i="14"/>
  <c r="N47" i="14"/>
  <c r="N46" i="14"/>
  <c r="N45" i="14"/>
  <c r="N44" i="14"/>
  <c r="N43" i="14"/>
  <c r="N42" i="14"/>
  <c r="N41" i="14"/>
  <c r="N40" i="14"/>
  <c r="N39" i="14"/>
  <c r="N38" i="14"/>
  <c r="N37" i="14"/>
  <c r="N34" i="14"/>
  <c r="N29" i="14"/>
  <c r="N18" i="14"/>
  <c r="N17" i="14"/>
  <c r="N14" i="14"/>
  <c r="E50" i="14"/>
  <c r="E49" i="14"/>
  <c r="E48" i="14"/>
  <c r="E47" i="14"/>
  <c r="E46" i="14"/>
  <c r="E45" i="14"/>
  <c r="E44" i="14"/>
  <c r="E43" i="14"/>
  <c r="E42" i="14"/>
  <c r="E41" i="14"/>
  <c r="E40" i="14"/>
  <c r="E39" i="14"/>
  <c r="E38" i="14"/>
  <c r="E37" i="14"/>
  <c r="E34" i="14"/>
  <c r="E29" i="14"/>
  <c r="E18" i="14"/>
  <c r="E14" i="14"/>
  <c r="E17" i="14"/>
  <c r="K18" i="14"/>
  <c r="K17" i="14"/>
  <c r="K14" i="14"/>
  <c r="K50" i="14"/>
  <c r="K48" i="14"/>
  <c r="K46" i="14"/>
  <c r="K44" i="14"/>
  <c r="K42" i="14"/>
  <c r="K40" i="14"/>
  <c r="K38" i="14"/>
  <c r="K34" i="14"/>
  <c r="K43" i="14"/>
  <c r="K37" i="14"/>
  <c r="K39" i="14"/>
  <c r="K49" i="14"/>
  <c r="K41" i="14"/>
  <c r="K45" i="14"/>
  <c r="K29" i="14"/>
  <c r="K47" i="14"/>
  <c r="J50" i="14"/>
  <c r="J49" i="14"/>
  <c r="J48" i="14"/>
  <c r="J47" i="14"/>
  <c r="J46" i="14"/>
  <c r="J45" i="14"/>
  <c r="J44" i="14"/>
  <c r="J43" i="14"/>
  <c r="J42" i="14"/>
  <c r="J41" i="14"/>
  <c r="J40" i="14"/>
  <c r="J39" i="14"/>
  <c r="J38" i="14"/>
  <c r="J37" i="14"/>
  <c r="J34" i="14"/>
  <c r="J29" i="14"/>
  <c r="J18" i="14"/>
  <c r="J17" i="14"/>
  <c r="J14" i="14"/>
  <c r="F50" i="14"/>
  <c r="F49" i="14"/>
  <c r="F48" i="14"/>
  <c r="F47" i="14"/>
  <c r="F46" i="14"/>
  <c r="F45" i="14"/>
  <c r="F44" i="14"/>
  <c r="F43" i="14"/>
  <c r="F42" i="14"/>
  <c r="F41" i="14"/>
  <c r="F40" i="14"/>
  <c r="F39" i="14"/>
  <c r="F38" i="14"/>
  <c r="F37" i="14"/>
  <c r="F34" i="14"/>
  <c r="F29" i="14"/>
  <c r="F18" i="14"/>
  <c r="F17" i="14"/>
  <c r="F14" i="14"/>
  <c r="H49" i="14"/>
  <c r="H47" i="14"/>
  <c r="H45" i="14"/>
  <c r="H43" i="14"/>
  <c r="H41" i="14"/>
  <c r="H39" i="14"/>
  <c r="H37" i="14"/>
  <c r="H29" i="14"/>
  <c r="H44" i="14"/>
  <c r="H40" i="14"/>
  <c r="H50" i="14"/>
  <c r="H48" i="14"/>
  <c r="H46" i="14"/>
  <c r="H42" i="14"/>
  <c r="H38" i="14"/>
  <c r="H34" i="14"/>
  <c r="H14" i="14"/>
  <c r="H18" i="14"/>
  <c r="H17" i="14"/>
  <c r="G18" i="14"/>
  <c r="G17" i="14"/>
  <c r="G14" i="14"/>
  <c r="G49" i="14"/>
  <c r="G47" i="14"/>
  <c r="G45" i="14"/>
  <c r="G43" i="14"/>
  <c r="G41" i="14"/>
  <c r="G39" i="14"/>
  <c r="G37" i="14"/>
  <c r="G29" i="14"/>
  <c r="G46" i="14"/>
  <c r="G38" i="14"/>
  <c r="G48" i="14"/>
  <c r="G50" i="14"/>
  <c r="G34" i="14"/>
  <c r="G44" i="14"/>
  <c r="G40" i="14"/>
  <c r="G42" i="14"/>
  <c r="D50" i="14"/>
  <c r="D48" i="14"/>
  <c r="D46" i="14"/>
  <c r="D44" i="14"/>
  <c r="D42" i="14"/>
  <c r="D40" i="14"/>
  <c r="D38" i="14"/>
  <c r="D34" i="14"/>
  <c r="D47" i="14"/>
  <c r="D43" i="14"/>
  <c r="D39" i="14"/>
  <c r="D49" i="14"/>
  <c r="D45" i="14"/>
  <c r="D41" i="14"/>
  <c r="D37" i="14"/>
  <c r="D29" i="14"/>
  <c r="D17" i="14"/>
  <c r="D18" i="14"/>
  <c r="D14" i="14"/>
  <c r="L50" i="14"/>
  <c r="L48" i="14"/>
  <c r="L46" i="14"/>
  <c r="L44" i="14"/>
  <c r="L42" i="14"/>
  <c r="L40" i="14"/>
  <c r="L38" i="14"/>
  <c r="L34" i="14"/>
  <c r="L49" i="14"/>
  <c r="L45" i="14"/>
  <c r="L41" i="14"/>
  <c r="L37" i="14"/>
  <c r="L29" i="14"/>
  <c r="L47" i="14"/>
  <c r="L43" i="14"/>
  <c r="L39" i="14"/>
  <c r="L17" i="14"/>
  <c r="L14" i="14"/>
  <c r="L18" i="14"/>
  <c r="O18" i="14"/>
  <c r="O17" i="14"/>
  <c r="O14" i="14"/>
  <c r="O49" i="14"/>
  <c r="O47" i="14"/>
  <c r="O45" i="14"/>
  <c r="O43" i="14"/>
  <c r="O41" i="14"/>
  <c r="O39" i="14"/>
  <c r="O37" i="14"/>
  <c r="O29" i="14"/>
  <c r="O48" i="14"/>
  <c r="O40" i="14"/>
  <c r="O42" i="14"/>
  <c r="O44" i="14"/>
  <c r="O46" i="14"/>
  <c r="O38" i="14"/>
  <c r="O50" i="14"/>
  <c r="O34" i="14"/>
  <c r="E13" i="14"/>
  <c r="F13" i="14"/>
  <c r="H13" i="14"/>
  <c r="M13" i="14"/>
  <c r="G13" i="14"/>
  <c r="N13" i="14"/>
  <c r="K13" i="14"/>
  <c r="J13" i="14"/>
  <c r="I13" i="14"/>
  <c r="D13" i="14"/>
  <c r="L13" i="14"/>
  <c r="O13" i="14"/>
  <c r="M48" i="15"/>
  <c r="C7" i="14" s="1"/>
  <c r="E21" i="11" s="1"/>
  <c r="F9" i="14"/>
  <c r="L9" i="14"/>
  <c r="O9" i="14"/>
  <c r="N9" i="14"/>
  <c r="J9" i="14"/>
  <c r="G9" i="14"/>
  <c r="M9" i="14"/>
  <c r="K9" i="14"/>
  <c r="H9" i="14"/>
  <c r="I9" i="14"/>
  <c r="J64" i="14"/>
  <c r="J2" i="14"/>
  <c r="K6" i="14"/>
  <c r="H35" i="15" s="1"/>
  <c r="H51" i="15" s="1"/>
  <c r="J12" i="14"/>
  <c r="M40" i="15"/>
  <c r="M37" i="15"/>
  <c r="G20" i="13"/>
  <c r="F13" i="13" l="1"/>
  <c r="F14" i="13"/>
  <c r="AC9" i="14"/>
  <c r="G21" i="11"/>
  <c r="F21" i="11"/>
  <c r="I16" i="21"/>
  <c r="Z80" i="14"/>
  <c r="Y24" i="21"/>
  <c r="Y26" i="21" s="1"/>
  <c r="AB7" i="19"/>
  <c r="Q16" i="14"/>
  <c r="AC15" i="14"/>
  <c r="AB9" i="19" s="1"/>
  <c r="K15" i="14"/>
  <c r="D15" i="14"/>
  <c r="J15" i="14"/>
  <c r="N15" i="14"/>
  <c r="F15" i="14"/>
  <c r="P38" i="14"/>
  <c r="H15" i="14"/>
  <c r="L15" i="14"/>
  <c r="M15" i="14"/>
  <c r="O15" i="14"/>
  <c r="I15" i="14"/>
  <c r="G15" i="14"/>
  <c r="E15" i="14"/>
  <c r="P39" i="14"/>
  <c r="P34" i="14"/>
  <c r="P29" i="14"/>
  <c r="P37" i="14"/>
  <c r="P42" i="14"/>
  <c r="C9" i="14"/>
  <c r="P18" i="14"/>
  <c r="P8" i="14"/>
  <c r="E9" i="14"/>
  <c r="P41" i="14"/>
  <c r="P45" i="14"/>
  <c r="P44" i="14"/>
  <c r="P50" i="14"/>
  <c r="P40" i="14"/>
  <c r="P49" i="14"/>
  <c r="P46" i="14"/>
  <c r="P47" i="14"/>
  <c r="P48" i="14"/>
  <c r="P43" i="14"/>
  <c r="P14" i="14"/>
  <c r="K64" i="14"/>
  <c r="K2" i="14"/>
  <c r="L6" i="14"/>
  <c r="I35" i="15" s="1"/>
  <c r="I51" i="15" s="1"/>
  <c r="K12" i="14"/>
  <c r="P7" i="14"/>
  <c r="D9" i="14"/>
  <c r="G21" i="13"/>
  <c r="F15" i="13" l="1"/>
  <c r="J16" i="21"/>
  <c r="AA80" i="14"/>
  <c r="Z24" i="21"/>
  <c r="Z26" i="21" s="1"/>
  <c r="L1" i="19"/>
  <c r="K32" i="19" s="1"/>
  <c r="L64" i="14"/>
  <c r="L2" i="14"/>
  <c r="M6" i="14"/>
  <c r="J35" i="15" s="1"/>
  <c r="J51" i="15" s="1"/>
  <c r="L12" i="14"/>
  <c r="P9" i="14"/>
  <c r="G23" i="13"/>
  <c r="G25" i="13" s="1"/>
  <c r="F16" i="13" l="1"/>
  <c r="K16" i="21"/>
  <c r="AB80" i="14"/>
  <c r="AC80" i="14" s="1"/>
  <c r="AA24" i="21"/>
  <c r="AA26" i="21" s="1"/>
  <c r="I32" i="19"/>
  <c r="AF38" i="14"/>
  <c r="AE32" i="19" s="1"/>
  <c r="AA32" i="19"/>
  <c r="AD38" i="14"/>
  <c r="AC32" i="19" s="1"/>
  <c r="AE38" i="14"/>
  <c r="AD32" i="19" s="1"/>
  <c r="K27" i="19"/>
  <c r="K13" i="19"/>
  <c r="K14" i="19"/>
  <c r="K8" i="19"/>
  <c r="K22" i="19"/>
  <c r="K42" i="19"/>
  <c r="K25" i="19"/>
  <c r="K31" i="19"/>
  <c r="K20" i="19"/>
  <c r="K15" i="19"/>
  <c r="K37" i="19"/>
  <c r="K36" i="19"/>
  <c r="K17" i="19"/>
  <c r="K11" i="19"/>
  <c r="K43" i="19"/>
  <c r="K34" i="19"/>
  <c r="K40" i="19"/>
  <c r="K24" i="19"/>
  <c r="K33" i="19"/>
  <c r="K30" i="19"/>
  <c r="K19" i="19"/>
  <c r="K35" i="19"/>
  <c r="K21" i="19"/>
  <c r="K18" i="19"/>
  <c r="K12" i="19"/>
  <c r="K28" i="19"/>
  <c r="K44" i="19"/>
  <c r="K7" i="19"/>
  <c r="K41" i="19"/>
  <c r="K38" i="19"/>
  <c r="K23" i="19"/>
  <c r="K39" i="19"/>
  <c r="K29" i="19"/>
  <c r="K26" i="19"/>
  <c r="K16" i="19"/>
  <c r="C38" i="14"/>
  <c r="J32" i="19"/>
  <c r="L32" i="19"/>
  <c r="M64" i="14"/>
  <c r="M2" i="14"/>
  <c r="N6" i="14"/>
  <c r="K35" i="15" s="1"/>
  <c r="K51" i="15" s="1"/>
  <c r="M12" i="14"/>
  <c r="H20" i="13"/>
  <c r="G12" i="13" l="1"/>
  <c r="G13" i="13" s="1"/>
  <c r="H21" i="13"/>
  <c r="H23" i="13" s="1"/>
  <c r="H25" i="13" s="1"/>
  <c r="L16" i="21"/>
  <c r="AB24" i="21"/>
  <c r="AB26" i="21" s="1"/>
  <c r="AD29" i="14"/>
  <c r="AC23" i="19" s="1"/>
  <c r="AE29" i="14"/>
  <c r="AD23" i="19" s="1"/>
  <c r="AF29" i="14"/>
  <c r="AE23" i="19" s="1"/>
  <c r="AD28" i="14"/>
  <c r="AC22" i="19" s="1"/>
  <c r="AE28" i="14"/>
  <c r="AD22" i="19" s="1"/>
  <c r="AF28" i="14"/>
  <c r="AE22" i="19" s="1"/>
  <c r="I16" i="19"/>
  <c r="AF22" i="14"/>
  <c r="AE16" i="19" s="1"/>
  <c r="AE22" i="14"/>
  <c r="AD16" i="19" s="1"/>
  <c r="AD22" i="14"/>
  <c r="AC16" i="19" s="1"/>
  <c r="AA16" i="19"/>
  <c r="I23" i="19"/>
  <c r="AA23" i="19"/>
  <c r="I44" i="19"/>
  <c r="AD50" i="14"/>
  <c r="AC44" i="19" s="1"/>
  <c r="AA44" i="19"/>
  <c r="AF50" i="14"/>
  <c r="AE44" i="19" s="1"/>
  <c r="AE50" i="14"/>
  <c r="AD44" i="19" s="1"/>
  <c r="I21" i="19"/>
  <c r="AA21" i="19"/>
  <c r="I25" i="19"/>
  <c r="AD31" i="14"/>
  <c r="AC25" i="19" s="1"/>
  <c r="AE31" i="14"/>
  <c r="AD25" i="19" s="1"/>
  <c r="AA25" i="19"/>
  <c r="AF31" i="14"/>
  <c r="AE25" i="19" s="1"/>
  <c r="I14" i="19"/>
  <c r="AE20" i="14"/>
  <c r="AD14" i="19" s="1"/>
  <c r="AD20" i="14"/>
  <c r="AC14" i="19" s="1"/>
  <c r="AA14" i="19"/>
  <c r="AF20" i="14"/>
  <c r="AE14" i="19" s="1"/>
  <c r="I26" i="19"/>
  <c r="AE32" i="14"/>
  <c r="AD26" i="19" s="1"/>
  <c r="AD32" i="14"/>
  <c r="AC26" i="19" s="1"/>
  <c r="AF32" i="14"/>
  <c r="AE26" i="19" s="1"/>
  <c r="AA26" i="19"/>
  <c r="I28" i="19"/>
  <c r="AF34" i="14"/>
  <c r="AE28" i="19" s="1"/>
  <c r="AD34" i="14"/>
  <c r="AC28" i="19" s="1"/>
  <c r="AE34" i="14"/>
  <c r="AD28" i="19" s="1"/>
  <c r="AA28" i="19"/>
  <c r="I24" i="19"/>
  <c r="AF30" i="14"/>
  <c r="AE24" i="19" s="1"/>
  <c r="AD30" i="14"/>
  <c r="AC24" i="19" s="1"/>
  <c r="AE30" i="14"/>
  <c r="AD24" i="19" s="1"/>
  <c r="AA24" i="19"/>
  <c r="I11" i="19"/>
  <c r="AF17" i="14"/>
  <c r="AE11" i="19" s="1"/>
  <c r="AE17" i="14"/>
  <c r="AD11" i="19" s="1"/>
  <c r="AD17" i="14"/>
  <c r="AC11" i="19" s="1"/>
  <c r="AA11" i="19"/>
  <c r="I15" i="19"/>
  <c r="AF21" i="14"/>
  <c r="AE15" i="19" s="1"/>
  <c r="AE21" i="14"/>
  <c r="AD15" i="19" s="1"/>
  <c r="AD21" i="14"/>
  <c r="AC15" i="19" s="1"/>
  <c r="AA15" i="19"/>
  <c r="I13" i="19"/>
  <c r="AD19" i="14"/>
  <c r="AC13" i="19" s="1"/>
  <c r="AF19" i="14"/>
  <c r="AE13" i="19" s="1"/>
  <c r="AA13" i="19"/>
  <c r="AE19" i="14"/>
  <c r="AD13" i="19" s="1"/>
  <c r="I29" i="19"/>
  <c r="AD35" i="14"/>
  <c r="AC29" i="19" s="1"/>
  <c r="AE35" i="14"/>
  <c r="AD29" i="19" s="1"/>
  <c r="AF35" i="14"/>
  <c r="AE29" i="19" s="1"/>
  <c r="AA29" i="19"/>
  <c r="I12" i="19"/>
  <c r="AF18" i="14"/>
  <c r="AE12" i="19" s="1"/>
  <c r="AE18" i="14"/>
  <c r="AD12" i="19" s="1"/>
  <c r="AD18" i="14"/>
  <c r="AC12" i="19" s="1"/>
  <c r="AA12" i="19"/>
  <c r="I19" i="19"/>
  <c r="AF25" i="14"/>
  <c r="AE19" i="19" s="1"/>
  <c r="AE25" i="14"/>
  <c r="AD19" i="19" s="1"/>
  <c r="AD25" i="14"/>
  <c r="AC19" i="19" s="1"/>
  <c r="AA19" i="19"/>
  <c r="I17" i="19"/>
  <c r="AD23" i="14"/>
  <c r="AC17" i="19" s="1"/>
  <c r="AF23" i="14"/>
  <c r="AE17" i="19" s="1"/>
  <c r="AA17" i="19"/>
  <c r="AE23" i="14"/>
  <c r="AD17" i="19" s="1"/>
  <c r="I20" i="19"/>
  <c r="AF26" i="14"/>
  <c r="AE20" i="19" s="1"/>
  <c r="AE26" i="14"/>
  <c r="AD20" i="19" s="1"/>
  <c r="AD26" i="14"/>
  <c r="AC20" i="19" s="1"/>
  <c r="AA20" i="19"/>
  <c r="I22" i="19"/>
  <c r="AA22" i="19"/>
  <c r="I27" i="19"/>
  <c r="AA27" i="19"/>
  <c r="I7" i="19"/>
  <c r="AD13" i="14"/>
  <c r="AF13" i="14"/>
  <c r="AE13" i="14"/>
  <c r="AA7" i="19"/>
  <c r="I18" i="19"/>
  <c r="AE24" i="14"/>
  <c r="AD18" i="19" s="1"/>
  <c r="AD24" i="14"/>
  <c r="AC18" i="19" s="1"/>
  <c r="AA18" i="19"/>
  <c r="AF24" i="14"/>
  <c r="AE18" i="19" s="1"/>
  <c r="I30" i="19"/>
  <c r="AE36" i="14"/>
  <c r="AD30" i="19" s="1"/>
  <c r="AD36" i="14"/>
  <c r="AC30" i="19" s="1"/>
  <c r="AF36" i="14"/>
  <c r="AE30" i="19" s="1"/>
  <c r="AA30" i="19"/>
  <c r="I31" i="19"/>
  <c r="AA31" i="19"/>
  <c r="I8" i="19"/>
  <c r="AA8" i="19"/>
  <c r="I36" i="19"/>
  <c r="AE42" i="14"/>
  <c r="AD36" i="19" s="1"/>
  <c r="AD42" i="14"/>
  <c r="AC36" i="19" s="1"/>
  <c r="AA36" i="19"/>
  <c r="AF42" i="14"/>
  <c r="AE36" i="19" s="1"/>
  <c r="I37" i="19"/>
  <c r="AF43" i="14"/>
  <c r="AE37" i="19" s="1"/>
  <c r="AA37" i="19"/>
  <c r="AE43" i="14"/>
  <c r="AD37" i="19" s="1"/>
  <c r="AD43" i="14"/>
  <c r="AC37" i="19" s="1"/>
  <c r="I35" i="19"/>
  <c r="AD41" i="14"/>
  <c r="AC35" i="19" s="1"/>
  <c r="AA35" i="19"/>
  <c r="AF41" i="14"/>
  <c r="AE35" i="19" s="1"/>
  <c r="AE41" i="14"/>
  <c r="AD35" i="19" s="1"/>
  <c r="I42" i="19"/>
  <c r="AF48" i="14"/>
  <c r="AE42" i="19" s="1"/>
  <c r="AE48" i="14"/>
  <c r="AD42" i="19" s="1"/>
  <c r="AA42" i="19"/>
  <c r="AD48" i="14"/>
  <c r="AC42" i="19" s="1"/>
  <c r="I39" i="19"/>
  <c r="AD45" i="14"/>
  <c r="AC39" i="19" s="1"/>
  <c r="AA39" i="19"/>
  <c r="AF45" i="14"/>
  <c r="AE39" i="19" s="1"/>
  <c r="AE45" i="14"/>
  <c r="AD39" i="19" s="1"/>
  <c r="I34" i="19"/>
  <c r="AF40" i="14"/>
  <c r="AE34" i="19" s="1"/>
  <c r="AE40" i="14"/>
  <c r="AD34" i="19" s="1"/>
  <c r="AA34" i="19"/>
  <c r="AD40" i="14"/>
  <c r="AC34" i="19" s="1"/>
  <c r="I33" i="19"/>
  <c r="AF39" i="14"/>
  <c r="AA33" i="19"/>
  <c r="AE39" i="14"/>
  <c r="AD39" i="14"/>
  <c r="I43" i="19"/>
  <c r="AD49" i="14"/>
  <c r="AC43" i="19" s="1"/>
  <c r="AA43" i="19"/>
  <c r="AF49" i="14"/>
  <c r="AE43" i="19" s="1"/>
  <c r="AE49" i="14"/>
  <c r="AD43" i="19" s="1"/>
  <c r="I38" i="19"/>
  <c r="AF44" i="14"/>
  <c r="AE38" i="19" s="1"/>
  <c r="AE44" i="14"/>
  <c r="AD38" i="19" s="1"/>
  <c r="AA38" i="19"/>
  <c r="AD44" i="14"/>
  <c r="AC38" i="19" s="1"/>
  <c r="I41" i="19"/>
  <c r="AF47" i="14"/>
  <c r="AE41" i="19" s="1"/>
  <c r="AA41" i="19"/>
  <c r="AE47" i="14"/>
  <c r="AD41" i="19" s="1"/>
  <c r="AD47" i="14"/>
  <c r="AC41" i="19" s="1"/>
  <c r="I40" i="19"/>
  <c r="AE46" i="14"/>
  <c r="AD40" i="19" s="1"/>
  <c r="AD46" i="14"/>
  <c r="AC40" i="19" s="1"/>
  <c r="AA40" i="19"/>
  <c r="AF46" i="14"/>
  <c r="AE40" i="19" s="1"/>
  <c r="J27" i="19"/>
  <c r="J13" i="19"/>
  <c r="B27" i="18" s="1"/>
  <c r="C33" i="14"/>
  <c r="L27" i="19"/>
  <c r="C20" i="14"/>
  <c r="L13" i="19"/>
  <c r="L8" i="19"/>
  <c r="J14" i="19"/>
  <c r="B28" i="18" s="1"/>
  <c r="L14" i="19"/>
  <c r="L20" i="19"/>
  <c r="C19" i="14"/>
  <c r="C14" i="14"/>
  <c r="L31" i="19"/>
  <c r="J42" i="19"/>
  <c r="C21" i="14"/>
  <c r="J8" i="19"/>
  <c r="B22" i="18" s="1"/>
  <c r="L22" i="19"/>
  <c r="L15" i="19"/>
  <c r="L38" i="19"/>
  <c r="C30" i="14"/>
  <c r="C28" i="14"/>
  <c r="J17" i="19"/>
  <c r="B31" i="18" s="1"/>
  <c r="C27" i="14"/>
  <c r="E27" i="14" s="1"/>
  <c r="L25" i="19"/>
  <c r="L42" i="19"/>
  <c r="C31" i="14"/>
  <c r="J37" i="19"/>
  <c r="L11" i="19"/>
  <c r="L28" i="19"/>
  <c r="C48" i="14"/>
  <c r="J22" i="19"/>
  <c r="B36" i="18" s="1"/>
  <c r="J25" i="19"/>
  <c r="B39" i="18" s="1"/>
  <c r="C22" i="14"/>
  <c r="I22" i="14" s="1"/>
  <c r="C43" i="14"/>
  <c r="J31" i="19"/>
  <c r="J20" i="19"/>
  <c r="B34" i="18" s="1"/>
  <c r="C37" i="14"/>
  <c r="C26" i="14"/>
  <c r="C42" i="14"/>
  <c r="L34" i="19"/>
  <c r="C18" i="14"/>
  <c r="J40" i="19"/>
  <c r="L40" i="19"/>
  <c r="L18" i="19"/>
  <c r="C46" i="14"/>
  <c r="C23" i="14"/>
  <c r="K10" i="19"/>
  <c r="J34" i="19"/>
  <c r="L30" i="19"/>
  <c r="K9" i="19"/>
  <c r="L36" i="19"/>
  <c r="C40" i="14"/>
  <c r="J43" i="19"/>
  <c r="C36" i="14"/>
  <c r="L39" i="19"/>
  <c r="C13" i="14"/>
  <c r="J24" i="19"/>
  <c r="B38" i="18" s="1"/>
  <c r="J15" i="19"/>
  <c r="B29" i="18" s="1"/>
  <c r="J36" i="19"/>
  <c r="L37" i="19"/>
  <c r="J21" i="19"/>
  <c r="B35" i="18" s="1"/>
  <c r="L33" i="19"/>
  <c r="C49" i="14"/>
  <c r="J44" i="19"/>
  <c r="J35" i="19"/>
  <c r="C39" i="14"/>
  <c r="C17" i="14"/>
  <c r="L16" i="19"/>
  <c r="C50" i="14"/>
  <c r="L21" i="19"/>
  <c r="J33" i="19"/>
  <c r="L24" i="19"/>
  <c r="L43" i="19"/>
  <c r="J11" i="19"/>
  <c r="B25" i="18" s="1"/>
  <c r="L17" i="19"/>
  <c r="J16" i="19"/>
  <c r="B30" i="18" s="1"/>
  <c r="J23" i="19"/>
  <c r="B37" i="18" s="1"/>
  <c r="L44" i="19"/>
  <c r="L23" i="19"/>
  <c r="C29" i="14"/>
  <c r="J18" i="19"/>
  <c r="B32" i="18" s="1"/>
  <c r="J30" i="19"/>
  <c r="C45" i="14"/>
  <c r="L7" i="19"/>
  <c r="C24" i="14"/>
  <c r="J39" i="19"/>
  <c r="J7" i="19"/>
  <c r="B21" i="18" s="1"/>
  <c r="J28" i="19"/>
  <c r="C41" i="14"/>
  <c r="C34" i="14"/>
  <c r="J19" i="19"/>
  <c r="B33" i="18" s="1"/>
  <c r="J38" i="19"/>
  <c r="J26" i="19"/>
  <c r="B40" i="18" s="1"/>
  <c r="C47" i="14"/>
  <c r="C44" i="14"/>
  <c r="C32" i="14"/>
  <c r="J12" i="19"/>
  <c r="B26" i="18" s="1"/>
  <c r="L35" i="19"/>
  <c r="C25" i="14"/>
  <c r="J29" i="19"/>
  <c r="L41" i="19"/>
  <c r="L29" i="19"/>
  <c r="J41" i="19"/>
  <c r="L12" i="19"/>
  <c r="L19" i="19"/>
  <c r="L26" i="19"/>
  <c r="C35" i="14"/>
  <c r="N64" i="14"/>
  <c r="N2" i="14"/>
  <c r="O6" i="14"/>
  <c r="N12" i="14"/>
  <c r="G14" i="13" l="1"/>
  <c r="G15" i="13" s="1"/>
  <c r="M16" i="21"/>
  <c r="AD80" i="14"/>
  <c r="AC24" i="21"/>
  <c r="AC26" i="21" s="1"/>
  <c r="Y35" i="14"/>
  <c r="U35" i="14"/>
  <c r="Q35" i="14"/>
  <c r="AB35" i="14"/>
  <c r="X35" i="14"/>
  <c r="T35" i="14"/>
  <c r="V35" i="14"/>
  <c r="S35" i="14"/>
  <c r="Z35" i="14"/>
  <c r="R35" i="14"/>
  <c r="W35" i="14"/>
  <c r="AA35" i="14"/>
  <c r="AA25" i="14"/>
  <c r="W25" i="14"/>
  <c r="S25" i="14"/>
  <c r="Z25" i="14"/>
  <c r="V25" i="14"/>
  <c r="R25" i="14"/>
  <c r="U25" i="14"/>
  <c r="AB25" i="14"/>
  <c r="Y25" i="14"/>
  <c r="Q25" i="14"/>
  <c r="X25" i="14"/>
  <c r="T25" i="14"/>
  <c r="I10" i="19"/>
  <c r="AA10" i="19"/>
  <c r="AA21" i="14"/>
  <c r="W21" i="14"/>
  <c r="S21" i="14"/>
  <c r="Z21" i="14"/>
  <c r="V21" i="14"/>
  <c r="R21" i="14"/>
  <c r="U21" i="14"/>
  <c r="T21" i="14"/>
  <c r="Y21" i="14"/>
  <c r="Q21" i="14"/>
  <c r="X21" i="14"/>
  <c r="AB21" i="14"/>
  <c r="Z36" i="14"/>
  <c r="V36" i="14"/>
  <c r="R36" i="14"/>
  <c r="Y36" i="14"/>
  <c r="U36" i="14"/>
  <c r="Q36" i="14"/>
  <c r="W36" i="14"/>
  <c r="T36" i="14"/>
  <c r="AA36" i="14"/>
  <c r="S36" i="14"/>
  <c r="X36" i="14"/>
  <c r="AB36" i="14"/>
  <c r="I9" i="19"/>
  <c r="AA9" i="19"/>
  <c r="AD7" i="19"/>
  <c r="AE16" i="14"/>
  <c r="AD10" i="19" s="1"/>
  <c r="AE15" i="14"/>
  <c r="AD9" i="19" s="1"/>
  <c r="AF16" i="14"/>
  <c r="AE10" i="19" s="1"/>
  <c r="AE7" i="19"/>
  <c r="AF15" i="14"/>
  <c r="AE9" i="19" s="1"/>
  <c r="AC7" i="19"/>
  <c r="AD16" i="14"/>
  <c r="AC10" i="19" s="1"/>
  <c r="AD15" i="14"/>
  <c r="AC9" i="19" s="1"/>
  <c r="AD33" i="19"/>
  <c r="AE33" i="19"/>
  <c r="AC33" i="19"/>
  <c r="E23" i="14"/>
  <c r="F28" i="14"/>
  <c r="G36" i="14"/>
  <c r="D36" i="14"/>
  <c r="L36" i="14"/>
  <c r="O36" i="14"/>
  <c r="I36" i="14"/>
  <c r="M36" i="14"/>
  <c r="N36" i="14"/>
  <c r="E36" i="14"/>
  <c r="K36" i="14"/>
  <c r="J36" i="14"/>
  <c r="F36" i="14"/>
  <c r="H36" i="14"/>
  <c r="I35" i="14"/>
  <c r="N35" i="14"/>
  <c r="K35" i="14"/>
  <c r="F35" i="14"/>
  <c r="D35" i="14"/>
  <c r="L35" i="14"/>
  <c r="O35" i="14"/>
  <c r="M35" i="14"/>
  <c r="E35" i="14"/>
  <c r="J35" i="14"/>
  <c r="H35" i="14"/>
  <c r="G35" i="14"/>
  <c r="K33" i="14"/>
  <c r="H33" i="14"/>
  <c r="I33" i="14"/>
  <c r="M33" i="14"/>
  <c r="N33" i="14"/>
  <c r="E33" i="14"/>
  <c r="J33" i="14"/>
  <c r="F33" i="14"/>
  <c r="G33" i="14"/>
  <c r="D33" i="14"/>
  <c r="L33" i="14"/>
  <c r="O33" i="14"/>
  <c r="N32" i="14"/>
  <c r="K32" i="14"/>
  <c r="F32" i="14"/>
  <c r="G32" i="14"/>
  <c r="D32" i="14"/>
  <c r="O32" i="14"/>
  <c r="H32" i="14"/>
  <c r="E32" i="14"/>
  <c r="M32" i="14"/>
  <c r="J32" i="14"/>
  <c r="I32" i="14"/>
  <c r="L32" i="14"/>
  <c r="I25" i="14"/>
  <c r="K25" i="14"/>
  <c r="M25" i="14"/>
  <c r="H25" i="14"/>
  <c r="O25" i="14"/>
  <c r="G25" i="14"/>
  <c r="E25" i="14"/>
  <c r="D25" i="14"/>
  <c r="J25" i="14"/>
  <c r="N25" i="14"/>
  <c r="F25" i="14"/>
  <c r="L25" i="14"/>
  <c r="K21" i="14"/>
  <c r="G21" i="14"/>
  <c r="J21" i="14"/>
  <c r="M21" i="14"/>
  <c r="N21" i="14"/>
  <c r="F21" i="14"/>
  <c r="D21" i="14"/>
  <c r="L21" i="14"/>
  <c r="O21" i="14"/>
  <c r="I21" i="14"/>
  <c r="E21" i="14"/>
  <c r="H21" i="14"/>
  <c r="J20" i="14"/>
  <c r="D20" i="14"/>
  <c r="L20" i="14"/>
  <c r="E20" i="14"/>
  <c r="H20" i="14"/>
  <c r="K20" i="14"/>
  <c r="G20" i="14"/>
  <c r="I20" i="14"/>
  <c r="N20" i="14"/>
  <c r="F20" i="14"/>
  <c r="M20" i="14"/>
  <c r="O20" i="14"/>
  <c r="E31" i="14"/>
  <c r="M31" i="14"/>
  <c r="G31" i="14"/>
  <c r="L31" i="14"/>
  <c r="I31" i="14"/>
  <c r="N31" i="14"/>
  <c r="F31" i="14"/>
  <c r="D31" i="14"/>
  <c r="K31" i="14"/>
  <c r="J31" i="14"/>
  <c r="H31" i="14"/>
  <c r="O31" i="14"/>
  <c r="I30" i="14"/>
  <c r="M30" i="14"/>
  <c r="N30" i="14"/>
  <c r="E30" i="14"/>
  <c r="J30" i="14"/>
  <c r="F30" i="14"/>
  <c r="O30" i="14"/>
  <c r="D30" i="14"/>
  <c r="L30" i="14"/>
  <c r="G30" i="14"/>
  <c r="H30" i="14"/>
  <c r="K30" i="14"/>
  <c r="M24" i="14"/>
  <c r="K24" i="14"/>
  <c r="O24" i="14"/>
  <c r="H24" i="14"/>
  <c r="D24" i="14"/>
  <c r="N24" i="14"/>
  <c r="J24" i="14"/>
  <c r="F24" i="14"/>
  <c r="G24" i="14"/>
  <c r="E24" i="14"/>
  <c r="I24" i="14"/>
  <c r="L24" i="14"/>
  <c r="O19" i="14"/>
  <c r="K19" i="14"/>
  <c r="G19" i="14"/>
  <c r="I19" i="14"/>
  <c r="M19" i="14"/>
  <c r="E19" i="14"/>
  <c r="H19" i="14"/>
  <c r="D19" i="14"/>
  <c r="L19" i="14"/>
  <c r="N19" i="14"/>
  <c r="F19" i="14"/>
  <c r="J19" i="14"/>
  <c r="N26" i="14"/>
  <c r="F26" i="14"/>
  <c r="G26" i="14"/>
  <c r="K26" i="14"/>
  <c r="L26" i="14"/>
  <c r="E26" i="14"/>
  <c r="M26" i="14"/>
  <c r="J26" i="14"/>
  <c r="O26" i="14"/>
  <c r="I26" i="14"/>
  <c r="H26" i="14"/>
  <c r="D26" i="14"/>
  <c r="N27" i="14"/>
  <c r="H27" i="14"/>
  <c r="L9" i="19"/>
  <c r="L27" i="14"/>
  <c r="F27" i="14"/>
  <c r="M27" i="14"/>
  <c r="O27" i="14"/>
  <c r="I27" i="14"/>
  <c r="K27" i="14"/>
  <c r="G27" i="14"/>
  <c r="L28" i="14"/>
  <c r="E22" i="14"/>
  <c r="I28" i="14"/>
  <c r="N28" i="14"/>
  <c r="F22" i="14"/>
  <c r="K28" i="14"/>
  <c r="M28" i="14"/>
  <c r="O22" i="14"/>
  <c r="D28" i="14"/>
  <c r="O28" i="14"/>
  <c r="D22" i="14"/>
  <c r="J27" i="14"/>
  <c r="D27" i="14"/>
  <c r="J28" i="14"/>
  <c r="H28" i="14"/>
  <c r="E28" i="14"/>
  <c r="M22" i="14"/>
  <c r="G28" i="14"/>
  <c r="J22" i="14"/>
  <c r="L22" i="14"/>
  <c r="N23" i="14"/>
  <c r="K22" i="14"/>
  <c r="G22" i="14"/>
  <c r="L23" i="14"/>
  <c r="N22" i="14"/>
  <c r="H22" i="14"/>
  <c r="I23" i="14"/>
  <c r="J10" i="19"/>
  <c r="B24" i="18" s="1"/>
  <c r="J9" i="19"/>
  <c r="B23" i="18" s="1"/>
  <c r="K23" i="14"/>
  <c r="G23" i="14"/>
  <c r="M23" i="14"/>
  <c r="F23" i="14"/>
  <c r="D23" i="14"/>
  <c r="O23" i="14"/>
  <c r="C15" i="14"/>
  <c r="J23" i="14"/>
  <c r="H23" i="14"/>
  <c r="L10" i="19"/>
  <c r="K5" i="19"/>
  <c r="P17" i="14"/>
  <c r="O2" i="14"/>
  <c r="L35" i="15"/>
  <c r="L51" i="15" s="1"/>
  <c r="O12" i="14"/>
  <c r="O64" i="14"/>
  <c r="I20" i="13"/>
  <c r="G16" i="13" l="1"/>
  <c r="N16" i="21"/>
  <c r="AE80" i="14"/>
  <c r="AD24" i="21"/>
  <c r="AD26" i="21" s="1"/>
  <c r="AA5" i="19"/>
  <c r="I5" i="19"/>
  <c r="AC25" i="14"/>
  <c r="AB19" i="19" s="1"/>
  <c r="AC5" i="19"/>
  <c r="AE5" i="19"/>
  <c r="AD5" i="19"/>
  <c r="L5" i="19"/>
  <c r="AC36" i="14"/>
  <c r="AB30" i="19" s="1"/>
  <c r="AC21" i="14"/>
  <c r="AB15" i="19" s="1"/>
  <c r="AC35" i="14"/>
  <c r="AB29" i="19" s="1"/>
  <c r="AC20" i="14"/>
  <c r="AB14" i="19" s="1"/>
  <c r="AC24" i="14"/>
  <c r="AB18" i="19" s="1"/>
  <c r="AC29" i="14"/>
  <c r="AB23" i="19" s="1"/>
  <c r="AC23" i="14"/>
  <c r="AB17" i="19" s="1"/>
  <c r="AC28" i="14"/>
  <c r="AB22" i="19" s="1"/>
  <c r="P36" i="14"/>
  <c r="P35" i="14"/>
  <c r="P33" i="14"/>
  <c r="P31" i="14"/>
  <c r="P32" i="14"/>
  <c r="P25" i="14"/>
  <c r="P21" i="14"/>
  <c r="P20" i="14"/>
  <c r="P30" i="14"/>
  <c r="P24" i="14"/>
  <c r="P19" i="14"/>
  <c r="P26" i="14"/>
  <c r="P27" i="14"/>
  <c r="P28" i="14"/>
  <c r="J5" i="19"/>
  <c r="B20" i="18" s="1"/>
  <c r="C35" i="18" s="1"/>
  <c r="P22" i="14"/>
  <c r="P23" i="14"/>
  <c r="I21" i="13"/>
  <c r="I23" i="13" s="1"/>
  <c r="I25" i="13" s="1"/>
  <c r="H12" i="13" l="1"/>
  <c r="H13" i="13" s="1"/>
  <c r="O16" i="21"/>
  <c r="AF80" i="14"/>
  <c r="AF24" i="21" s="1"/>
  <c r="AF26" i="21" s="1"/>
  <c r="AE24" i="21"/>
  <c r="AE26" i="21" s="1"/>
  <c r="R16" i="14"/>
  <c r="C32" i="18"/>
  <c r="C24" i="18"/>
  <c r="C41" i="18"/>
  <c r="C33" i="18"/>
  <c r="C31" i="18"/>
  <c r="C38" i="18"/>
  <c r="C28" i="18"/>
  <c r="C23" i="18"/>
  <c r="C34" i="18"/>
  <c r="C36" i="18"/>
  <c r="C22" i="18"/>
  <c r="C21" i="18"/>
  <c r="C42" i="18"/>
  <c r="C37" i="18"/>
  <c r="C30" i="18"/>
  <c r="C39" i="18"/>
  <c r="C26" i="18"/>
  <c r="C29" i="18"/>
  <c r="C27" i="18"/>
  <c r="C25" i="18"/>
  <c r="C40" i="18"/>
  <c r="J20" i="13"/>
  <c r="H14" i="13" l="1"/>
  <c r="H15" i="13"/>
  <c r="S16" i="14"/>
  <c r="J21" i="13"/>
  <c r="J23" i="13" s="1"/>
  <c r="J25" i="13" s="1"/>
  <c r="H16" i="13" l="1"/>
  <c r="Q16" i="21"/>
  <c r="R16" i="21" s="1"/>
  <c r="S16" i="21" s="1"/>
  <c r="T16" i="21" s="1"/>
  <c r="U16" i="21" s="1"/>
  <c r="V16" i="21" s="1"/>
  <c r="W16" i="21" s="1"/>
  <c r="X16" i="21" s="1"/>
  <c r="Y16" i="21" s="1"/>
  <c r="Z16" i="21" s="1"/>
  <c r="AA16" i="21" s="1"/>
  <c r="AB16" i="21" s="1"/>
  <c r="AC16" i="21" s="1"/>
  <c r="AD16" i="21" s="1"/>
  <c r="AE16" i="21" s="1"/>
  <c r="AF16" i="21" s="1"/>
  <c r="T16" i="14"/>
  <c r="K20" i="13"/>
  <c r="I12" i="13" l="1"/>
  <c r="I14" i="13" s="1"/>
  <c r="K21" i="13"/>
  <c r="K23" i="13" s="1"/>
  <c r="K25" i="13" s="1"/>
  <c r="L20" i="13" s="1"/>
  <c r="U16" i="14"/>
  <c r="I13" i="13" l="1"/>
  <c r="I15" i="13" s="1"/>
  <c r="I16" i="13" s="1"/>
  <c r="J12" i="13" s="1"/>
  <c r="J13" i="13" s="1"/>
  <c r="L21" i="13"/>
  <c r="L23" i="13" s="1"/>
  <c r="L25" i="13" s="1"/>
  <c r="M20" i="13" s="1"/>
  <c r="V16" i="14"/>
  <c r="J14" i="13" l="1"/>
  <c r="W16" i="14"/>
  <c r="M21" i="13"/>
  <c r="M23" i="13" s="1"/>
  <c r="M25" i="13" s="1"/>
  <c r="J15" i="13" l="1"/>
  <c r="J16" i="13" s="1"/>
  <c r="X16" i="14"/>
  <c r="N20" i="13"/>
  <c r="K12" i="13" l="1"/>
  <c r="K13" i="13" s="1"/>
  <c r="Y16" i="14"/>
  <c r="N21" i="13"/>
  <c r="N23" i="13" s="1"/>
  <c r="N25" i="13" s="1"/>
  <c r="K14" i="13" l="1"/>
  <c r="Z16" i="14"/>
  <c r="K15" i="13"/>
  <c r="P15" i="14"/>
  <c r="P13" i="14"/>
  <c r="C16" i="14" s="1"/>
  <c r="D16" i="14" s="1"/>
  <c r="O20" i="13"/>
  <c r="O21" i="13" l="1"/>
  <c r="P21" i="13" s="1"/>
  <c r="E16" i="14"/>
  <c r="F16" i="14" s="1"/>
  <c r="G16" i="14" s="1"/>
  <c r="H16" i="14" s="1"/>
  <c r="I16" i="14" s="1"/>
  <c r="J16" i="14" s="1"/>
  <c r="K16" i="14" s="1"/>
  <c r="L16" i="14" s="1"/>
  <c r="M16" i="14" s="1"/>
  <c r="N16" i="14" s="1"/>
  <c r="O16" i="14" s="1"/>
  <c r="AA16" i="14"/>
  <c r="K16" i="13"/>
  <c r="O23" i="13" l="1"/>
  <c r="O25" i="13" s="1"/>
  <c r="Q20" i="13" s="1"/>
  <c r="L12" i="13"/>
  <c r="L13" i="13" s="1"/>
  <c r="P16" i="14"/>
  <c r="AB16" i="14"/>
  <c r="P23" i="13"/>
  <c r="P25" i="13" s="1"/>
  <c r="L14" i="13" l="1"/>
  <c r="L15" i="13" s="1"/>
  <c r="AC16" i="14"/>
  <c r="AB10" i="19" s="1"/>
  <c r="AB5" i="19" s="1"/>
  <c r="Q21" i="13" l="1"/>
  <c r="Q23" i="13" s="1"/>
  <c r="Q25" i="13" s="1"/>
  <c r="L16" i="13"/>
  <c r="AC20" i="13"/>
  <c r="M12" i="13" l="1"/>
  <c r="M13" i="13" s="1"/>
  <c r="M14" i="13"/>
  <c r="R20" i="13"/>
  <c r="R21" i="13" l="1"/>
  <c r="R23" i="13" s="1"/>
  <c r="R25" i="13" s="1"/>
  <c r="M15" i="13"/>
  <c r="M16" i="13" l="1"/>
  <c r="S20" i="13"/>
  <c r="N12" i="13" l="1"/>
  <c r="N13" i="13" s="1"/>
  <c r="S21" i="13"/>
  <c r="S23" i="13" s="1"/>
  <c r="S25" i="13" s="1"/>
  <c r="N14" i="13"/>
  <c r="N15" i="13" l="1"/>
  <c r="T20" i="13"/>
  <c r="N16" i="13" l="1"/>
  <c r="T21" i="13"/>
  <c r="O12" i="13" l="1"/>
  <c r="O13" i="13" s="1"/>
  <c r="T23" i="13"/>
  <c r="T25" i="13" s="1"/>
  <c r="O14" i="13" l="1"/>
  <c r="O15" i="13"/>
  <c r="P13" i="13"/>
  <c r="P14" i="13"/>
  <c r="U20" i="13"/>
  <c r="P15" i="13" l="1"/>
  <c r="O16" i="13"/>
  <c r="Q12" i="13" s="1"/>
  <c r="U21" i="13"/>
  <c r="AC12" i="13" l="1"/>
  <c r="Q13" i="13"/>
  <c r="Q14" i="13"/>
  <c r="P16" i="13"/>
  <c r="U23" i="13"/>
  <c r="U25" i="13" s="1"/>
  <c r="Q15" i="13" l="1"/>
  <c r="Q16" i="13" s="1"/>
  <c r="R12" i="13" s="1"/>
  <c r="V20" i="13"/>
  <c r="R13" i="13" l="1"/>
  <c r="R14" i="13"/>
  <c r="V21" i="13"/>
  <c r="V23" i="13" s="1"/>
  <c r="V25" i="13" s="1"/>
  <c r="R15" i="13" l="1"/>
  <c r="R16" i="13" s="1"/>
  <c r="S12" i="13" s="1"/>
  <c r="S14" i="13" s="1"/>
  <c r="W20" i="13"/>
  <c r="S13" i="13" l="1"/>
  <c r="S15" i="13" s="1"/>
  <c r="S16" i="13" s="1"/>
  <c r="T12" i="13" s="1"/>
  <c r="T14" i="13" s="1"/>
  <c r="W21" i="13"/>
  <c r="W23" i="13" s="1"/>
  <c r="W25" i="13" s="1"/>
  <c r="T13" i="13" l="1"/>
  <c r="T15" i="13" s="1"/>
  <c r="T16" i="13"/>
  <c r="X20" i="13"/>
  <c r="U12" i="13" l="1"/>
  <c r="X21" i="13"/>
  <c r="X23" i="13" s="1"/>
  <c r="X25" i="13" s="1"/>
  <c r="Y20" i="13" s="1"/>
  <c r="U13" i="13"/>
  <c r="U14" i="13"/>
  <c r="Y21" i="13" l="1"/>
  <c r="Y23" i="13" s="1"/>
  <c r="Y25" i="13" s="1"/>
  <c r="Z20" i="13" s="1"/>
  <c r="U15" i="13"/>
  <c r="Z21" i="13" l="1"/>
  <c r="Z23" i="13" s="1"/>
  <c r="Z25" i="13" s="1"/>
  <c r="U16" i="13"/>
  <c r="V12" i="13" l="1"/>
  <c r="V14" i="13" s="1"/>
  <c r="AA20" i="13"/>
  <c r="V13" i="13" l="1"/>
  <c r="V15" i="13" s="1"/>
  <c r="AA21" i="13"/>
  <c r="AA23" i="13" s="1"/>
  <c r="AA25" i="13" s="1"/>
  <c r="V16" i="13" l="1"/>
  <c r="AB20" i="13"/>
  <c r="W12" i="13" l="1"/>
  <c r="W13" i="13" s="1"/>
  <c r="AB21" i="13"/>
  <c r="AB23" i="13" s="1"/>
  <c r="AB25" i="13" s="1"/>
  <c r="AD20" i="13" s="1"/>
  <c r="W14" i="13" l="1"/>
  <c r="W15" i="13" s="1"/>
  <c r="AC21" i="13"/>
  <c r="AC23" i="13" s="1"/>
  <c r="AC25" i="13" s="1"/>
  <c r="W16" i="13" l="1"/>
  <c r="X12" i="13" s="1"/>
  <c r="X13" i="13" l="1"/>
  <c r="X14" i="13"/>
  <c r="X15" i="13" l="1"/>
  <c r="X16" i="13" s="1"/>
  <c r="AD21" i="13"/>
  <c r="AD23" i="13" s="1"/>
  <c r="AD25" i="13" s="1"/>
  <c r="Y12" i="13" l="1"/>
  <c r="Y13" i="13" s="1"/>
  <c r="AE20" i="13"/>
  <c r="Y14" i="13" l="1"/>
  <c r="AE21" i="13"/>
  <c r="AE23" i="13" s="1"/>
  <c r="AE25" i="13" s="1"/>
  <c r="Y15" i="13" l="1"/>
  <c r="Y16" i="13" s="1"/>
  <c r="AF20" i="13"/>
  <c r="Z12" i="13" l="1"/>
  <c r="Z14" i="13" s="1"/>
  <c r="AF21" i="13"/>
  <c r="AF23" i="13" s="1"/>
  <c r="AF25" i="13" s="1"/>
  <c r="Z13" i="13" l="1"/>
  <c r="Z15" i="13" s="1"/>
  <c r="AG20" i="13"/>
  <c r="AG21" i="13" l="1"/>
  <c r="AG23" i="13" s="1"/>
  <c r="AG25" i="13" s="1"/>
  <c r="Z16" i="13"/>
  <c r="AA12" i="13" l="1"/>
  <c r="AA13" i="13"/>
  <c r="AH20" i="13"/>
  <c r="AA14" i="13" l="1"/>
  <c r="AH21" i="13"/>
  <c r="AH23" i="13" s="1"/>
  <c r="AH25" i="13" s="1"/>
  <c r="AA15" i="13" l="1"/>
  <c r="AA16" i="13" s="1"/>
  <c r="AB12" i="13" l="1"/>
  <c r="AB14" i="13" s="1"/>
  <c r="AI20" i="13"/>
  <c r="AB13" i="13" l="1"/>
  <c r="AC13" i="13" s="1"/>
  <c r="AI21" i="13"/>
  <c r="AI23" i="13" s="1"/>
  <c r="AI25" i="13" s="1"/>
  <c r="AC14" i="13"/>
  <c r="AB15" i="13" l="1"/>
  <c r="AB16" i="13" s="1"/>
  <c r="AC15" i="13"/>
  <c r="AJ20" i="13"/>
  <c r="AD13" i="13" l="1"/>
  <c r="AD14" i="13"/>
  <c r="AC16" i="13"/>
  <c r="AJ21" i="13"/>
  <c r="AJ23" i="13" s="1"/>
  <c r="AJ25" i="13" s="1"/>
  <c r="AD15" i="13" l="1"/>
  <c r="AD16" i="13" s="1"/>
  <c r="AE12" i="13" s="1"/>
  <c r="AE13" i="13" s="1"/>
  <c r="AE14" i="13" l="1"/>
  <c r="AK20" i="13"/>
  <c r="AE15" i="13" l="1"/>
  <c r="AE16" i="13" s="1"/>
  <c r="AK21" i="13"/>
  <c r="AK23" i="13" s="1"/>
  <c r="AK25" i="13" s="1"/>
  <c r="AF12" i="13" l="1"/>
  <c r="AF13" i="13" l="1"/>
  <c r="AF14" i="13"/>
  <c r="AL20" i="13"/>
  <c r="AF15" i="13" l="1"/>
  <c r="AL21" i="13"/>
  <c r="AL23" i="13" s="1"/>
  <c r="AL25" i="13" s="1"/>
  <c r="AF16" i="13" l="1"/>
  <c r="AG12" i="13" l="1"/>
  <c r="AM20" i="13"/>
  <c r="AG14" i="13" l="1"/>
  <c r="AG13" i="13"/>
  <c r="AM21" i="13"/>
  <c r="AM23" i="13" s="1"/>
  <c r="AM25" i="13" s="1"/>
  <c r="AG15" i="13" l="1"/>
  <c r="AG16" i="13"/>
  <c r="AH12" i="13" s="1"/>
  <c r="AH14" i="13" l="1"/>
  <c r="AH13" i="13"/>
  <c r="AN20" i="13"/>
  <c r="AH15" i="13" l="1"/>
  <c r="AH16" i="13" s="1"/>
  <c r="AN21" i="13"/>
  <c r="AN23" i="13" s="1"/>
  <c r="AN25" i="13" s="1"/>
  <c r="AI12" i="13" l="1"/>
  <c r="AI13" i="13" l="1"/>
  <c r="AI14" i="13"/>
  <c r="AO20" i="13"/>
  <c r="AI15" i="13" l="1"/>
  <c r="AO21" i="13"/>
  <c r="AO23" i="13" s="1"/>
  <c r="AO25" i="13" s="1"/>
  <c r="AQ20" i="13" s="1"/>
  <c r="AI16" i="13" l="1"/>
  <c r="AJ12" i="13" l="1"/>
  <c r="AP20" i="13"/>
  <c r="AJ13" i="13" l="1"/>
  <c r="AJ14" i="13"/>
  <c r="AP21" i="13"/>
  <c r="AP23" i="13" s="1"/>
  <c r="AP25" i="13" s="1"/>
  <c r="AJ15" i="13" l="1"/>
  <c r="AQ21" i="13"/>
  <c r="AQ23" i="13" s="1"/>
  <c r="AQ25" i="13" s="1"/>
  <c r="AJ16" i="13" l="1"/>
  <c r="AR20" i="13"/>
  <c r="AK12" i="13" l="1"/>
  <c r="AR21" i="13"/>
  <c r="AR23" i="13" s="1"/>
  <c r="AR25" i="13" s="1"/>
  <c r="AK14" i="13" l="1"/>
  <c r="AK13" i="13"/>
  <c r="AS20" i="13"/>
  <c r="AK15" i="13" l="1"/>
  <c r="AK16" i="13"/>
  <c r="AS21" i="13"/>
  <c r="AS23" i="13" s="1"/>
  <c r="AS25" i="13" s="1"/>
  <c r="AL12" i="13" l="1"/>
  <c r="AL14" i="13" s="1"/>
  <c r="AL13" i="13" l="1"/>
  <c r="AL15" i="13" s="1"/>
  <c r="AL16" i="13"/>
  <c r="AT20" i="13"/>
  <c r="AM12" i="13" l="1"/>
  <c r="AT21" i="13"/>
  <c r="AT23" i="13" s="1"/>
  <c r="AT25" i="13" s="1"/>
  <c r="AM14" i="13" l="1"/>
  <c r="AM13" i="13"/>
  <c r="AM15" i="13" l="1"/>
  <c r="AU20" i="13"/>
  <c r="AM16" i="13" l="1"/>
  <c r="AU21" i="13"/>
  <c r="AU23" i="13" s="1"/>
  <c r="AU25" i="13" s="1"/>
  <c r="AN12" i="13" l="1"/>
  <c r="AN13" i="13" l="1"/>
  <c r="AN14" i="13"/>
  <c r="AV20" i="13"/>
  <c r="AN15" i="13" l="1"/>
  <c r="AV21" i="13"/>
  <c r="AV23" i="13" s="1"/>
  <c r="AV25" i="13" s="1"/>
  <c r="AN16" i="13" l="1"/>
  <c r="AO12" i="13" s="1"/>
  <c r="AW20" i="13"/>
  <c r="AO13" i="13" l="1"/>
  <c r="AP12" i="13"/>
  <c r="AO14" i="13"/>
  <c r="AW21" i="13"/>
  <c r="AW23" i="13" s="1"/>
  <c r="AW25" i="13" s="1"/>
  <c r="AP14" i="13" l="1"/>
  <c r="AO15" i="13"/>
  <c r="AP13" i="13"/>
  <c r="AP15" i="13" l="1"/>
  <c r="AO16" i="13"/>
  <c r="AQ12" i="13" s="1"/>
  <c r="AX20" i="13"/>
  <c r="AQ13" i="13" l="1"/>
  <c r="AQ14" i="13"/>
  <c r="AP16" i="13"/>
  <c r="AX21" i="13"/>
  <c r="AX23" i="13" s="1"/>
  <c r="AX25" i="13" s="1"/>
  <c r="AQ15" i="13" l="1"/>
  <c r="AQ16" i="13" s="1"/>
  <c r="AR12" i="13" s="1"/>
  <c r="AY20" i="13"/>
  <c r="AR13" i="13" l="1"/>
  <c r="AR14" i="13"/>
  <c r="AY21" i="13"/>
  <c r="AY23" i="13" s="1"/>
  <c r="AY25" i="13" s="1"/>
  <c r="AR15" i="13" l="1"/>
  <c r="AR16" i="13" s="1"/>
  <c r="AS12" i="13" s="1"/>
  <c r="AS14" i="13" s="1"/>
  <c r="AZ20" i="13"/>
  <c r="AS13" i="13" l="1"/>
  <c r="AS15" i="13" s="1"/>
  <c r="AZ21" i="13"/>
  <c r="AZ23" i="13" s="1"/>
  <c r="AZ25" i="13" s="1"/>
  <c r="AS16" i="13" l="1"/>
  <c r="BA20" i="13"/>
  <c r="AT12" i="13" l="1"/>
  <c r="BA21" i="13"/>
  <c r="BA23" i="13" s="1"/>
  <c r="BA25" i="13" s="1"/>
  <c r="AT13" i="13" l="1"/>
  <c r="AT14" i="13"/>
  <c r="BB20" i="13"/>
  <c r="AT15" i="13" l="1"/>
  <c r="BB21" i="13"/>
  <c r="BB23" i="13" s="1"/>
  <c r="BC20" i="13" s="1"/>
  <c r="AT16" i="13" l="1"/>
  <c r="BC21" i="13"/>
  <c r="BB25" i="13"/>
  <c r="BD20" i="13" s="1"/>
  <c r="BD21" i="13" s="1"/>
  <c r="BD23" i="13" s="1"/>
  <c r="BD25" i="13" s="1"/>
  <c r="BE20" i="13" s="1"/>
  <c r="BE21" i="13" s="1"/>
  <c r="BE23" i="13" s="1"/>
  <c r="BE25" i="13" s="1"/>
  <c r="BF20" i="13" s="1"/>
  <c r="BF21" i="13" s="1"/>
  <c r="BF23" i="13" s="1"/>
  <c r="BF25" i="13" s="1"/>
  <c r="BG20" i="13" s="1"/>
  <c r="BG21" i="13" s="1"/>
  <c r="BG23" i="13" s="1"/>
  <c r="BG25" i="13" s="1"/>
  <c r="BH20" i="13" s="1"/>
  <c r="BH21" i="13" s="1"/>
  <c r="BH23" i="13" s="1"/>
  <c r="BH25" i="13" s="1"/>
  <c r="BI20" i="13" s="1"/>
  <c r="BI21" i="13" s="1"/>
  <c r="BI23" i="13" s="1"/>
  <c r="BI25" i="13" s="1"/>
  <c r="BJ20" i="13" s="1"/>
  <c r="BJ21" i="13" s="1"/>
  <c r="BJ23" i="13" s="1"/>
  <c r="BJ25" i="13" s="1"/>
  <c r="BK20" i="13" s="1"/>
  <c r="BK21" i="13" s="1"/>
  <c r="BK23" i="13" s="1"/>
  <c r="BK25" i="13" s="1"/>
  <c r="BL20" i="13" s="1"/>
  <c r="BL21" i="13" s="1"/>
  <c r="BL23" i="13" s="1"/>
  <c r="BL25" i="13" s="1"/>
  <c r="BM20" i="13" s="1"/>
  <c r="BM21" i="13" s="1"/>
  <c r="BM23" i="13" s="1"/>
  <c r="BM25" i="13" s="1"/>
  <c r="BN20" i="13" s="1"/>
  <c r="BN21" i="13" s="1"/>
  <c r="BN23" i="13" s="1"/>
  <c r="BN25" i="13" s="1"/>
  <c r="BO20" i="13" s="1"/>
  <c r="BO21" i="13" l="1"/>
  <c r="BO23" i="13" s="1"/>
  <c r="BP20" i="13" s="1"/>
  <c r="AU12" i="13"/>
  <c r="BC23" i="13"/>
  <c r="BO25" i="13" l="1"/>
  <c r="AU13" i="13"/>
  <c r="AU14" i="13"/>
  <c r="BP21" i="13"/>
  <c r="BC25" i="13"/>
  <c r="AU15" i="13" l="1"/>
  <c r="AU16" i="13" l="1"/>
  <c r="AV12" i="13" l="1"/>
  <c r="AV14" i="13" l="1"/>
  <c r="AV13" i="13"/>
  <c r="AV15" i="13" l="1"/>
  <c r="AV16" i="13" l="1"/>
  <c r="AW12" i="13" l="1"/>
  <c r="AW13" i="13" l="1"/>
  <c r="AW14" i="13"/>
  <c r="AW15" i="13" l="1"/>
  <c r="AW16" i="13" l="1"/>
  <c r="AX12" i="13" l="1"/>
  <c r="AX13" i="13" l="1"/>
  <c r="AX14" i="13"/>
  <c r="AX15" i="13" l="1"/>
  <c r="AX16" i="13" l="1"/>
  <c r="AY12" i="13" s="1"/>
  <c r="AY14" i="13" l="1"/>
  <c r="AY13" i="13"/>
  <c r="AY15" i="13" l="1"/>
  <c r="AY16" i="13" l="1"/>
  <c r="AZ12" i="13" l="1"/>
  <c r="AZ13" i="13" l="1"/>
  <c r="AZ14" i="13"/>
  <c r="AZ15" i="13" l="1"/>
  <c r="AZ16" i="13" l="1"/>
  <c r="BA12" i="13" s="1"/>
  <c r="BA13" i="13" l="1"/>
  <c r="BA14" i="13"/>
  <c r="BA15" i="13" l="1"/>
  <c r="BA16" i="13" l="1"/>
  <c r="BB12" i="13" s="1"/>
  <c r="BB14" i="13" l="1"/>
  <c r="BB13" i="13"/>
  <c r="BC12" i="13"/>
  <c r="BB15" i="13" l="1"/>
  <c r="BC13" i="13"/>
  <c r="BC14" i="13"/>
  <c r="BC15" i="13" l="1"/>
  <c r="BB16" i="13"/>
  <c r="BD12" i="13" s="1"/>
  <c r="BD14" i="13" l="1"/>
  <c r="BD13" i="13"/>
  <c r="BD15" i="13" s="1"/>
  <c r="BD16" i="13" s="1"/>
  <c r="BC16" i="13"/>
  <c r="BE12" i="13" l="1"/>
  <c r="BE13" i="13" l="1"/>
  <c r="BE14" i="13"/>
  <c r="BE15" i="13" l="1"/>
  <c r="BE16" i="13" l="1"/>
  <c r="BF12" i="13" l="1"/>
  <c r="BF14" i="13" l="1"/>
  <c r="BF13" i="13"/>
  <c r="BP23" i="13"/>
  <c r="BP25" i="13" s="1"/>
  <c r="BF15" i="13" l="1"/>
  <c r="BF16" i="13" s="1"/>
  <c r="BG12" i="13" s="1"/>
  <c r="BG14" i="13" l="1"/>
  <c r="BG13" i="13"/>
  <c r="E51" i="14"/>
  <c r="BG15" i="13" l="1"/>
  <c r="BG16" i="13" s="1"/>
  <c r="BH12" i="13" s="1"/>
  <c r="F51" i="14"/>
  <c r="F53" i="14" s="1"/>
  <c r="F56" i="14" s="1"/>
  <c r="E17" i="21"/>
  <c r="E53" i="14"/>
  <c r="E56" i="14" s="1"/>
  <c r="D53" i="14"/>
  <c r="BH14" i="13" l="1"/>
  <c r="BH13" i="13"/>
  <c r="G51" i="14"/>
  <c r="G53" i="14" s="1"/>
  <c r="G56" i="14" s="1"/>
  <c r="F17" i="21"/>
  <c r="E18" i="21"/>
  <c r="D56" i="14"/>
  <c r="H51" i="14" l="1"/>
  <c r="BH15" i="13"/>
  <c r="G17" i="21"/>
  <c r="F18" i="21"/>
  <c r="I51" i="14"/>
  <c r="H53" i="14"/>
  <c r="BH16" i="13" l="1"/>
  <c r="H17" i="21"/>
  <c r="G18" i="21"/>
  <c r="H56" i="14"/>
  <c r="I53" i="14"/>
  <c r="I56" i="14" s="1"/>
  <c r="J51" i="14"/>
  <c r="BI12" i="13" l="1"/>
  <c r="I17" i="21"/>
  <c r="H18" i="21"/>
  <c r="J53" i="14"/>
  <c r="K51" i="14"/>
  <c r="BI14" i="13" l="1"/>
  <c r="BI13" i="13"/>
  <c r="J17" i="21"/>
  <c r="I18" i="21"/>
  <c r="J56" i="14"/>
  <c r="L51" i="14"/>
  <c r="K53" i="14"/>
  <c r="K56" i="14" s="1"/>
  <c r="BI15" i="13" l="1"/>
  <c r="K17" i="21"/>
  <c r="J18" i="21"/>
  <c r="M51" i="14"/>
  <c r="L53" i="14"/>
  <c r="BI16" i="13" l="1"/>
  <c r="L17" i="21"/>
  <c r="K18" i="21"/>
  <c r="L56" i="14"/>
  <c r="M53" i="14"/>
  <c r="M56" i="14" s="1"/>
  <c r="N51" i="14"/>
  <c r="BJ12" i="13" l="1"/>
  <c r="M17" i="21"/>
  <c r="L18" i="21"/>
  <c r="N53" i="14"/>
  <c r="O51" i="14"/>
  <c r="BJ13" i="13" l="1"/>
  <c r="BJ14" i="13"/>
  <c r="N17" i="21"/>
  <c r="M18" i="21"/>
  <c r="N56" i="14"/>
  <c r="O53" i="14"/>
  <c r="P51" i="14"/>
  <c r="Q51" i="14" s="1"/>
  <c r="BJ15" i="13" l="1"/>
  <c r="O56" i="14"/>
  <c r="C53" i="14"/>
  <c r="E23" i="11" s="1"/>
  <c r="O17" i="21"/>
  <c r="P18" i="21" s="1"/>
  <c r="N18" i="21"/>
  <c r="R51" i="14"/>
  <c r="Q53" i="14"/>
  <c r="P53" i="14"/>
  <c r="C10" i="12" s="1"/>
  <c r="E10" i="12" l="1"/>
  <c r="BJ16" i="13"/>
  <c r="G23" i="11"/>
  <c r="F23" i="11"/>
  <c r="C56" i="14"/>
  <c r="O18" i="21"/>
  <c r="Q56" i="14"/>
  <c r="S51" i="14"/>
  <c r="R53" i="14"/>
  <c r="R56" i="14" s="1"/>
  <c r="P56" i="14"/>
  <c r="C11" i="12"/>
  <c r="C25" i="12" s="1"/>
  <c r="E11" i="12" l="1"/>
  <c r="C24" i="12" s="1"/>
  <c r="BK12" i="13"/>
  <c r="Q17" i="21"/>
  <c r="T51" i="14"/>
  <c r="S53" i="14"/>
  <c r="S56" i="14" s="1"/>
  <c r="B19" i="12" l="1"/>
  <c r="C26" i="12"/>
  <c r="B17" i="12"/>
  <c r="B15" i="12"/>
  <c r="B23" i="12"/>
  <c r="B18" i="12"/>
  <c r="B16" i="12"/>
  <c r="B14" i="12"/>
  <c r="A4" i="13"/>
  <c r="D4" i="13" s="1"/>
  <c r="G22" i="12"/>
  <c r="F22" i="12"/>
  <c r="B22" i="12"/>
  <c r="BK14" i="13"/>
  <c r="BK13" i="13"/>
  <c r="Q18" i="21"/>
  <c r="R17" i="21"/>
  <c r="U51" i="14"/>
  <c r="T53" i="14"/>
  <c r="C27" i="12" l="1"/>
  <c r="C64" i="14" s="1"/>
  <c r="B26" i="12"/>
  <c r="D6" i="13"/>
  <c r="D28" i="13" s="1"/>
  <c r="D57" i="14" s="1"/>
  <c r="D55" i="14" s="1"/>
  <c r="D5" i="13"/>
  <c r="P4" i="13"/>
  <c r="BK15" i="13"/>
  <c r="R18" i="21"/>
  <c r="S17" i="21"/>
  <c r="T56" i="14"/>
  <c r="V51" i="14"/>
  <c r="U53" i="14"/>
  <c r="U56" i="14" s="1"/>
  <c r="C14" i="21" l="1"/>
  <c r="C19" i="21" s="1"/>
  <c r="C36" i="21" s="1"/>
  <c r="D7" i="13"/>
  <c r="BK16" i="13"/>
  <c r="S18" i="21"/>
  <c r="T17" i="21"/>
  <c r="W51" i="14"/>
  <c r="V53" i="14"/>
  <c r="V56" i="14" s="1"/>
  <c r="D58" i="14"/>
  <c r="D60" i="14" s="1"/>
  <c r="D33" i="21" s="1"/>
  <c r="C32" i="21" l="1"/>
  <c r="D8" i="13"/>
  <c r="D29" i="13"/>
  <c r="D76" i="14" s="1"/>
  <c r="D77" i="14" s="1"/>
  <c r="BL12" i="13"/>
  <c r="T18" i="21"/>
  <c r="U17" i="21"/>
  <c r="X51" i="14"/>
  <c r="W53" i="14"/>
  <c r="D3" i="14"/>
  <c r="D66" i="14"/>
  <c r="C34" i="21" l="1"/>
  <c r="D32" i="21"/>
  <c r="P32" i="21" s="1"/>
  <c r="C35" i="21"/>
  <c r="C37" i="21" s="1"/>
  <c r="E4" i="13"/>
  <c r="D31" i="13"/>
  <c r="D28" i="21" s="1"/>
  <c r="BL14" i="13"/>
  <c r="BL13" i="13"/>
  <c r="U18" i="21"/>
  <c r="V17" i="21"/>
  <c r="W56" i="14"/>
  <c r="Y51" i="14"/>
  <c r="X53" i="14"/>
  <c r="X56" i="14" s="1"/>
  <c r="D71" i="14"/>
  <c r="D78" i="14" l="1"/>
  <c r="D34" i="21"/>
  <c r="E32" i="21"/>
  <c r="D29" i="21"/>
  <c r="E6" i="13"/>
  <c r="E28" i="13" s="1"/>
  <c r="E57" i="14" s="1"/>
  <c r="E5" i="13"/>
  <c r="BL15" i="13"/>
  <c r="V18" i="21"/>
  <c r="W17" i="21"/>
  <c r="Z51" i="14"/>
  <c r="Y53" i="14"/>
  <c r="Y56" i="14" s="1"/>
  <c r="D79" i="14" l="1"/>
  <c r="E65" i="14" s="1"/>
  <c r="E7" i="13"/>
  <c r="E55" i="14"/>
  <c r="D35" i="21"/>
  <c r="BL16" i="13"/>
  <c r="W18" i="21"/>
  <c r="X17" i="21"/>
  <c r="AA51" i="14"/>
  <c r="Z53" i="14"/>
  <c r="Z56" i="14" s="1"/>
  <c r="D4" i="14" l="1"/>
  <c r="D10" i="21"/>
  <c r="D14" i="21" s="1"/>
  <c r="D19" i="21" s="1"/>
  <c r="D36" i="21" s="1"/>
  <c r="E8" i="13"/>
  <c r="E29" i="13"/>
  <c r="E76" i="14" s="1"/>
  <c r="E77" i="14" s="1"/>
  <c r="BM12" i="13"/>
  <c r="X18" i="21"/>
  <c r="Y17" i="21"/>
  <c r="AB51" i="14"/>
  <c r="AA53" i="14"/>
  <c r="AA56" i="14" s="1"/>
  <c r="D37" i="21" l="1"/>
  <c r="D38" i="21"/>
  <c r="F4" i="13"/>
  <c r="E31" i="13"/>
  <c r="E28" i="21" s="1"/>
  <c r="BM14" i="13"/>
  <c r="BM13" i="13"/>
  <c r="Y18" i="21"/>
  <c r="Z17" i="21"/>
  <c r="AB53" i="14"/>
  <c r="AC51" i="14"/>
  <c r="AD51" i="14" s="1"/>
  <c r="F5" i="13" l="1"/>
  <c r="F6" i="13"/>
  <c r="F28" i="13" s="1"/>
  <c r="F57" i="14" s="1"/>
  <c r="E29" i="21"/>
  <c r="BM15" i="13"/>
  <c r="Z18" i="21"/>
  <c r="AA17" i="21"/>
  <c r="AE51" i="14"/>
  <c r="AD53" i="14"/>
  <c r="AD56" i="14" s="1"/>
  <c r="AB56" i="14"/>
  <c r="AC53" i="14"/>
  <c r="AC56" i="14" s="1"/>
  <c r="F55" i="14" l="1"/>
  <c r="F7" i="13"/>
  <c r="BM16" i="13"/>
  <c r="AA18" i="21"/>
  <c r="AB17" i="21"/>
  <c r="AF51" i="14"/>
  <c r="AE53" i="14"/>
  <c r="AE56" i="14" s="1"/>
  <c r="F29" i="13" l="1"/>
  <c r="F76" i="14" s="1"/>
  <c r="F77" i="14" s="1"/>
  <c r="F8" i="13"/>
  <c r="BN12" i="13"/>
  <c r="AB18" i="21"/>
  <c r="AC17" i="21"/>
  <c r="AF53" i="14"/>
  <c r="AF56" i="14" s="1"/>
  <c r="G4" i="13" l="1"/>
  <c r="F31" i="13"/>
  <c r="F28" i="21" s="1"/>
  <c r="F29" i="21" s="1"/>
  <c r="BN14" i="13"/>
  <c r="BN13" i="13"/>
  <c r="AC18" i="21"/>
  <c r="AD17" i="21"/>
  <c r="G6" i="13" l="1"/>
  <c r="G28" i="13" s="1"/>
  <c r="G57" i="14" s="1"/>
  <c r="G5" i="13"/>
  <c r="BN15" i="13"/>
  <c r="AE17" i="21"/>
  <c r="AD18" i="21"/>
  <c r="G7" i="13" l="1"/>
  <c r="G55" i="14"/>
  <c r="BN16" i="13"/>
  <c r="AE18" i="21"/>
  <c r="AF17" i="21"/>
  <c r="AF18" i="21" s="1"/>
  <c r="G29" i="13" l="1"/>
  <c r="G76" i="14" s="1"/>
  <c r="G77" i="14" s="1"/>
  <c r="G8" i="13"/>
  <c r="BO12" i="13"/>
  <c r="H4" i="13" l="1"/>
  <c r="G31" i="13"/>
  <c r="G28" i="21" s="1"/>
  <c r="G29" i="21" s="1"/>
  <c r="BO14" i="13"/>
  <c r="BO13" i="13"/>
  <c r="BP12" i="13"/>
  <c r="H5" i="13" l="1"/>
  <c r="H6" i="13"/>
  <c r="H28" i="13" s="1"/>
  <c r="H57" i="14" s="1"/>
  <c r="BO15" i="13"/>
  <c r="BP13" i="13"/>
  <c r="BP14" i="13"/>
  <c r="H7" i="13" l="1"/>
  <c r="H55" i="14"/>
  <c r="BP15" i="13"/>
  <c r="BO16" i="13"/>
  <c r="H29" i="13" l="1"/>
  <c r="H76" i="14" s="1"/>
  <c r="H8" i="13"/>
  <c r="BP16" i="13"/>
  <c r="H77" i="14" l="1"/>
  <c r="I4" i="13"/>
  <c r="H31" i="13"/>
  <c r="H28" i="21" s="1"/>
  <c r="H29" i="21" s="1"/>
  <c r="I5" i="13" l="1"/>
  <c r="I6" i="13"/>
  <c r="I28" i="13" s="1"/>
  <c r="I57" i="14" s="1"/>
  <c r="I7" i="13" l="1"/>
  <c r="I29" i="13" s="1"/>
  <c r="I76" i="14" s="1"/>
  <c r="I77" i="14" s="1"/>
  <c r="I55" i="14"/>
  <c r="I8" i="13" l="1"/>
  <c r="J4" i="13" s="1"/>
  <c r="I31" i="13" l="1"/>
  <c r="I28" i="21" s="1"/>
  <c r="I29" i="21" s="1"/>
  <c r="J5" i="13"/>
  <c r="J6" i="13"/>
  <c r="J28" i="13" s="1"/>
  <c r="J57" i="14" s="1"/>
  <c r="J7" i="13" l="1"/>
  <c r="J29" i="13" s="1"/>
  <c r="J76" i="14" s="1"/>
  <c r="J77" i="14" s="1"/>
  <c r="J55" i="14"/>
  <c r="J8" i="13" l="1"/>
  <c r="K4" i="13" s="1"/>
  <c r="J31" i="13" l="1"/>
  <c r="J28" i="21" s="1"/>
  <c r="J29" i="21" s="1"/>
  <c r="K6" i="13"/>
  <c r="K28" i="13" s="1"/>
  <c r="K57" i="14" s="1"/>
  <c r="K5" i="13"/>
  <c r="K7" i="13" s="1"/>
  <c r="K8" i="13" l="1"/>
  <c r="K29" i="13"/>
  <c r="K76" i="14" s="1"/>
  <c r="K77" i="14" s="1"/>
  <c r="K55" i="14"/>
  <c r="L4" i="13" l="1"/>
  <c r="K31" i="13"/>
  <c r="K28" i="21" s="1"/>
  <c r="K29" i="21" s="1"/>
  <c r="L5" i="13" l="1"/>
  <c r="L6" i="13"/>
  <c r="L7" i="13" l="1"/>
  <c r="L28" i="13"/>
  <c r="L57" i="14" s="1"/>
  <c r="L55" i="14" l="1"/>
  <c r="L29" i="13"/>
  <c r="L76" i="14" s="1"/>
  <c r="L77" i="14" s="1"/>
  <c r="L8" i="13"/>
  <c r="M4" i="13" l="1"/>
  <c r="L31" i="13"/>
  <c r="L28" i="21" s="1"/>
  <c r="L29" i="21" s="1"/>
  <c r="M6" i="13" l="1"/>
  <c r="M28" i="13" s="1"/>
  <c r="M57" i="14" s="1"/>
  <c r="M5" i="13"/>
  <c r="M7" i="13" s="1"/>
  <c r="M29" i="13" s="1"/>
  <c r="M76" i="14" s="1"/>
  <c r="M77" i="14" s="1"/>
  <c r="M8" i="13" l="1"/>
  <c r="M55" i="14"/>
  <c r="N4" i="13" l="1"/>
  <c r="M31" i="13"/>
  <c r="M28" i="21" s="1"/>
  <c r="M29" i="21" s="1"/>
  <c r="N5" i="13" l="1"/>
  <c r="N6" i="13"/>
  <c r="N28" i="13" s="1"/>
  <c r="N57" i="14" s="1"/>
  <c r="N55" i="14" l="1"/>
  <c r="N7" i="13"/>
  <c r="N29" i="13" l="1"/>
  <c r="N76" i="14" s="1"/>
  <c r="N77" i="14" s="1"/>
  <c r="N8" i="13"/>
  <c r="O4" i="13" l="1"/>
  <c r="N31" i="13"/>
  <c r="N28" i="21" s="1"/>
  <c r="N29" i="21" s="1"/>
  <c r="O6" i="13" l="1"/>
  <c r="O5" i="13"/>
  <c r="O7" i="13" l="1"/>
  <c r="P5" i="13"/>
  <c r="P6" i="13"/>
  <c r="P28" i="13" s="1"/>
  <c r="P57" i="14" s="1"/>
  <c r="O28" i="13"/>
  <c r="O57" i="14" s="1"/>
  <c r="E24" i="11" l="1"/>
  <c r="C57" i="14"/>
  <c r="P58" i="14"/>
  <c r="P60" i="14" s="1"/>
  <c r="O55" i="14"/>
  <c r="P55" i="14" s="1"/>
  <c r="O29" i="13"/>
  <c r="O76" i="14" s="1"/>
  <c r="P7" i="13"/>
  <c r="P29" i="13" s="1"/>
  <c r="O8" i="13"/>
  <c r="Q4" i="13" s="1"/>
  <c r="Q5" i="13" l="1"/>
  <c r="Q7" i="13" s="1"/>
  <c r="Q29" i="13" s="1"/>
  <c r="Q76" i="14" s="1"/>
  <c r="AC4" i="13"/>
  <c r="Q6" i="13"/>
  <c r="Q28" i="13" s="1"/>
  <c r="Q57" i="14" s="1"/>
  <c r="Q58" i="14" s="1"/>
  <c r="Q60" i="14" s="1"/>
  <c r="O58" i="14"/>
  <c r="O60" i="14" s="1"/>
  <c r="O66" i="14" s="1"/>
  <c r="O71" i="14" s="1"/>
  <c r="P8" i="13"/>
  <c r="P31" i="13" s="1"/>
  <c r="P28" i="21" s="1"/>
  <c r="P29" i="21" s="1"/>
  <c r="O31" i="13"/>
  <c r="O28" i="21" s="1"/>
  <c r="O29" i="21" s="1"/>
  <c r="P3" i="14"/>
  <c r="C60" i="14"/>
  <c r="Q55" i="14"/>
  <c r="O77" i="14"/>
  <c r="P77" i="14" s="1"/>
  <c r="P76" i="14"/>
  <c r="Q8" i="13"/>
  <c r="E58" i="14"/>
  <c r="E60" i="14" s="1"/>
  <c r="F58" i="14"/>
  <c r="F60" i="14" s="1"/>
  <c r="G58" i="14"/>
  <c r="G60" i="14" s="1"/>
  <c r="H58" i="14"/>
  <c r="H60" i="14" s="1"/>
  <c r="I58" i="14"/>
  <c r="I60" i="14" s="1"/>
  <c r="J58" i="14"/>
  <c r="J60" i="14" s="1"/>
  <c r="K58" i="14"/>
  <c r="K60" i="14" s="1"/>
  <c r="L58" i="14"/>
  <c r="L60" i="14" s="1"/>
  <c r="M58" i="14"/>
  <c r="M60" i="14" s="1"/>
  <c r="N58" i="14"/>
  <c r="N60" i="14" s="1"/>
  <c r="G24" i="11"/>
  <c r="F24" i="11"/>
  <c r="E26" i="11"/>
  <c r="O33" i="21" l="1"/>
  <c r="O3" i="14"/>
  <c r="M33" i="21"/>
  <c r="M3" i="14"/>
  <c r="M66" i="14"/>
  <c r="M71" i="14" s="1"/>
  <c r="M78" i="14" s="1"/>
  <c r="H33" i="21"/>
  <c r="H3" i="14"/>
  <c r="H66" i="14"/>
  <c r="H71" i="14" s="1"/>
  <c r="H78" i="14" s="1"/>
  <c r="F26" i="11"/>
  <c r="G26" i="11"/>
  <c r="E33" i="21"/>
  <c r="E3" i="14"/>
  <c r="E66" i="14"/>
  <c r="L33" i="21"/>
  <c r="L3" i="14"/>
  <c r="L66" i="14"/>
  <c r="L71" i="14" s="1"/>
  <c r="L78" i="14" s="1"/>
  <c r="Q33" i="21"/>
  <c r="Q66" i="14"/>
  <c r="Q3" i="14"/>
  <c r="G33" i="21"/>
  <c r="G3" i="14"/>
  <c r="G66" i="14"/>
  <c r="G71" i="14" s="1"/>
  <c r="G78" i="14" s="1"/>
  <c r="Q77" i="14"/>
  <c r="I33" i="21"/>
  <c r="I66" i="14"/>
  <c r="I71" i="14" s="1"/>
  <c r="I78" i="14" s="1"/>
  <c r="I3" i="14"/>
  <c r="O78" i="14"/>
  <c r="K33" i="21"/>
  <c r="K3" i="14"/>
  <c r="K66" i="14"/>
  <c r="K71" i="14" s="1"/>
  <c r="K78" i="14" s="1"/>
  <c r="N33" i="21"/>
  <c r="N66" i="14"/>
  <c r="N71" i="14" s="1"/>
  <c r="N78" i="14" s="1"/>
  <c r="N3" i="14"/>
  <c r="J33" i="21"/>
  <c r="J66" i="14"/>
  <c r="J71" i="14" s="1"/>
  <c r="J78" i="14" s="1"/>
  <c r="J3" i="14"/>
  <c r="F33" i="21"/>
  <c r="F3" i="14"/>
  <c r="F66" i="14"/>
  <c r="F71" i="14" s="1"/>
  <c r="F78" i="14" s="1"/>
  <c r="R4" i="13"/>
  <c r="Q31" i="13"/>
  <c r="Q28" i="21" s="1"/>
  <c r="Q29" i="21" s="1"/>
  <c r="E25" i="11"/>
  <c r="C3" i="14"/>
  <c r="P33" i="21" l="1"/>
  <c r="F32" i="21"/>
  <c r="E34" i="21"/>
  <c r="Q71" i="14"/>
  <c r="Q78" i="14" s="1"/>
  <c r="R6" i="13"/>
  <c r="R5" i="13"/>
  <c r="E71" i="14"/>
  <c r="E78" i="14" s="1"/>
  <c r="P66" i="14"/>
  <c r="P71" i="14" s="1"/>
  <c r="G25" i="11"/>
  <c r="F25" i="11"/>
  <c r="E79" i="14" l="1"/>
  <c r="E10" i="21" s="1"/>
  <c r="E14" i="21" s="1"/>
  <c r="E19" i="21" s="1"/>
  <c r="E36" i="21" s="1"/>
  <c r="P78" i="14"/>
  <c r="R7" i="13"/>
  <c r="R29" i="13" s="1"/>
  <c r="R76" i="14" s="1"/>
  <c r="G32" i="21"/>
  <c r="F34" i="21"/>
  <c r="E35" i="21"/>
  <c r="R8" i="13"/>
  <c r="R28" i="13"/>
  <c r="R57" i="14" s="1"/>
  <c r="E4" i="14"/>
  <c r="F65" i="14" l="1"/>
  <c r="H32" i="21"/>
  <c r="G34" i="21"/>
  <c r="E37" i="21"/>
  <c r="E38" i="21"/>
  <c r="R55" i="14"/>
  <c r="R58" i="14"/>
  <c r="R60" i="14" s="1"/>
  <c r="R77" i="14"/>
  <c r="F79" i="14"/>
  <c r="F10" i="21" s="1"/>
  <c r="F14" i="21" s="1"/>
  <c r="F19" i="21" s="1"/>
  <c r="S4" i="13"/>
  <c r="R31" i="13"/>
  <c r="R28" i="21" s="1"/>
  <c r="R29" i="21" s="1"/>
  <c r="I32" i="21" l="1"/>
  <c r="H34" i="21"/>
  <c r="F35" i="21"/>
  <c r="F36" i="21"/>
  <c r="F4" i="14"/>
  <c r="G65" i="14"/>
  <c r="R33" i="21"/>
  <c r="R66" i="14"/>
  <c r="R3" i="14"/>
  <c r="S6" i="13"/>
  <c r="S5" i="13"/>
  <c r="J32" i="21" l="1"/>
  <c r="I34" i="21"/>
  <c r="F37" i="21"/>
  <c r="F38" i="21"/>
  <c r="S7" i="13"/>
  <c r="S29" i="13" s="1"/>
  <c r="S76" i="14" s="1"/>
  <c r="S28" i="13"/>
  <c r="S57" i="14" s="1"/>
  <c r="R71" i="14"/>
  <c r="R78" i="14" s="1"/>
  <c r="G79" i="14"/>
  <c r="G10" i="21" s="1"/>
  <c r="G14" i="21" s="1"/>
  <c r="G19" i="21" s="1"/>
  <c r="S8" i="13"/>
  <c r="K32" i="21" l="1"/>
  <c r="J34" i="21"/>
  <c r="G36" i="21"/>
  <c r="G35" i="21"/>
  <c r="G4" i="14"/>
  <c r="H65" i="14"/>
  <c r="S77" i="14"/>
  <c r="T4" i="13"/>
  <c r="S31" i="13"/>
  <c r="S28" i="21" s="1"/>
  <c r="S29" i="21" s="1"/>
  <c r="S55" i="14"/>
  <c r="S58" i="14"/>
  <c r="S60" i="14" s="1"/>
  <c r="L32" i="21" l="1"/>
  <c r="K34" i="21"/>
  <c r="G37" i="21"/>
  <c r="G38" i="21"/>
  <c r="T6" i="13"/>
  <c r="T5" i="13"/>
  <c r="H79" i="14"/>
  <c r="H10" i="21" s="1"/>
  <c r="H14" i="21" s="1"/>
  <c r="H19" i="21" s="1"/>
  <c r="S33" i="21"/>
  <c r="S66" i="14"/>
  <c r="S3" i="14"/>
  <c r="T7" i="13" l="1"/>
  <c r="T8" i="13" s="1"/>
  <c r="M32" i="21"/>
  <c r="L34" i="21"/>
  <c r="H35" i="21"/>
  <c r="H36" i="21"/>
  <c r="I65" i="14"/>
  <c r="H4" i="14"/>
  <c r="T29" i="13"/>
  <c r="T76" i="14" s="1"/>
  <c r="S71" i="14"/>
  <c r="S78" i="14" s="1"/>
  <c r="T28" i="13"/>
  <c r="T57" i="14" s="1"/>
  <c r="N32" i="21" l="1"/>
  <c r="M34" i="21"/>
  <c r="H37" i="21"/>
  <c r="H38" i="21"/>
  <c r="U4" i="13"/>
  <c r="T31" i="13"/>
  <c r="T28" i="21" s="1"/>
  <c r="T29" i="21" s="1"/>
  <c r="T55" i="14"/>
  <c r="T58" i="14"/>
  <c r="T60" i="14" s="1"/>
  <c r="I79" i="14"/>
  <c r="I10" i="21" s="1"/>
  <c r="I14" i="21" s="1"/>
  <c r="I19" i="21" s="1"/>
  <c r="T77" i="14"/>
  <c r="O32" i="21" l="1"/>
  <c r="N34" i="21"/>
  <c r="I35" i="21"/>
  <c r="I36" i="21"/>
  <c r="T33" i="21"/>
  <c r="T3" i="14"/>
  <c r="T66" i="14"/>
  <c r="I4" i="14"/>
  <c r="J65" i="14"/>
  <c r="U5" i="13"/>
  <c r="U6" i="13"/>
  <c r="P34" i="21" l="1"/>
  <c r="P35" i="21" s="1"/>
  <c r="Q32" i="21"/>
  <c r="AC32" i="21" s="1"/>
  <c r="O34" i="21"/>
  <c r="I37" i="21"/>
  <c r="I38" i="21"/>
  <c r="T71" i="14"/>
  <c r="T78" i="14" s="1"/>
  <c r="U28" i="13"/>
  <c r="U57" i="14" s="1"/>
  <c r="J79" i="14"/>
  <c r="J10" i="21" s="1"/>
  <c r="J14" i="21" s="1"/>
  <c r="J19" i="21" s="1"/>
  <c r="U7" i="13"/>
  <c r="U58" i="14" l="1"/>
  <c r="U60" i="14" s="1"/>
  <c r="U55" i="14"/>
  <c r="K65" i="14"/>
  <c r="J4" i="14"/>
  <c r="J35" i="21"/>
  <c r="J36" i="21"/>
  <c r="U8" i="13"/>
  <c r="U29" i="13"/>
  <c r="U76" i="14" s="1"/>
  <c r="R32" i="21" l="1"/>
  <c r="Q34" i="21"/>
  <c r="Q35" i="21" s="1"/>
  <c r="J37" i="21"/>
  <c r="J38" i="21"/>
  <c r="V4" i="13"/>
  <c r="U31" i="13"/>
  <c r="U28" i="21" s="1"/>
  <c r="U29" i="21" s="1"/>
  <c r="K79" i="14"/>
  <c r="K10" i="21" s="1"/>
  <c r="K14" i="21" s="1"/>
  <c r="K19" i="21" s="1"/>
  <c r="U77" i="14"/>
  <c r="U33" i="21"/>
  <c r="U66" i="14"/>
  <c r="U3" i="14"/>
  <c r="S32" i="21" l="1"/>
  <c r="R34" i="21"/>
  <c r="R35" i="21" s="1"/>
  <c r="U71" i="14"/>
  <c r="U78" i="14" s="1"/>
  <c r="L65" i="14"/>
  <c r="K4" i="14"/>
  <c r="K35" i="21"/>
  <c r="K36" i="21"/>
  <c r="V6" i="13"/>
  <c r="V28" i="13" s="1"/>
  <c r="V57" i="14" s="1"/>
  <c r="V5" i="13"/>
  <c r="T32" i="21" l="1"/>
  <c r="S34" i="21"/>
  <c r="S35" i="21" s="1"/>
  <c r="K37" i="21"/>
  <c r="K38" i="21"/>
  <c r="V7" i="13"/>
  <c r="V8" i="13" s="1"/>
  <c r="V55" i="14"/>
  <c r="V58" i="14"/>
  <c r="V60" i="14" s="1"/>
  <c r="L79" i="14"/>
  <c r="L10" i="21" s="1"/>
  <c r="L14" i="21" s="1"/>
  <c r="L19" i="21" s="1"/>
  <c r="U32" i="21" l="1"/>
  <c r="T34" i="21"/>
  <c r="T35" i="21" s="1"/>
  <c r="V29" i="13"/>
  <c r="V76" i="14" s="1"/>
  <c r="V77" i="14" s="1"/>
  <c r="M65" i="14"/>
  <c r="L4" i="14"/>
  <c r="W4" i="13"/>
  <c r="V31" i="13"/>
  <c r="V28" i="21" s="1"/>
  <c r="V29" i="21" s="1"/>
  <c r="V66" i="14"/>
  <c r="V71" i="14" s="1"/>
  <c r="V33" i="21"/>
  <c r="V3" i="14"/>
  <c r="L35" i="21"/>
  <c r="L36" i="21"/>
  <c r="V78" i="14" l="1"/>
  <c r="V32" i="21"/>
  <c r="U34" i="21"/>
  <c r="U35" i="21" s="1"/>
  <c r="L37" i="21"/>
  <c r="L38" i="21"/>
  <c r="W6" i="13"/>
  <c r="W28" i="13" s="1"/>
  <c r="W57" i="14" s="1"/>
  <c r="W5" i="13"/>
  <c r="W7" i="13" s="1"/>
  <c r="M79" i="14"/>
  <c r="M10" i="21" s="1"/>
  <c r="M14" i="21" s="1"/>
  <c r="M19" i="21" s="1"/>
  <c r="W32" i="21" l="1"/>
  <c r="V34" i="21"/>
  <c r="V35" i="21" s="1"/>
  <c r="W8" i="13"/>
  <c r="W29" i="13"/>
  <c r="W76" i="14" s="1"/>
  <c r="W77" i="14" s="1"/>
  <c r="M35" i="21"/>
  <c r="M36" i="21"/>
  <c r="M4" i="14"/>
  <c r="N65" i="14"/>
  <c r="W58" i="14"/>
  <c r="W60" i="14" s="1"/>
  <c r="W55" i="14"/>
  <c r="M37" i="21" l="1"/>
  <c r="M38" i="21"/>
  <c r="X4" i="13"/>
  <c r="W31" i="13"/>
  <c r="W28" i="21" s="1"/>
  <c r="W29" i="21" s="1"/>
  <c r="N79" i="14"/>
  <c r="N10" i="21" s="1"/>
  <c r="N14" i="21" s="1"/>
  <c r="N19" i="21" s="1"/>
  <c r="W33" i="21"/>
  <c r="X32" i="21" s="1"/>
  <c r="W3" i="14"/>
  <c r="W66" i="14"/>
  <c r="W71" i="14" s="1"/>
  <c r="W78" i="14" s="1"/>
  <c r="W34" i="21" l="1"/>
  <c r="W35" i="21" s="1"/>
  <c r="X5" i="13"/>
  <c r="X6" i="13"/>
  <c r="X28" i="13" s="1"/>
  <c r="X57" i="14" s="1"/>
  <c r="N35" i="21"/>
  <c r="N36" i="21"/>
  <c r="N4" i="14"/>
  <c r="O65" i="14"/>
  <c r="P65" i="14" s="1"/>
  <c r="X7" i="13" l="1"/>
  <c r="X8" i="13" s="1"/>
  <c r="N37" i="21"/>
  <c r="N38" i="21"/>
  <c r="X29" i="13"/>
  <c r="X76" i="14" s="1"/>
  <c r="X77" i="14" s="1"/>
  <c r="O79" i="14"/>
  <c r="X55" i="14"/>
  <c r="X58" i="14"/>
  <c r="X60" i="14" s="1"/>
  <c r="P79" i="14" l="1"/>
  <c r="P4" i="14" s="1"/>
  <c r="C4" i="14" s="1"/>
  <c r="Q65" i="14"/>
  <c r="O4" i="14"/>
  <c r="O10" i="21"/>
  <c r="P10" i="21" s="1"/>
  <c r="P14" i="21" s="1"/>
  <c r="P19" i="21" s="1"/>
  <c r="P36" i="21" s="1"/>
  <c r="Y4" i="13"/>
  <c r="X31" i="13"/>
  <c r="X28" i="21" s="1"/>
  <c r="X29" i="21" s="1"/>
  <c r="X33" i="21"/>
  <c r="X66" i="14"/>
  <c r="X71" i="14" s="1"/>
  <c r="X78" i="14" s="1"/>
  <c r="X3" i="14"/>
  <c r="AC65" i="14" l="1"/>
  <c r="Q10" i="21"/>
  <c r="Q79" i="14"/>
  <c r="Y32" i="21"/>
  <c r="X34" i="21"/>
  <c r="X35" i="21" s="1"/>
  <c r="O14" i="21"/>
  <c r="O19" i="21" s="1"/>
  <c r="Y5" i="13"/>
  <c r="Y6" i="13"/>
  <c r="Y28" i="13" s="1"/>
  <c r="Y57" i="14" s="1"/>
  <c r="Q14" i="21" l="1"/>
  <c r="Q19" i="21" s="1"/>
  <c r="R65" i="14"/>
  <c r="R79" i="14" s="1"/>
  <c r="Q4" i="14"/>
  <c r="O36" i="21"/>
  <c r="O35" i="21"/>
  <c r="P37" i="21"/>
  <c r="Y7" i="13"/>
  <c r="Y8" i="13" s="1"/>
  <c r="Y55" i="14"/>
  <c r="Y58" i="14"/>
  <c r="Y60" i="14" s="1"/>
  <c r="R10" i="21" l="1"/>
  <c r="R14" i="21" s="1"/>
  <c r="R19" i="21" s="1"/>
  <c r="R4" i="14"/>
  <c r="S65" i="14"/>
  <c r="S79" i="14" s="1"/>
  <c r="Q36" i="21"/>
  <c r="Q37" i="21"/>
  <c r="Q38" i="21"/>
  <c r="Y29" i="13"/>
  <c r="Y76" i="14" s="1"/>
  <c r="Y77" i="14" s="1"/>
  <c r="P38" i="21"/>
  <c r="O37" i="21"/>
  <c r="O38" i="21"/>
  <c r="Z4" i="13"/>
  <c r="Y31" i="13"/>
  <c r="Y28" i="21" s="1"/>
  <c r="Y29" i="21" s="1"/>
  <c r="Y33" i="21"/>
  <c r="Y3" i="14"/>
  <c r="Y66" i="14"/>
  <c r="Y71" i="14" s="1"/>
  <c r="Y78" i="14" l="1"/>
  <c r="S10" i="21"/>
  <c r="S14" i="21" s="1"/>
  <c r="S19" i="21" s="1"/>
  <c r="S4" i="14"/>
  <c r="T65" i="14"/>
  <c r="T79" i="14" s="1"/>
  <c r="R36" i="21"/>
  <c r="R37" i="21"/>
  <c r="R38" i="21"/>
  <c r="Z32" i="21"/>
  <c r="Y34" i="21"/>
  <c r="Y35" i="21" s="1"/>
  <c r="Z5" i="13"/>
  <c r="Z6" i="13"/>
  <c r="Z28" i="13" s="1"/>
  <c r="Z57" i="14" s="1"/>
  <c r="T10" i="21" l="1"/>
  <c r="T14" i="21" s="1"/>
  <c r="T19" i="21" s="1"/>
  <c r="U65" i="14"/>
  <c r="U79" i="14" s="1"/>
  <c r="T4" i="14"/>
  <c r="S36" i="21"/>
  <c r="S37" i="21"/>
  <c r="S38" i="21"/>
  <c r="Z7" i="13"/>
  <c r="Z29" i="13" s="1"/>
  <c r="Z76" i="14" s="1"/>
  <c r="Z77" i="14" s="1"/>
  <c r="Z55" i="14"/>
  <c r="Z58" i="14"/>
  <c r="Z60" i="14" s="1"/>
  <c r="Z8" i="13" l="1"/>
  <c r="Z31" i="13" s="1"/>
  <c r="Z28" i="21" s="1"/>
  <c r="Z29" i="21" s="1"/>
  <c r="U10" i="21"/>
  <c r="U14" i="21" s="1"/>
  <c r="U19" i="21" s="1"/>
  <c r="V65" i="14"/>
  <c r="V79" i="14" s="1"/>
  <c r="U4" i="14"/>
  <c r="T36" i="21"/>
  <c r="T37" i="21"/>
  <c r="T38" i="21"/>
  <c r="Z33" i="21"/>
  <c r="Z66" i="14"/>
  <c r="Z71" i="14" s="1"/>
  <c r="Z78" i="14" s="1"/>
  <c r="Z3" i="14"/>
  <c r="AA4" i="13"/>
  <c r="V10" i="21" l="1"/>
  <c r="V14" i="21" s="1"/>
  <c r="V19" i="21" s="1"/>
  <c r="V4" i="14"/>
  <c r="W65" i="14"/>
  <c r="W79" i="14" s="1"/>
  <c r="U36" i="21"/>
  <c r="U37" i="21"/>
  <c r="U38" i="21"/>
  <c r="AA32" i="21"/>
  <c r="Z34" i="21"/>
  <c r="Z35" i="21" s="1"/>
  <c r="AA6" i="13"/>
  <c r="AA28" i="13" s="1"/>
  <c r="AA57" i="14" s="1"/>
  <c r="AA5" i="13"/>
  <c r="W10" i="21" l="1"/>
  <c r="W14" i="21" s="1"/>
  <c r="W19" i="21" s="1"/>
  <c r="X65" i="14"/>
  <c r="X79" i="14" s="1"/>
  <c r="W4" i="14"/>
  <c r="V36" i="21"/>
  <c r="V37" i="21"/>
  <c r="V38" i="21"/>
  <c r="AA7" i="13"/>
  <c r="AA29" i="13" s="1"/>
  <c r="AA76" i="14" s="1"/>
  <c r="AA77" i="14" s="1"/>
  <c r="AA55" i="14"/>
  <c r="AA58" i="14"/>
  <c r="AA60" i="14" s="1"/>
  <c r="X10" i="21" l="1"/>
  <c r="X14" i="21" s="1"/>
  <c r="X19" i="21" s="1"/>
  <c r="Y65" i="14"/>
  <c r="Y79" i="14" s="1"/>
  <c r="X4" i="14"/>
  <c r="W36" i="21"/>
  <c r="W37" i="21"/>
  <c r="W38" i="21"/>
  <c r="AA8" i="13"/>
  <c r="AA31" i="13" s="1"/>
  <c r="AA28" i="21" s="1"/>
  <c r="AA29" i="21" s="1"/>
  <c r="AA33" i="21"/>
  <c r="AA66" i="14"/>
  <c r="AA71" i="14" s="1"/>
  <c r="AA78" i="14" s="1"/>
  <c r="AA3" i="14"/>
  <c r="Y10" i="21" l="1"/>
  <c r="Y14" i="21" s="1"/>
  <c r="Y19" i="21" s="1"/>
  <c r="Y4" i="14"/>
  <c r="Z65" i="14"/>
  <c r="Z79" i="14" s="1"/>
  <c r="X36" i="21"/>
  <c r="X38" i="21"/>
  <c r="X37" i="21"/>
  <c r="AB4" i="13"/>
  <c r="AB6" i="13" s="1"/>
  <c r="AB32" i="21"/>
  <c r="AA34" i="21"/>
  <c r="AA35" i="21" s="1"/>
  <c r="AB5" i="13" l="1"/>
  <c r="AC5" i="13" s="1"/>
  <c r="Z10" i="21"/>
  <c r="Z14" i="21" s="1"/>
  <c r="Z19" i="21" s="1"/>
  <c r="AA65" i="14"/>
  <c r="AA79" i="14" s="1"/>
  <c r="Z4" i="14"/>
  <c r="Y36" i="21"/>
  <c r="Y37" i="21"/>
  <c r="Y38" i="21"/>
  <c r="AB7" i="13"/>
  <c r="AB28" i="13"/>
  <c r="AB57" i="14" s="1"/>
  <c r="AC6" i="13"/>
  <c r="AC28" i="13" s="1"/>
  <c r="AC57" i="14" s="1"/>
  <c r="AC58" i="14" s="1"/>
  <c r="AC60" i="14" s="1"/>
  <c r="AA10" i="21" l="1"/>
  <c r="AA14" i="21" s="1"/>
  <c r="AA19" i="21" s="1"/>
  <c r="AA4" i="14"/>
  <c r="AB65" i="14"/>
  <c r="Z36" i="21"/>
  <c r="Z37" i="21"/>
  <c r="Z38" i="21"/>
  <c r="AC3" i="14"/>
  <c r="AB58" i="14"/>
  <c r="AB60" i="14" s="1"/>
  <c r="AB55" i="14"/>
  <c r="AC55" i="14" s="1"/>
  <c r="AB8" i="13"/>
  <c r="AB29" i="13"/>
  <c r="AB76" i="14" s="1"/>
  <c r="AC7" i="13"/>
  <c r="AC29" i="13" s="1"/>
  <c r="AD6" i="13" l="1"/>
  <c r="AD28" i="13" s="1"/>
  <c r="AD5" i="13"/>
  <c r="AA36" i="21"/>
  <c r="AA38" i="21"/>
  <c r="AA37" i="21"/>
  <c r="AB33" i="21"/>
  <c r="AC33" i="21" s="1"/>
  <c r="AD32" i="21" s="1"/>
  <c r="AB3" i="14"/>
  <c r="AB66" i="14"/>
  <c r="AB77" i="14"/>
  <c r="AC77" i="14" s="1"/>
  <c r="AC76" i="14"/>
  <c r="AC8" i="13"/>
  <c r="AC31" i="13" s="1"/>
  <c r="AC28" i="21" s="1"/>
  <c r="AC29" i="21" s="1"/>
  <c r="AB31" i="13"/>
  <c r="AB28" i="21" s="1"/>
  <c r="AD7" i="13" l="1"/>
  <c r="AB34" i="21"/>
  <c r="AB71" i="14"/>
  <c r="AB78" i="14" s="1"/>
  <c r="AB79" i="14" s="1"/>
  <c r="AC66" i="14"/>
  <c r="AC71" i="14" s="1"/>
  <c r="AC78" i="14" s="1"/>
  <c r="AC79" i="14" s="1"/>
  <c r="AD65" i="14" s="1"/>
  <c r="AB29" i="21"/>
  <c r="AD8" i="13" l="1"/>
  <c r="AD29" i="13"/>
  <c r="AC34" i="21"/>
  <c r="AB4" i="14"/>
  <c r="AB10" i="21"/>
  <c r="AC4" i="14"/>
  <c r="AD31" i="13" l="1"/>
  <c r="AE4" i="13"/>
  <c r="AC10" i="21"/>
  <c r="AC14" i="21" s="1"/>
  <c r="AC19" i="21" s="1"/>
  <c r="AB14" i="21"/>
  <c r="AB19" i="21" s="1"/>
  <c r="AE5" i="13" l="1"/>
  <c r="AE7" i="13" s="1"/>
  <c r="AE8" i="13" s="1"/>
  <c r="AF4" i="13" s="1"/>
  <c r="AE6" i="13"/>
  <c r="AE28" i="13" s="1"/>
  <c r="AB35" i="21"/>
  <c r="AB37" i="21" s="1"/>
  <c r="AB36" i="21"/>
  <c r="AC36" i="21"/>
  <c r="AC35" i="21"/>
  <c r="AC37" i="21" s="1"/>
  <c r="AE31" i="13" l="1"/>
  <c r="AE29" i="13"/>
  <c r="AC38" i="21"/>
  <c r="AB38" i="21"/>
  <c r="AF5" i="13"/>
  <c r="AF6" i="13"/>
  <c r="AF7" i="13" l="1"/>
  <c r="AF28" i="13"/>
  <c r="AF8" i="13" l="1"/>
  <c r="AF29" i="13"/>
  <c r="AG4" i="13" l="1"/>
  <c r="AF31" i="13"/>
  <c r="AG5" i="13" l="1"/>
  <c r="AG6" i="13"/>
  <c r="AG7" i="13" l="1"/>
  <c r="AG28" i="13"/>
  <c r="AG29" i="13" l="1"/>
  <c r="AG8" i="13"/>
  <c r="AH4" i="13" l="1"/>
  <c r="AG31" i="13"/>
  <c r="AH5" i="13" l="1"/>
  <c r="AH6" i="13"/>
  <c r="AH28" i="13" s="1"/>
  <c r="AH7" i="13" l="1"/>
  <c r="AH8" i="13" s="1"/>
  <c r="AI4" i="13" s="1"/>
  <c r="AH29" i="13" l="1"/>
  <c r="AH31" i="13"/>
  <c r="AI6" i="13"/>
  <c r="AI28" i="13" s="1"/>
  <c r="AI5" i="13"/>
  <c r="AI7" i="13" s="1"/>
  <c r="AI29" i="13" s="1"/>
  <c r="AI8" i="13" l="1"/>
  <c r="AJ4" i="13" l="1"/>
  <c r="AI31" i="13"/>
  <c r="AJ6" i="13" l="1"/>
  <c r="AJ28" i="13" s="1"/>
  <c r="AJ5" i="13"/>
  <c r="AJ7" i="13" l="1"/>
  <c r="AJ29" i="13" s="1"/>
  <c r="AJ8" i="13" l="1"/>
  <c r="AK4" i="13" s="1"/>
  <c r="AJ31" i="13" l="1"/>
  <c r="AK5" i="13"/>
  <c r="AK6" i="13"/>
  <c r="AK7" i="13" l="1"/>
  <c r="AK28" i="13"/>
  <c r="AK29" i="13" l="1"/>
  <c r="AK8" i="13"/>
  <c r="AL4" i="13" l="1"/>
  <c r="AK31" i="13"/>
  <c r="AL5" i="13" l="1"/>
  <c r="AL6" i="13"/>
  <c r="AL7" i="13" l="1"/>
  <c r="AL28" i="13"/>
  <c r="AL29" i="13" l="1"/>
  <c r="AL8" i="13"/>
  <c r="AM4" i="13" l="1"/>
  <c r="AL31" i="13"/>
  <c r="AM6" i="13" l="1"/>
  <c r="AM28" i="13" s="1"/>
  <c r="AM5" i="13"/>
  <c r="AM7" i="13" s="1"/>
  <c r="AM29" i="13" s="1"/>
  <c r="AM8" i="13" l="1"/>
  <c r="AN4" i="13" l="1"/>
  <c r="AM31" i="13"/>
  <c r="AN5" i="13" l="1"/>
  <c r="AN6" i="13"/>
  <c r="AN7" i="13" l="1"/>
  <c r="AN28" i="13"/>
  <c r="AN29" i="13" l="1"/>
  <c r="AN8" i="13"/>
  <c r="AO4" i="13" l="1"/>
  <c r="AN31" i="13"/>
  <c r="AP4" i="13" l="1"/>
  <c r="AO6" i="13"/>
  <c r="AO5" i="13"/>
  <c r="AP6" i="13" l="1"/>
  <c r="AP28" i="13" s="1"/>
  <c r="AD57" i="14" s="1"/>
  <c r="AD58" i="14" s="1"/>
  <c r="AD60" i="14" s="1"/>
  <c r="AO28" i="13"/>
  <c r="AP5" i="13"/>
  <c r="AO7" i="13"/>
  <c r="AO29" i="13" l="1"/>
  <c r="AP7" i="13"/>
  <c r="AP29" i="13" s="1"/>
  <c r="AO8" i="13"/>
  <c r="AQ4" i="13" s="1"/>
  <c r="AD66" i="14"/>
  <c r="AD71" i="14" s="1"/>
  <c r="AD33" i="21"/>
  <c r="AE32" i="21" s="1"/>
  <c r="AD3" i="14"/>
  <c r="AQ6" i="13" l="1"/>
  <c r="AQ28" i="13" s="1"/>
  <c r="AQ5" i="13"/>
  <c r="AD76" i="14"/>
  <c r="AD77" i="14" s="1"/>
  <c r="AD78" i="14" s="1"/>
  <c r="AD79" i="14" s="1"/>
  <c r="AD10" i="21" s="1"/>
  <c r="AD14" i="21" s="1"/>
  <c r="AD19" i="21" s="1"/>
  <c r="AD34" i="21"/>
  <c r="AP8" i="13"/>
  <c r="AP31" i="13" s="1"/>
  <c r="AD28" i="21" s="1"/>
  <c r="AO31" i="13"/>
  <c r="AQ7" i="13" l="1"/>
  <c r="AD4" i="14"/>
  <c r="AE65" i="14"/>
  <c r="AD29" i="21"/>
  <c r="AD36" i="21" s="1"/>
  <c r="AQ8" i="13" l="1"/>
  <c r="AQ29" i="13"/>
  <c r="AD35" i="21"/>
  <c r="AQ31" i="13" l="1"/>
  <c r="AR4" i="13"/>
  <c r="AD37" i="21"/>
  <c r="AD38" i="21"/>
  <c r="AR6" i="13" l="1"/>
  <c r="AR28" i="13" s="1"/>
  <c r="AR5" i="13"/>
  <c r="AR7" i="13" l="1"/>
  <c r="AR8" i="13" l="1"/>
  <c r="AR29" i="13"/>
  <c r="AS4" i="13" l="1"/>
  <c r="AR31" i="13"/>
  <c r="AS6" i="13" l="1"/>
  <c r="AS28" i="13" s="1"/>
  <c r="AS5" i="13"/>
  <c r="AS7" i="13" l="1"/>
  <c r="AS29" i="13" l="1"/>
  <c r="AS8" i="13"/>
  <c r="AT4" i="13" l="1"/>
  <c r="AS31" i="13"/>
  <c r="AT6" i="13" l="1"/>
  <c r="AT28" i="13" s="1"/>
  <c r="AT5" i="13"/>
  <c r="AT7" i="13" l="1"/>
  <c r="AT8" i="13" l="1"/>
  <c r="AT29" i="13"/>
  <c r="AU4" i="13" l="1"/>
  <c r="AT31" i="13"/>
  <c r="AU6" i="13" l="1"/>
  <c r="AU28" i="13" s="1"/>
  <c r="AU5" i="13"/>
  <c r="AU7" i="13" l="1"/>
  <c r="AU8" i="13" l="1"/>
  <c r="AU29" i="13"/>
  <c r="AV4" i="13" l="1"/>
  <c r="AU31" i="13"/>
  <c r="AV6" i="13" l="1"/>
  <c r="AV28" i="13" s="1"/>
  <c r="AV5" i="13"/>
  <c r="AV7" i="13" l="1"/>
  <c r="AV29" i="13" l="1"/>
  <c r="AV8" i="13"/>
  <c r="AV31" i="13" l="1"/>
  <c r="AW4" i="13"/>
  <c r="AW5" i="13" l="1"/>
  <c r="AW7" i="13" s="1"/>
  <c r="AW8" i="13" s="1"/>
  <c r="AX4" i="13" s="1"/>
  <c r="AW6" i="13"/>
  <c r="AW28" i="13" s="1"/>
  <c r="AW31" i="13" l="1"/>
  <c r="AW29" i="13"/>
  <c r="AX5" i="13"/>
  <c r="AX6" i="13"/>
  <c r="AX28" i="13" s="1"/>
  <c r="AX7" i="13" l="1"/>
  <c r="AX8" i="13" l="1"/>
  <c r="AX29" i="13"/>
  <c r="AY4" i="13" l="1"/>
  <c r="AX31" i="13"/>
  <c r="AY6" i="13" l="1"/>
  <c r="AY28" i="13" s="1"/>
  <c r="AY5" i="13"/>
  <c r="AY7" i="13" l="1"/>
  <c r="AY8" i="13" s="1"/>
  <c r="AY29" i="13" l="1"/>
  <c r="AZ4" i="13"/>
  <c r="AY31" i="13"/>
  <c r="AZ5" i="13" l="1"/>
  <c r="AZ6" i="13"/>
  <c r="AZ28" i="13" s="1"/>
  <c r="AZ7" i="13" l="1"/>
  <c r="AZ29" i="13" l="1"/>
  <c r="AZ8" i="13"/>
  <c r="BA4" i="13" l="1"/>
  <c r="AZ31" i="13"/>
  <c r="BA6" i="13" l="1"/>
  <c r="BA28" i="13" s="1"/>
  <c r="BA5" i="13"/>
  <c r="BA7" i="13" l="1"/>
  <c r="BA29" i="13" s="1"/>
  <c r="BA8" i="13" l="1"/>
  <c r="BA31" i="13" s="1"/>
  <c r="BB4" i="13" l="1"/>
  <c r="BB6" i="13" l="1"/>
  <c r="BB5" i="13"/>
  <c r="BC4" i="13"/>
  <c r="BC6" i="13" l="1"/>
  <c r="BC28" i="13" s="1"/>
  <c r="AE57" i="14" s="1"/>
  <c r="AE58" i="14" s="1"/>
  <c r="AE60" i="14" s="1"/>
  <c r="BB28" i="13"/>
  <c r="BB7" i="13"/>
  <c r="BC5" i="13"/>
  <c r="AE66" i="14" l="1"/>
  <c r="AE71" i="14" s="1"/>
  <c r="AE3" i="14"/>
  <c r="AE33" i="21"/>
  <c r="AF32" i="21" s="1"/>
  <c r="BC7" i="13"/>
  <c r="BC29" i="13" s="1"/>
  <c r="BB8" i="13"/>
  <c r="BD4" i="13" s="1"/>
  <c r="BB29" i="13"/>
  <c r="AF76" i="14" s="1"/>
  <c r="BD5" i="13" l="1"/>
  <c r="BD6" i="13"/>
  <c r="BD28" i="13" s="1"/>
  <c r="AF77" i="14"/>
  <c r="AE76" i="14"/>
  <c r="AE77" i="14" s="1"/>
  <c r="AE78" i="14" s="1"/>
  <c r="AE79" i="14" s="1"/>
  <c r="AE4" i="14" s="1"/>
  <c r="BC8" i="13"/>
  <c r="BC31" i="13" s="1"/>
  <c r="AE28" i="21" s="1"/>
  <c r="AE29" i="21" s="1"/>
  <c r="BB31" i="13"/>
  <c r="AE34" i="21"/>
  <c r="AE35" i="21" l="1"/>
  <c r="BD7" i="13"/>
  <c r="AF65" i="14"/>
  <c r="AE10" i="21"/>
  <c r="AE14" i="21" s="1"/>
  <c r="AE19" i="21" s="1"/>
  <c r="AE36" i="21" s="1"/>
  <c r="AE37" i="21" l="1"/>
  <c r="AE38" i="21"/>
  <c r="BD29" i="13"/>
  <c r="BD8" i="13"/>
  <c r="BE4" i="13" l="1"/>
  <c r="BD31" i="13"/>
  <c r="BE5" i="13" l="1"/>
  <c r="BE6" i="13"/>
  <c r="BE28" i="13" s="1"/>
  <c r="BE7" i="13" l="1"/>
  <c r="BE8" i="13" l="1"/>
  <c r="BE29" i="13"/>
  <c r="BE31" i="13" l="1"/>
  <c r="BF4" i="13"/>
  <c r="BF5" i="13" l="1"/>
  <c r="BF6" i="13"/>
  <c r="BF28" i="13" s="1"/>
  <c r="BF7" i="13" l="1"/>
  <c r="BF29" i="13" l="1"/>
  <c r="BF8" i="13"/>
  <c r="BG4" i="13" l="1"/>
  <c r="BF31" i="13"/>
  <c r="BG5" i="13" l="1"/>
  <c r="BG6" i="13"/>
  <c r="BG28" i="13" s="1"/>
  <c r="BG7" i="13" l="1"/>
  <c r="BG29" i="13" l="1"/>
  <c r="BG8" i="13"/>
  <c r="BH4" i="13" l="1"/>
  <c r="BG31" i="13"/>
  <c r="BH5" i="13" l="1"/>
  <c r="BH6" i="13"/>
  <c r="BH28" i="13" s="1"/>
  <c r="BH7" i="13" l="1"/>
  <c r="BH29" i="13" l="1"/>
  <c r="BH8" i="13"/>
  <c r="BI4" i="13" l="1"/>
  <c r="BH31" i="13"/>
  <c r="BI6" i="13" l="1"/>
  <c r="BI28" i="13" s="1"/>
  <c r="BI5" i="13"/>
  <c r="BI7" i="13" l="1"/>
  <c r="BI29" i="13" l="1"/>
  <c r="BI8" i="13"/>
  <c r="BJ4" i="13" l="1"/>
  <c r="BI31" i="13"/>
  <c r="BJ5" i="13" l="1"/>
  <c r="BJ6" i="13"/>
  <c r="BJ28" i="13" s="1"/>
  <c r="BJ7" i="13" l="1"/>
  <c r="BJ29" i="13" l="1"/>
  <c r="BJ8" i="13"/>
  <c r="BK4" i="13" l="1"/>
  <c r="BJ31" i="13"/>
  <c r="BK5" i="13" l="1"/>
  <c r="BK6" i="13"/>
  <c r="BK28" i="13" s="1"/>
  <c r="BK7" i="13" l="1"/>
  <c r="BK29" i="13" l="1"/>
  <c r="BK8" i="13"/>
  <c r="BL4" i="13" l="1"/>
  <c r="BK31" i="13"/>
  <c r="BL5" i="13" l="1"/>
  <c r="BL6" i="13"/>
  <c r="BL28" i="13" s="1"/>
  <c r="BL7" i="13" l="1"/>
  <c r="BL29" i="13" l="1"/>
  <c r="BL8" i="13"/>
  <c r="BL31" i="13" l="1"/>
  <c r="BM4" i="13"/>
  <c r="BM5" i="13" l="1"/>
  <c r="BM6" i="13"/>
  <c r="BM28" i="13" s="1"/>
  <c r="BM7" i="13" l="1"/>
  <c r="BM29" i="13" l="1"/>
  <c r="BM8" i="13"/>
  <c r="BN4" i="13" l="1"/>
  <c r="BM31" i="13"/>
  <c r="BN5" i="13" l="1"/>
  <c r="BN6" i="13"/>
  <c r="BN28" i="13" s="1"/>
  <c r="BN7" i="13" l="1"/>
  <c r="BN8" i="13" l="1"/>
  <c r="BN29" i="13"/>
  <c r="BN31" i="13" l="1"/>
  <c r="BO4" i="13"/>
  <c r="BP4" i="13" l="1"/>
  <c r="BO5" i="13"/>
  <c r="BO6" i="13"/>
  <c r="BO28" i="13" l="1"/>
  <c r="BP6" i="13"/>
  <c r="BP28" i="13" s="1"/>
  <c r="AF57" i="14" s="1"/>
  <c r="AF58" i="14" s="1"/>
  <c r="AF60" i="14" s="1"/>
  <c r="BO7" i="13"/>
  <c r="BP5" i="13"/>
  <c r="BP7" i="13" l="1"/>
  <c r="BP29" i="13" s="1"/>
  <c r="BO8" i="13"/>
  <c r="BO29" i="13"/>
  <c r="AF33" i="21"/>
  <c r="AF34" i="21" s="1"/>
  <c r="AF3" i="14"/>
  <c r="AF66" i="14"/>
  <c r="AF71" i="14" s="1"/>
  <c r="AF78" i="14" s="1"/>
  <c r="AF79" i="14" s="1"/>
  <c r="BO31" i="13" l="1"/>
  <c r="BP8" i="13"/>
  <c r="BP31" i="13" s="1"/>
  <c r="AF28" i="21" s="1"/>
  <c r="AF29" i="21" s="1"/>
  <c r="AF35" i="21" s="1"/>
  <c r="AF4" i="14"/>
  <c r="AF10" i="21"/>
  <c r="AF14" i="21" s="1"/>
  <c r="AF19" i="21" s="1"/>
  <c r="AF36" i="21" s="1"/>
  <c r="AF37" i="21" l="1"/>
  <c r="AF38" i="21"/>
</calcChain>
</file>

<file path=xl/comments1.xml><?xml version="1.0" encoding="utf-8"?>
<comments xmlns="http://schemas.openxmlformats.org/spreadsheetml/2006/main">
  <authors>
    <author>Donald Hill</author>
  </authors>
  <commentList>
    <comment ref="B10" authorId="0" shapeId="0">
      <text>
        <r>
          <rPr>
            <b/>
            <sz val="9"/>
            <color indexed="81"/>
            <rFont val="Tahoma"/>
            <family val="2"/>
          </rPr>
          <t>How many months of expenses do you want to have cash onhand in case slow startup collecting revenues? This will be your minimum starting cash balance.</t>
        </r>
        <r>
          <rPr>
            <sz val="9"/>
            <color indexed="81"/>
            <rFont val="Tahoma"/>
            <family val="2"/>
          </rPr>
          <t xml:space="preserve">
</t>
        </r>
      </text>
    </comment>
    <comment ref="A18" authorId="0" shapeId="0">
      <text>
        <r>
          <rPr>
            <sz val="9"/>
            <color indexed="81"/>
            <rFont val="Tahoma"/>
            <family val="2"/>
          </rPr>
          <t xml:space="preserve">If you have outstanding credit card balances or line of credit balances from starting up, enter that total here along with interest rate.
</t>
        </r>
      </text>
    </comment>
    <comment ref="D18" authorId="0" shapeId="0">
      <text>
        <r>
          <rPr>
            <b/>
            <sz val="9"/>
            <color indexed="81"/>
            <rFont val="Tahoma"/>
            <family val="2"/>
          </rPr>
          <t xml:space="preserve">Only one interest rate for unsecured line or CC allowed. Assumes that if get new line or CC (on line 18) with lower interest, would pay off existing higher interest CC or line.
</t>
        </r>
        <r>
          <rPr>
            <sz val="9"/>
            <color indexed="81"/>
            <rFont val="Tahoma"/>
            <family val="2"/>
          </rPr>
          <t xml:space="preserve">
</t>
        </r>
      </text>
    </comment>
    <comment ref="A19" authorId="0" shapeId="0">
      <text>
        <r>
          <rPr>
            <sz val="9"/>
            <color indexed="81"/>
            <rFont val="Tahoma"/>
            <family val="2"/>
          </rPr>
          <t xml:space="preserve">Enter the Maximum limit of a new line fo credit or credit card. Example, new CC with $15,000 limit, enter $15,000
</t>
        </r>
      </text>
    </comment>
    <comment ref="C26" authorId="0" shapeId="0">
      <text>
        <r>
          <rPr>
            <b/>
            <sz val="9"/>
            <color indexed="81"/>
            <rFont val="Tahoma"/>
            <family val="2"/>
          </rPr>
          <t>if negative, need more funding in lines 14-21</t>
        </r>
      </text>
    </comment>
    <comment ref="C27" authorId="0" shapeId="0">
      <text>
        <r>
          <rPr>
            <sz val="9"/>
            <color indexed="81"/>
            <rFont val="Tahoma"/>
            <family val="2"/>
          </rPr>
          <t xml:space="preserve">This includes total of any surplus of funding sources, PLUS the amount of Working capital planned in line 9
</t>
        </r>
      </text>
    </comment>
  </commentList>
</comments>
</file>

<file path=xl/comments2.xml><?xml version="1.0" encoding="utf-8"?>
<comments xmlns="http://schemas.openxmlformats.org/spreadsheetml/2006/main">
  <authors>
    <author>Donald Hill</author>
  </authors>
  <commentList>
    <comment ref="C64" authorId="0" shapeId="0">
      <text>
        <r>
          <rPr>
            <sz val="9"/>
            <color indexed="81"/>
            <rFont val="Tahoma"/>
            <family val="2"/>
          </rPr>
          <t>This is from the 9. Funding Plan total cash at startup line C25</t>
        </r>
      </text>
    </comment>
  </commentList>
</comments>
</file>

<file path=xl/sharedStrings.xml><?xml version="1.0" encoding="utf-8"?>
<sst xmlns="http://schemas.openxmlformats.org/spreadsheetml/2006/main" count="425" uniqueCount="340">
  <si>
    <t>Sales</t>
  </si>
  <si>
    <t>COGS</t>
  </si>
  <si>
    <t>Gross Profit</t>
  </si>
  <si>
    <t>Interest</t>
  </si>
  <si>
    <t>Depreciation</t>
  </si>
  <si>
    <t>Net Profit</t>
  </si>
  <si>
    <t>Total Annual Sales</t>
  </si>
  <si>
    <t>Item</t>
  </si>
  <si>
    <t>Utilities</t>
  </si>
  <si>
    <t>Other</t>
  </si>
  <si>
    <t>Total</t>
  </si>
  <si>
    <t>Tax</t>
  </si>
  <si>
    <t>Workers Comp</t>
  </si>
  <si>
    <t>Equipment, Office Equipment and Supply Startup Expenses</t>
  </si>
  <si>
    <t>Costs to prepare facility for operations</t>
  </si>
  <si>
    <t>Total Jobs per YEAR</t>
  </si>
  <si>
    <t>Business Startup Costs</t>
  </si>
  <si>
    <t>Business Startup</t>
  </si>
  <si>
    <t>Facilities</t>
  </si>
  <si>
    <t>(for reference - Avg jobs/week)</t>
  </si>
  <si>
    <t>Total Equipment/Vehicle Assets</t>
  </si>
  <si>
    <t>Annual depreciation</t>
  </si>
  <si>
    <t>Total Required</t>
  </si>
  <si>
    <t>Funding Sources</t>
  </si>
  <si>
    <t>% of Total</t>
  </si>
  <si>
    <t>Amount</t>
  </si>
  <si>
    <t>Interest Rate</t>
  </si>
  <si>
    <t>Term</t>
  </si>
  <si>
    <t>Personal Income Tax</t>
  </si>
  <si>
    <t>Annual Sales</t>
  </si>
  <si>
    <t>Useful Life of Equipment</t>
  </si>
  <si>
    <t>Equipment</t>
  </si>
  <si>
    <t>Owner Cash</t>
  </si>
  <si>
    <t>Owner Prior Purchases</t>
  </si>
  <si>
    <t>Qty</t>
  </si>
  <si>
    <t>Use</t>
  </si>
  <si>
    <t>Owner</t>
  </si>
  <si>
    <t>Have</t>
  </si>
  <si>
    <t>Purpose</t>
  </si>
  <si>
    <t>Grants</t>
  </si>
  <si>
    <t>Monthly</t>
  </si>
  <si>
    <t>Annual</t>
  </si>
  <si>
    <t>Weekly</t>
  </si>
  <si>
    <t>Accounting Services</t>
  </si>
  <si>
    <t>% of</t>
  </si>
  <si>
    <t>Lookup comp rate online</t>
  </si>
  <si>
    <t>1. Product Pricing and Cost Assumptions</t>
  </si>
  <si>
    <t>Price</t>
  </si>
  <si>
    <t>2. Number of Sales Per Month</t>
  </si>
  <si>
    <t>Total Sales per Month</t>
  </si>
  <si>
    <t>Number of Sales Per Year</t>
  </si>
  <si>
    <t>% of total</t>
  </si>
  <si>
    <t>Annual Cost of Goods Sold</t>
  </si>
  <si>
    <t>Total COGS</t>
  </si>
  <si>
    <t>Funding Plan - Cash Requirements and Funding Strategy</t>
  </si>
  <si>
    <t>Loan Ammortization</t>
  </si>
  <si>
    <t>Starting Year</t>
  </si>
  <si>
    <t>Starting Month</t>
  </si>
  <si>
    <t>Balance</t>
  </si>
  <si>
    <t>Payment</t>
  </si>
  <si>
    <t>Principal</t>
  </si>
  <si>
    <t>Ending</t>
  </si>
  <si>
    <t>Line of Credit or Credit</t>
  </si>
  <si>
    <t>Cards</t>
  </si>
  <si>
    <t>Charges</t>
  </si>
  <si>
    <t>Start</t>
  </si>
  <si>
    <t>Description</t>
  </si>
  <si>
    <t>Vendor</t>
  </si>
  <si>
    <t>P&amp;L Income Statement</t>
  </si>
  <si>
    <t>Expenses</t>
  </si>
  <si>
    <t>Profit Before Interest and Taxes</t>
  </si>
  <si>
    <t>Total Funding Amounts</t>
  </si>
  <si>
    <t>Interest Paid</t>
  </si>
  <si>
    <t>How many months before sales will be</t>
  </si>
  <si>
    <t>per month.?</t>
  </si>
  <si>
    <t xml:space="preserve">Or how many months before doing </t>
  </si>
  <si>
    <t>transactions per month</t>
  </si>
  <si>
    <t>Enter the number of months until sales reach expected levels</t>
  </si>
  <si>
    <t>Net Cash Flow</t>
  </si>
  <si>
    <t>Cash added from line</t>
  </si>
  <si>
    <t>Ending Cash Balance</t>
  </si>
  <si>
    <t>Cash from Operations</t>
  </si>
  <si>
    <t>Cash from owners</t>
  </si>
  <si>
    <t>Cash from Investors</t>
  </si>
  <si>
    <t>Owner Draws</t>
  </si>
  <si>
    <t>Repay Investors</t>
  </si>
  <si>
    <t>Y</t>
  </si>
  <si>
    <t>Misc office items</t>
  </si>
  <si>
    <t>Additional Line of Credit</t>
  </si>
  <si>
    <t>Borrowed</t>
  </si>
  <si>
    <t>Repaid</t>
  </si>
  <si>
    <t>Ending Balance Owed</t>
  </si>
  <si>
    <t>Startup Expenses and Investment</t>
  </si>
  <si>
    <t>Section</t>
  </si>
  <si>
    <t>num</t>
  </si>
  <si>
    <t>question</t>
  </si>
  <si>
    <t>answer 1</t>
  </si>
  <si>
    <t>answer 2</t>
  </si>
  <si>
    <t>answer 3</t>
  </si>
  <si>
    <t>Name of Business</t>
  </si>
  <si>
    <t>Type</t>
  </si>
  <si>
    <t>checked if available</t>
  </si>
  <si>
    <t>action</t>
  </si>
  <si>
    <t>Worker Wages</t>
  </si>
  <si>
    <t>Owner Pay</t>
  </si>
  <si>
    <t>Total Operating Expenses</t>
  </si>
  <si>
    <t>Useful Life of Facility</t>
  </si>
  <si>
    <t>Total Facility Investment</t>
  </si>
  <si>
    <t>Total Cash Added</t>
  </si>
  <si>
    <t>Total Cash Used</t>
  </si>
  <si>
    <t xml:space="preserve">Starting Cash </t>
  </si>
  <si>
    <t>Your Business Name</t>
  </si>
  <si>
    <t>Owner
 Purchased</t>
  </si>
  <si>
    <t>Taxes on Profit After Interest</t>
  </si>
  <si>
    <t>Average Monthly Budget</t>
  </si>
  <si>
    <t>For Reference, this is summary based</t>
  </si>
  <si>
    <t xml:space="preserve">on these sales assumptions on this sheet </t>
  </si>
  <si>
    <t>Total Sales</t>
  </si>
  <si>
    <t>Break-Even</t>
  </si>
  <si>
    <t>Enter expense estimate in ONE</t>
  </si>
  <si>
    <t>column Weekly/Monthly/Annual</t>
  </si>
  <si>
    <r>
      <rPr>
        <b/>
        <u/>
        <sz val="9"/>
        <color rgb="FFC00000"/>
        <rFont val="Arial"/>
        <family val="2"/>
      </rPr>
      <t>Or</t>
    </r>
    <r>
      <rPr>
        <sz val="9"/>
        <rFont val="Arial"/>
        <family val="2"/>
      </rPr>
      <t xml:space="preserve"> as a</t>
    </r>
  </si>
  <si>
    <t>STARTING CASH BALANCE</t>
  </si>
  <si>
    <t>CASH SPENT</t>
  </si>
  <si>
    <t>CASH ADDED</t>
  </si>
  <si>
    <t>Repay long-term loans</t>
  </si>
  <si>
    <t>N/A</t>
  </si>
  <si>
    <t>2. Seasonality</t>
  </si>
  <si>
    <t>1. Startup Phase - How long for sales to ramp up to expected normal levels?</t>
  </si>
  <si>
    <t xml:space="preserve">If your business is a startup or expanding, it usually takes months and possibly a year before your sales </t>
  </si>
  <si>
    <t>volume increases to the level expected in your business plan. This is a normal situation, and to help</t>
  </si>
  <si>
    <t>forecast how much extra cash you will need to survive those start-up months until things start picking up, this Rapid Business</t>
  </si>
  <si>
    <t>Plan financial template allows you to estimate the number of months needed to reach full sales revenues.</t>
  </si>
  <si>
    <t>Just enter the number of months you think it will take to get up and running with customers buying your product or service.</t>
  </si>
  <si>
    <t>For reference, the sales levels below are from Tab 1 Sales Forecast showing the 'average' typical month.</t>
  </si>
  <si>
    <t>EXPENSES</t>
  </si>
  <si>
    <t>SALES</t>
  </si>
  <si>
    <t>SNAPSHOT</t>
  </si>
  <si>
    <t>Seasonality and Initial Startup Delay in Reaching Sales Goals</t>
  </si>
  <si>
    <t>Most businesses have some seasonality impacting their sales volumes. A snow plow company sees higher sales in the winter</t>
  </si>
  <si>
    <t>for example.</t>
  </si>
  <si>
    <t>The table below is designed to help you easily adjust your monthly sales estimates by entering a multiplier for each month to</t>
  </si>
  <si>
    <t>indicate how busy that month is for sales.</t>
  </si>
  <si>
    <t>A '1' indicates it is a 'typical' run of the mill month. Not high or low - just average. If you enter a '2' for a month, that means that</t>
  </si>
  <si>
    <t xml:space="preserve">month is double what a 'typical' or average month will generate in terms of sales. You can enter any multiplier you want using </t>
  </si>
  <si>
    <t>this logic. For example, a retailer might enter a '9' for December to reflect the peak holiday sales 9 times higher than 'average'.</t>
  </si>
  <si>
    <t>You can also enter a '0' for a month if you think your business will not sell anything during that month.</t>
  </si>
  <si>
    <t>Basic Information Sheet</t>
  </si>
  <si>
    <t>This sheet is for entering basic information about your company that is then used on other sheets in the workbook.</t>
  </si>
  <si>
    <t xml:space="preserve">       Black and other font color cells are calculated automatically and should not be manually adjusted.</t>
  </si>
  <si>
    <t>1. Let's start off by entering the name of your company below:</t>
  </si>
  <si>
    <t>2. When do you plan to start your business? (If already in business, enter when you want the plan to start)</t>
  </si>
  <si>
    <t>3. Optional. What do you estimate your income tax rate will be?</t>
  </si>
  <si>
    <r>
      <t xml:space="preserve">TIP: On this sheet and alll other worksheets, be sure to ONLY change values with </t>
    </r>
    <r>
      <rPr>
        <b/>
        <sz val="10"/>
        <color rgb="FF0000FF"/>
        <rFont val="Arial"/>
        <family val="2"/>
      </rPr>
      <t>BLUE</t>
    </r>
    <r>
      <rPr>
        <sz val="10"/>
        <rFont val="Arial"/>
        <family val="2"/>
      </rPr>
      <t xml:space="preserve"> font color.</t>
    </r>
  </si>
  <si>
    <t>4. Below is a brief description of the workbook tabs and recommended order of completion.</t>
  </si>
  <si>
    <t>buy or produce each type of product/service.</t>
  </si>
  <si>
    <t>Estimate how many of each category of product/services you will sell in a 'typical' or 'average' month.</t>
  </si>
  <si>
    <t>and operating expenses estimated on Tab 2.</t>
  </si>
  <si>
    <t>On this sheet, you can estimate your operating expenses like rent, utilities, marketing, cell phone and other recurring expenses.</t>
  </si>
  <si>
    <t>IMPORTANT: This is for expenses that repeat! One-time startup expenses are estimated on Tab 3, Tab 4 and Tab 5.</t>
  </si>
  <si>
    <t>This sheet allows you to estimate your operating expenses in one of four ways.</t>
  </si>
  <si>
    <t>1. Column C - how much something costs per week.</t>
  </si>
  <si>
    <t>2. Column D - how much something costs per month</t>
  </si>
  <si>
    <t>3. Column E - how much something costs per year.</t>
  </si>
  <si>
    <t>4. Column F - something that is estimated as a percentage of total annual sales.</t>
  </si>
  <si>
    <t>add more rows. This sheet links to Tab 6 P&amp;L and will become corrupted if you delet or add rows here!</t>
  </si>
  <si>
    <t>For each expense line, only enter a value in ONE of the columns C, D, E, and F for each expense row.</t>
  </si>
  <si>
    <t>You do NOT have to use all the lines available! Leave blank if they are not needed, but do NOT delete any rows or</t>
  </si>
  <si>
    <r>
      <t xml:space="preserve">You can edit the names of expenses if they are in </t>
    </r>
    <r>
      <rPr>
        <b/>
        <sz val="10"/>
        <color rgb="FF0000FF"/>
        <rFont val="Arial"/>
        <family val="2"/>
      </rPr>
      <t>BLUE</t>
    </r>
    <r>
      <rPr>
        <sz val="10"/>
        <rFont val="Arial"/>
        <family val="2"/>
      </rPr>
      <t xml:space="preserve"> text. Only change </t>
    </r>
    <r>
      <rPr>
        <b/>
        <sz val="10"/>
        <color rgb="FF0000FF"/>
        <rFont val="Arial"/>
        <family val="2"/>
      </rPr>
      <t>BLUE</t>
    </r>
    <r>
      <rPr>
        <sz val="10"/>
        <rFont val="Arial"/>
        <family val="2"/>
      </rPr>
      <t xml:space="preserve"> text!</t>
    </r>
  </si>
  <si>
    <t>Totals</t>
  </si>
  <si>
    <t>Expense Category</t>
  </si>
  <si>
    <t>INSTRUCTIONS</t>
  </si>
  <si>
    <t>of sales</t>
  </si>
  <si>
    <t>Tab #</t>
  </si>
  <si>
    <t>Name</t>
  </si>
  <si>
    <t>Basic Info</t>
  </si>
  <si>
    <t>Company name, starting year and month, tax rates</t>
  </si>
  <si>
    <t>Sales Forecast</t>
  </si>
  <si>
    <t>Estimate pricing, units sold/month and cost of goods sold</t>
  </si>
  <si>
    <t>Operating Budget</t>
  </si>
  <si>
    <t>Monthly expenses - rent, insurance, utilities, marketing, phone, etc</t>
  </si>
  <si>
    <t>Startup Costs</t>
  </si>
  <si>
    <t>One-time startup expenses like incorporation costs, legal, etc.</t>
  </si>
  <si>
    <t>Equipment &amp; Vehicle</t>
  </si>
  <si>
    <t>One-time purchase of equipment like office equip, truck, tools</t>
  </si>
  <si>
    <t>Facility Costs</t>
  </si>
  <si>
    <t>One-time cost to purchase building, redecorate, expand, signage</t>
  </si>
  <si>
    <t>Seasonality</t>
  </si>
  <si>
    <t>Adjust monthly sales for seasonality and initial startup ramp up time</t>
  </si>
  <si>
    <t>Funding Plan</t>
  </si>
  <si>
    <t>Describe where you will get funding and how it will be spent.</t>
  </si>
  <si>
    <t>Sales Summary Tables</t>
  </si>
  <si>
    <t>Financial Summary Tables</t>
  </si>
  <si>
    <t>Graphs &amp; tables P&amp;L, expenses - for copy/paste into Word plan</t>
  </si>
  <si>
    <t>Graphs &amp; tables summaries of revenues - copy/paste into Word plan</t>
  </si>
  <si>
    <t>Loan Detail</t>
  </si>
  <si>
    <t>Monthly ammortization of loans shown in Funding Plan</t>
  </si>
  <si>
    <t>OPERATING BUDGET ESTIMATES</t>
  </si>
  <si>
    <t>Incorporation</t>
  </si>
  <si>
    <t>Business</t>
  </si>
  <si>
    <t>CPA setup QuickBooks on PC</t>
  </si>
  <si>
    <t>Repay Line</t>
  </si>
  <si>
    <t>Dwelling:</t>
  </si>
  <si>
    <t>Rent Payment</t>
  </si>
  <si>
    <t>House Payment</t>
  </si>
  <si>
    <t>Property Tax</t>
  </si>
  <si>
    <t>House Repair</t>
  </si>
  <si>
    <t>Miscellaneous Expenses (lawn mowing, cleaning, snow shoveling)</t>
  </si>
  <si>
    <t>Homeowner’s  Association Dues</t>
  </si>
  <si>
    <t>Insurance</t>
  </si>
  <si>
    <t>Furniture/Appliance Payments</t>
  </si>
  <si>
    <t>Transportation</t>
  </si>
  <si>
    <t>Car Payment(s)</t>
  </si>
  <si>
    <t>Other Vehicle Payment(s)</t>
  </si>
  <si>
    <t>Vehicle Upkeep/Repair</t>
  </si>
  <si>
    <t>Fuel</t>
  </si>
  <si>
    <t>License(s)</t>
  </si>
  <si>
    <t>Public Transportation</t>
  </si>
  <si>
    <t>Telephone</t>
  </si>
  <si>
    <t>Gas</t>
  </si>
  <si>
    <t>Electricity</t>
  </si>
  <si>
    <t>Water</t>
  </si>
  <si>
    <t>Trash</t>
  </si>
  <si>
    <t>Personal</t>
  </si>
  <si>
    <t>Groceries</t>
  </si>
  <si>
    <t>Dining Out</t>
  </si>
  <si>
    <t>Entertainment</t>
  </si>
  <si>
    <t>Tobacco Products</t>
  </si>
  <si>
    <t>Medical/Dental/Vision Insurance</t>
  </si>
  <si>
    <t>Clothing</t>
  </si>
  <si>
    <t>Laundry/Dry Cleaning</t>
  </si>
  <si>
    <t>Medical/Dental/Vision/Hospital Exp</t>
  </si>
  <si>
    <t>Prescriptions</t>
  </si>
  <si>
    <t>Education</t>
  </si>
  <si>
    <t>Credit Card Payments</t>
  </si>
  <si>
    <t>Loan Payments</t>
  </si>
  <si>
    <t>Pets</t>
  </si>
  <si>
    <t>Dues &amp; Subscriptions</t>
  </si>
  <si>
    <t>Gifts</t>
  </si>
  <si>
    <t>Donations</t>
  </si>
  <si>
    <t>Travel</t>
  </si>
  <si>
    <t>Cable TV</t>
  </si>
  <si>
    <t>Hobbies/Crafts</t>
  </si>
  <si>
    <t>Music</t>
  </si>
  <si>
    <t>Personal Assistant</t>
  </si>
  <si>
    <t>Assistive technology purchase, payments &amp; maintenance</t>
  </si>
  <si>
    <t>Internet Access</t>
  </si>
  <si>
    <t>Other:</t>
  </si>
  <si>
    <t>Rent</t>
  </si>
  <si>
    <t>Liability Insurance</t>
  </si>
  <si>
    <t>Licenses</t>
  </si>
  <si>
    <t>Advertising Expenses</t>
  </si>
  <si>
    <t>Legal review of wholesale contracts</t>
  </si>
  <si>
    <t>Printer</t>
  </si>
  <si>
    <t>Phone/Internet/Cell</t>
  </si>
  <si>
    <t>Dumpster/Waste</t>
  </si>
  <si>
    <t>Delivery Expense (Fuel, S&amp;H)</t>
  </si>
  <si>
    <t>QuickBook Program Online Version 1 Year</t>
  </si>
  <si>
    <t>Mac Laptop</t>
  </si>
  <si>
    <t>Banking Fees</t>
  </si>
  <si>
    <t>Merchant Account Fee</t>
  </si>
  <si>
    <t>Monthly Household Income</t>
  </si>
  <si>
    <t>INCOME</t>
  </si>
  <si>
    <t>Enter value in only one column!</t>
  </si>
  <si>
    <t>Source</t>
  </si>
  <si>
    <t>Wage Income</t>
  </si>
  <si>
    <t>As a percentage, estimate your growth in each sales category.</t>
  </si>
  <si>
    <t>6. Projected Sales Growth</t>
  </si>
  <si>
    <t>Ending Line Balance</t>
  </si>
  <si>
    <t>Electrician</t>
  </si>
  <si>
    <t>3 new outlets &amp; lights</t>
  </si>
  <si>
    <t>Owner Paid Hours</t>
  </si>
  <si>
    <t>ACME 5 Year</t>
  </si>
  <si>
    <t>Number of Sales Per month</t>
  </si>
  <si>
    <t>Price Each</t>
  </si>
  <si>
    <t>Office</t>
  </si>
  <si>
    <t>Pro Forma Balance Sheet</t>
  </si>
  <si>
    <t>Current Assets</t>
  </si>
  <si>
    <t>Cash</t>
  </si>
  <si>
    <t>Accounts Receivable</t>
  </si>
  <si>
    <t>Inventory</t>
  </si>
  <si>
    <t>Other Current Assets</t>
  </si>
  <si>
    <t>Total Current Assets</t>
  </si>
  <si>
    <t>Long-term Assets</t>
  </si>
  <si>
    <t>Accumulated Depreciation</t>
  </si>
  <si>
    <t>Total Long-term Assets</t>
  </si>
  <si>
    <t>Total Assets</t>
  </si>
  <si>
    <t>Accounts Payable</t>
  </si>
  <si>
    <t>Current Borrowing</t>
  </si>
  <si>
    <t>Other Current Liabilities</t>
  </si>
  <si>
    <t>Subtotal Current Liabilities</t>
  </si>
  <si>
    <t>Long-term Liabilities</t>
  </si>
  <si>
    <t>Total Liabilities</t>
  </si>
  <si>
    <t>Paid-in Capital</t>
  </si>
  <si>
    <t>Total Capital</t>
  </si>
  <si>
    <t>Total Liabilities and Capital</t>
  </si>
  <si>
    <t>Net Worth</t>
  </si>
  <si>
    <t>Starting Balance</t>
  </si>
  <si>
    <t>Ending Line of Credit Balance</t>
  </si>
  <si>
    <t>Outstanding Principal</t>
  </si>
  <si>
    <t>Retained Earnings</t>
  </si>
  <si>
    <t>Earnings</t>
  </si>
  <si>
    <t>ASSETS</t>
  </si>
  <si>
    <t>LIABILITIES AND CAPITAL</t>
  </si>
  <si>
    <t>Liabilities</t>
  </si>
  <si>
    <t>Capital</t>
  </si>
  <si>
    <t>3. Projected Sales Growth</t>
  </si>
  <si>
    <t>4. Number of Annual Sales</t>
  </si>
  <si>
    <t>5. Annual Sales</t>
  </si>
  <si>
    <t>6. Cost of Goods Sold</t>
  </si>
  <si>
    <t>Investor/Other Owner</t>
  </si>
  <si>
    <t>Owner Paid</t>
  </si>
  <si>
    <t>Needed</t>
  </si>
  <si>
    <t>Loan Interest</t>
  </si>
  <si>
    <t>Working Capital Reserve</t>
  </si>
  <si>
    <t>Total Funding</t>
  </si>
  <si>
    <t>Customer Type</t>
  </si>
  <si>
    <t>List up to six types of customers or sales transactions you will offer, the 'typical' price for each and 'typical' cost you pay to produce them,</t>
  </si>
  <si>
    <t>Customer Type 1</t>
  </si>
  <si>
    <t>Customer Type 2</t>
  </si>
  <si>
    <t>Customer Type 3</t>
  </si>
  <si>
    <t>Customer Type 4</t>
  </si>
  <si>
    <t>Customer Type 5</t>
  </si>
  <si>
    <t>Customer Type 6</t>
  </si>
  <si>
    <t>My Household Budget Needs</t>
  </si>
  <si>
    <t>New Line or CC Limit</t>
  </si>
  <si>
    <t>Term Loan 1</t>
  </si>
  <si>
    <t>Term Loan 2</t>
  </si>
  <si>
    <t>Existing Credit Card Debt or Loan</t>
  </si>
  <si>
    <t>Starting Cash Balance</t>
  </si>
  <si>
    <t>ak</t>
  </si>
  <si>
    <t>Existing Line or CC Balances</t>
  </si>
  <si>
    <t>Balance Sheet</t>
  </si>
  <si>
    <t>Annual Balance Sheet</t>
  </si>
  <si>
    <t>Personal Budget</t>
  </si>
  <si>
    <t>Useful for estimating how much owner must make to live on</t>
  </si>
  <si>
    <t>P&amp;L and Cashflow</t>
  </si>
  <si>
    <t>Profit and Loss (Income Statement) with Cashflow at bottom</t>
  </si>
  <si>
    <t>Cash from Term Loans</t>
  </si>
  <si>
    <t>Purchases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</si>
</sst>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5" formatCode="&quot;$&quot;#,##0_);\(&quot;$&quot;#,##0\)"/>
    <numFmt numFmtId="6" formatCode="&quot;$&quot;#,##0_);[Red]\(&quot;$&quot;#,##0\)"/>
    <numFmt numFmtId="7" formatCode="&quot;$&quot;#,##0.00_);\(&quot;$&quot;#,##0.00\)"/>
    <numFmt numFmtId="42" formatCode="_(&quot;$&quot;* #,##0_);_(&quot;$&quot;* \(#,##0\);_(&quot;$&quot;* &quot;-&quot;_);_(@_)"/>
    <numFmt numFmtId="44" formatCode="_(&quot;$&quot;* #,##0.00_);_(&quot;$&quot;* \(#,##0.00\);_(&quot;$&quot;* &quot;-&quot;??_);_(@_)"/>
    <numFmt numFmtId="43" formatCode="_(* #,##0.00_);_(* \(#,##0.00\);_(* &quot;-&quot;??_);_(@_)"/>
    <numFmt numFmtId="164" formatCode="_(&quot;$&quot;* #,##0_);_(&quot;$&quot;* \(#,##0\);_(&quot;$&quot;* &quot;-&quot;??_);_(@_)"/>
    <numFmt numFmtId="165" formatCode="0.0%"/>
    <numFmt numFmtId="166" formatCode="0.0"/>
    <numFmt numFmtId="167" formatCode="_(* #,##0_);_(* \(#,##0\);_(* &quot;-&quot;??_);_(@_)"/>
    <numFmt numFmtId="168" formatCode="0.00&quot;/$100&quot;"/>
    <numFmt numFmtId="169" formatCode="0&quot; months&quot;"/>
    <numFmt numFmtId="170" formatCode="General&quot; years&quot;"/>
    <numFmt numFmtId="171" formatCode="0&quot; yrs&quot;"/>
    <numFmt numFmtId="172" formatCode="0%&quot; Payroll Taxes&quot;"/>
    <numFmt numFmtId="173" formatCode="mmm"/>
    <numFmt numFmtId="174" formatCode="_(&quot;$&quot;* #,##0_);_(&quot;$&quot;* \(#,##0\);_(&quot;$&quot;* &quot;-&quot;?_);_(@_)"/>
    <numFmt numFmtId="175" formatCode="&quot;Line Bal &quot;&quot;$&quot;#,##0_)"/>
    <numFmt numFmtId="176" formatCode="0&quot; /week&quot;"/>
    <numFmt numFmtId="177" formatCode="0%&quot;discount&quot;"/>
    <numFmt numFmtId="178" formatCode="&quot;Other &quot;0.0%&quot; of sales&quot;"/>
  </numFmts>
  <fonts count="45">
    <font>
      <sz val="10"/>
      <name val="Arial"/>
    </font>
    <font>
      <sz val="10"/>
      <name val="Arial"/>
      <family val="2"/>
    </font>
    <font>
      <sz val="8"/>
      <name val="Arial"/>
      <family val="2"/>
    </font>
    <font>
      <b/>
      <sz val="10"/>
      <name val="Arial"/>
      <family val="2"/>
    </font>
    <font>
      <b/>
      <u/>
      <sz val="10"/>
      <name val="Arial"/>
      <family val="2"/>
    </font>
    <font>
      <sz val="10"/>
      <color indexed="12"/>
      <name val="Arial"/>
      <family val="2"/>
    </font>
    <font>
      <sz val="10"/>
      <name val="Arial"/>
      <family val="2"/>
    </font>
    <font>
      <sz val="8.5"/>
      <name val="Arial"/>
      <family val="2"/>
    </font>
    <font>
      <sz val="10"/>
      <color indexed="30"/>
      <name val="Arial"/>
      <family val="2"/>
    </font>
    <font>
      <sz val="10"/>
      <color indexed="12"/>
      <name val="Arial"/>
      <family val="2"/>
    </font>
    <font>
      <sz val="8"/>
      <name val="Arial"/>
      <family val="2"/>
    </font>
    <font>
      <u/>
      <sz val="10"/>
      <color theme="10"/>
      <name val="Arial"/>
      <family val="2"/>
    </font>
    <font>
      <sz val="10"/>
      <color theme="0"/>
      <name val="Arial"/>
      <family val="2"/>
    </font>
    <font>
      <sz val="10"/>
      <color rgb="FF0000FF"/>
      <name val="Arial"/>
      <family val="2"/>
    </font>
    <font>
      <sz val="8.5"/>
      <color rgb="FF0000FF"/>
      <name val="Arial"/>
      <family val="2"/>
    </font>
    <font>
      <sz val="9"/>
      <name val="Arial"/>
      <family val="2"/>
    </font>
    <font>
      <sz val="9"/>
      <color indexed="81"/>
      <name val="Tahoma"/>
      <family val="2"/>
    </font>
    <font>
      <b/>
      <sz val="9"/>
      <color indexed="81"/>
      <name val="Tahoma"/>
      <family val="2"/>
    </font>
    <font>
      <sz val="10"/>
      <color rgb="FF000000"/>
      <name val="Arial"/>
      <family val="2"/>
    </font>
    <font>
      <sz val="10"/>
      <color theme="1"/>
      <name val="Arial"/>
      <family val="2"/>
    </font>
    <font>
      <b/>
      <u/>
      <sz val="9"/>
      <name val="Arial"/>
      <family val="2"/>
    </font>
    <font>
      <b/>
      <sz val="9"/>
      <name val="Arial"/>
      <family val="2"/>
    </font>
    <font>
      <b/>
      <u/>
      <sz val="9"/>
      <color rgb="FFC00000"/>
      <name val="Arial"/>
      <family val="2"/>
    </font>
    <font>
      <i/>
      <sz val="8"/>
      <name val="Arial"/>
      <family val="2"/>
    </font>
    <font>
      <b/>
      <sz val="9"/>
      <color indexed="12"/>
      <name val="Arial"/>
      <family val="2"/>
    </font>
    <font>
      <sz val="11"/>
      <name val="Arial"/>
      <family val="2"/>
    </font>
    <font>
      <b/>
      <sz val="10"/>
      <color rgb="FF0000FF"/>
      <name val="Arial"/>
      <family val="2"/>
    </font>
    <font>
      <i/>
      <sz val="9"/>
      <name val="Arial"/>
      <family val="2"/>
    </font>
    <font>
      <b/>
      <sz val="8"/>
      <color indexed="12"/>
      <name val="Arial"/>
      <family val="2"/>
    </font>
    <font>
      <b/>
      <sz val="12"/>
      <name val="Arial"/>
      <family val="2"/>
    </font>
    <font>
      <b/>
      <sz val="10"/>
      <color theme="0"/>
      <name val="Arial"/>
      <family val="2"/>
    </font>
    <font>
      <b/>
      <sz val="13"/>
      <color theme="1"/>
      <name val="Times New Roman"/>
      <family val="1"/>
    </font>
    <font>
      <b/>
      <sz val="13"/>
      <color theme="1"/>
      <name val="Cambria"/>
      <family val="1"/>
    </font>
    <font>
      <sz val="13"/>
      <color theme="1"/>
      <name val="Cambria"/>
      <family val="1"/>
    </font>
    <font>
      <b/>
      <sz val="12"/>
      <color theme="1"/>
      <name val="Times New Roman"/>
      <family val="1"/>
    </font>
    <font>
      <i/>
      <sz val="12"/>
      <name val="Arial"/>
      <family val="2"/>
    </font>
    <font>
      <b/>
      <sz val="12"/>
      <color theme="1"/>
      <name val="Cambria"/>
      <family val="1"/>
    </font>
    <font>
      <sz val="12"/>
      <name val="Arial"/>
      <family val="2"/>
    </font>
    <font>
      <sz val="12"/>
      <color theme="1"/>
      <name val="Cambria"/>
      <family val="1"/>
    </font>
    <font>
      <b/>
      <i/>
      <sz val="10"/>
      <color theme="1"/>
      <name val="Arial"/>
      <family val="2"/>
    </font>
    <font>
      <i/>
      <sz val="10"/>
      <color theme="5" tint="-0.249977111117893"/>
      <name val="Arial"/>
      <family val="2"/>
    </font>
    <font>
      <sz val="10"/>
      <color indexed="8"/>
      <name val="Arial"/>
      <family val="2"/>
    </font>
    <font>
      <sz val="9"/>
      <color rgb="FF0000FF"/>
      <name val="Arial"/>
      <family val="2"/>
    </font>
    <font>
      <b/>
      <i/>
      <sz val="10"/>
      <name val="Arial"/>
      <family val="2"/>
    </font>
    <font>
      <sz val="10"/>
      <name val="Arial Unicode MS"/>
      <family val="2"/>
    </font>
  </fonts>
  <fills count="26">
    <fill>
      <patternFill patternType="none"/>
    </fill>
    <fill>
      <patternFill patternType="gray125"/>
    </fill>
    <fill>
      <patternFill patternType="solid">
        <fgColor indexed="55"/>
        <bgColor indexed="64"/>
      </patternFill>
    </fill>
    <fill>
      <patternFill patternType="solid">
        <fgColor indexed="1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B05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FFFF99"/>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9" tint="0.79998168889431442"/>
        <bgColor indexed="64"/>
      </patternFill>
    </fill>
  </fills>
  <borders count="1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medium">
        <color indexed="64"/>
      </top>
      <bottom/>
      <diagonal/>
    </border>
    <border diagonalUp="1" diagonalDown="1">
      <left style="medium">
        <color indexed="64"/>
      </left>
      <right style="thin">
        <color indexed="64"/>
      </right>
      <top style="medium">
        <color indexed="64"/>
      </top>
      <bottom style="medium">
        <color indexed="64"/>
      </bottom>
      <diagonal style="medium">
        <color indexed="64"/>
      </diagonal>
    </border>
    <border diagonalUp="1" diagonalDown="1">
      <left style="thin">
        <color indexed="64"/>
      </left>
      <right style="thin">
        <color indexed="64"/>
      </right>
      <top style="medium">
        <color indexed="64"/>
      </top>
      <bottom style="medium">
        <color indexed="64"/>
      </bottom>
      <diagonal style="medium">
        <color indexed="64"/>
      </diagonal>
    </border>
    <border diagonalUp="1" diagonalDown="1">
      <left style="thin">
        <color indexed="64"/>
      </left>
      <right style="medium">
        <color indexed="64"/>
      </right>
      <top style="medium">
        <color indexed="64"/>
      </top>
      <bottom style="medium">
        <color indexed="64"/>
      </bottom>
      <diagonal style="medium">
        <color indexed="64"/>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auto="1"/>
      </left>
      <right style="thin">
        <color auto="1"/>
      </right>
      <top/>
      <bottom/>
      <diagonal/>
    </border>
    <border>
      <left style="thin">
        <color auto="1"/>
      </left>
      <right style="thin">
        <color auto="1"/>
      </right>
      <top/>
      <bottom style="medium">
        <color indexed="64"/>
      </bottom>
      <diagonal/>
    </border>
    <border>
      <left style="medium">
        <color indexed="64"/>
      </left>
      <right style="thin">
        <color auto="1"/>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bottom/>
      <diagonal/>
    </border>
    <border>
      <left/>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indexed="64"/>
      </top>
      <bottom style="thin">
        <color theme="0"/>
      </bottom>
      <diagonal/>
    </border>
    <border>
      <left/>
      <right/>
      <top style="thin">
        <color theme="0"/>
      </top>
      <bottom/>
      <diagonal/>
    </border>
    <border>
      <left style="thin">
        <color indexed="64"/>
      </left>
      <right style="thin">
        <color indexed="64"/>
      </right>
      <top style="medium">
        <color indexed="64"/>
      </top>
      <bottom/>
      <diagonal/>
    </border>
    <border>
      <left style="thin">
        <color auto="1"/>
      </left>
      <right/>
      <top/>
      <bottom style="medium">
        <color indexed="64"/>
      </bottom>
      <diagonal/>
    </border>
    <border>
      <left/>
      <right style="thin">
        <color indexed="64"/>
      </right>
      <top/>
      <bottom style="medium">
        <color indexed="64"/>
      </bottom>
      <diagonal/>
    </border>
    <border>
      <left/>
      <right style="thin">
        <color theme="0"/>
      </right>
      <top style="thin">
        <color theme="0"/>
      </top>
      <bottom style="thin">
        <color theme="0"/>
      </bottom>
      <diagonal/>
    </border>
    <border>
      <left style="thin">
        <color theme="0"/>
      </left>
      <right/>
      <top/>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auto="1"/>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medium">
        <color indexed="64"/>
      </left>
      <right style="thin">
        <color indexed="64"/>
      </right>
      <top style="thin">
        <color indexed="64"/>
      </top>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auto="1"/>
      </left>
      <right style="thick">
        <color indexed="64"/>
      </right>
      <top/>
      <bottom style="medium">
        <color indexed="64"/>
      </bottom>
      <diagonal/>
    </border>
    <border>
      <left style="thin">
        <color auto="1"/>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ck">
        <color indexed="64"/>
      </right>
      <top/>
      <bottom style="thin">
        <color indexed="64"/>
      </bottom>
      <diagonal/>
    </border>
    <border>
      <left/>
      <right style="thick">
        <color indexed="64"/>
      </right>
      <top style="thin">
        <color indexed="64"/>
      </top>
      <bottom style="thin">
        <color indexed="64"/>
      </bottom>
      <diagonal/>
    </border>
    <border>
      <left/>
      <right style="thick">
        <color indexed="64"/>
      </right>
      <top/>
      <bottom style="medium">
        <color indexed="64"/>
      </bottom>
      <diagonal/>
    </border>
    <border>
      <left style="thick">
        <color indexed="64"/>
      </left>
      <right style="thick">
        <color indexed="64"/>
      </right>
      <top style="medium">
        <color indexed="64"/>
      </top>
      <bottom style="thin">
        <color indexed="64"/>
      </bottom>
      <diagonal/>
    </border>
    <border>
      <left style="thick">
        <color indexed="64"/>
      </left>
      <right style="thick">
        <color indexed="64"/>
      </right>
      <top style="thin">
        <color indexed="64"/>
      </top>
      <bottom style="medium">
        <color indexed="64"/>
      </bottom>
      <diagonal/>
    </border>
    <border>
      <left style="thin">
        <color indexed="64"/>
      </left>
      <right style="thick">
        <color auto="1"/>
      </right>
      <top style="medium">
        <color indexed="64"/>
      </top>
      <bottom/>
      <diagonal/>
    </border>
    <border>
      <left style="thick">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medium">
        <color indexed="64"/>
      </top>
      <bottom/>
      <diagonal/>
    </border>
    <border>
      <left style="thin">
        <color auto="1"/>
      </left>
      <right/>
      <top style="medium">
        <color auto="1"/>
      </top>
      <bottom style="medium">
        <color auto="1"/>
      </bottom>
      <diagonal/>
    </border>
    <border>
      <left style="thin">
        <color indexed="64"/>
      </left>
      <right style="thick">
        <color indexed="64"/>
      </right>
      <top/>
      <bottom/>
      <diagonal/>
    </border>
    <border>
      <left style="thick">
        <color indexed="64"/>
      </left>
      <right style="thick">
        <color indexed="64"/>
      </right>
      <top/>
      <bottom style="thin">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thin">
        <color auto="1"/>
      </right>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ck">
        <color indexed="64"/>
      </left>
      <right style="thick">
        <color indexed="64"/>
      </right>
      <top style="medium">
        <color indexed="64"/>
      </top>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style="medium">
        <color indexed="64"/>
      </left>
      <right/>
      <top style="thin">
        <color theme="0"/>
      </top>
      <bottom style="thin">
        <color theme="0"/>
      </bottom>
      <diagonal/>
    </border>
    <border>
      <left/>
      <right style="medium">
        <color indexed="64"/>
      </right>
      <top style="thin">
        <color theme="0"/>
      </top>
      <bottom style="thin">
        <color theme="0"/>
      </bottom>
      <diagonal/>
    </border>
    <border>
      <left style="medium">
        <color indexed="64"/>
      </left>
      <right/>
      <top style="thin">
        <color theme="0"/>
      </top>
      <bottom/>
      <diagonal/>
    </border>
    <border>
      <left/>
      <right style="medium">
        <color indexed="64"/>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ck">
        <color indexed="64"/>
      </right>
      <top style="thin">
        <color indexed="64"/>
      </top>
      <bottom/>
      <diagonal/>
    </border>
    <border>
      <left style="thick">
        <color indexed="64"/>
      </left>
      <right style="thick">
        <color indexed="64"/>
      </right>
      <top style="thin">
        <color indexed="64"/>
      </top>
      <bottom/>
      <diagonal/>
    </border>
    <border>
      <left/>
      <right style="thick">
        <color indexed="64"/>
      </right>
      <top style="thin">
        <color indexed="64"/>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11" fillId="0" borderId="0" applyNumberFormat="0" applyFill="0" applyBorder="0" applyAlignment="0" applyProtection="0"/>
    <xf numFmtId="0" fontId="6" fillId="0" borderId="0"/>
    <xf numFmtId="9" fontId="1" fillId="0" borderId="0" applyFont="0" applyFill="0" applyBorder="0" applyAlignment="0" applyProtection="0"/>
    <xf numFmtId="0" fontId="1" fillId="0" borderId="0"/>
  </cellStyleXfs>
  <cellXfs count="783">
    <xf numFmtId="0" fontId="0" fillId="0" borderId="0" xfId="0"/>
    <xf numFmtId="0" fontId="0" fillId="0" borderId="0" xfId="0" applyAlignment="1">
      <alignment horizontal="center"/>
    </xf>
    <xf numFmtId="0" fontId="4" fillId="0" borderId="0" xfId="0" applyFont="1"/>
    <xf numFmtId="0" fontId="0" fillId="0" borderId="1" xfId="0" applyBorder="1"/>
    <xf numFmtId="0" fontId="0" fillId="0" borderId="1" xfId="0" applyBorder="1" applyAlignment="1">
      <alignment horizontal="center"/>
    </xf>
    <xf numFmtId="164" fontId="0" fillId="0" borderId="1" xfId="2" applyNumberFormat="1" applyFont="1" applyBorder="1"/>
    <xf numFmtId="0" fontId="0" fillId="0" borderId="2" xfId="0" applyBorder="1"/>
    <xf numFmtId="0" fontId="0" fillId="0" borderId="3" xfId="0" applyBorder="1"/>
    <xf numFmtId="164" fontId="0" fillId="0" borderId="3" xfId="2" applyNumberFormat="1" applyFont="1" applyBorder="1"/>
    <xf numFmtId="0" fontId="0" fillId="0" borderId="0" xfId="0" applyBorder="1"/>
    <xf numFmtId="0" fontId="1" fillId="0" borderId="0" xfId="0" applyFont="1"/>
    <xf numFmtId="0" fontId="6" fillId="0" borderId="0" xfId="0" applyFont="1" applyBorder="1" applyAlignment="1">
      <alignment horizontal="center"/>
    </xf>
    <xf numFmtId="0" fontId="6" fillId="0" borderId="4" xfId="0" applyFont="1" applyBorder="1" applyAlignment="1">
      <alignment horizontal="right"/>
    </xf>
    <xf numFmtId="0" fontId="6" fillId="0" borderId="0" xfId="0" applyFont="1"/>
    <xf numFmtId="0" fontId="6" fillId="0" borderId="0" xfId="0" applyFont="1" applyBorder="1"/>
    <xf numFmtId="0" fontId="6" fillId="0" borderId="0" xfId="0" applyFont="1" applyFill="1" applyBorder="1"/>
    <xf numFmtId="0" fontId="6" fillId="0" borderId="2" xfId="0" applyFont="1" applyBorder="1"/>
    <xf numFmtId="1" fontId="0" fillId="0" borderId="2" xfId="0" applyNumberFormat="1" applyBorder="1" applyAlignment="1">
      <alignment horizontal="center"/>
    </xf>
    <xf numFmtId="44" fontId="0" fillId="0" borderId="0" xfId="0" applyNumberFormat="1"/>
    <xf numFmtId="0" fontId="0" fillId="0" borderId="5" xfId="0" applyBorder="1"/>
    <xf numFmtId="0" fontId="0" fillId="0" borderId="6" xfId="0" applyBorder="1"/>
    <xf numFmtId="0" fontId="0" fillId="0" borderId="7" xfId="0" applyBorder="1"/>
    <xf numFmtId="0" fontId="6" fillId="0" borderId="0" xfId="0" applyFont="1" applyBorder="1" applyAlignment="1"/>
    <xf numFmtId="164" fontId="0" fillId="0" borderId="0" xfId="2" applyNumberFormat="1" applyFont="1" applyBorder="1"/>
    <xf numFmtId="1" fontId="0" fillId="0" borderId="1" xfId="0" applyNumberFormat="1" applyBorder="1" applyAlignment="1">
      <alignment horizontal="center"/>
    </xf>
    <xf numFmtId="0" fontId="0" fillId="0" borderId="0" xfId="0" applyFill="1" applyBorder="1"/>
    <xf numFmtId="1" fontId="6" fillId="0" borderId="3" xfId="0" applyNumberFormat="1" applyFont="1" applyBorder="1" applyAlignment="1">
      <alignment horizontal="center"/>
    </xf>
    <xf numFmtId="1" fontId="6" fillId="0" borderId="2" xfId="0" applyNumberFormat="1" applyFont="1" applyBorder="1" applyAlignment="1">
      <alignment horizontal="center"/>
    </xf>
    <xf numFmtId="0" fontId="0" fillId="0" borderId="3" xfId="0" applyBorder="1" applyAlignment="1">
      <alignment horizontal="center"/>
    </xf>
    <xf numFmtId="0" fontId="4" fillId="0" borderId="0" xfId="0" applyFont="1" applyFill="1" applyBorder="1"/>
    <xf numFmtId="165" fontId="0" fillId="0" borderId="0" xfId="5" applyNumberFormat="1" applyFont="1" applyFill="1" applyBorder="1"/>
    <xf numFmtId="9" fontId="0" fillId="0" borderId="0" xfId="5" applyFont="1" applyFill="1" applyBorder="1"/>
    <xf numFmtId="0" fontId="6" fillId="0" borderId="5" xfId="0" applyFont="1" applyBorder="1"/>
    <xf numFmtId="1" fontId="7" fillId="0" borderId="2" xfId="4" applyNumberFormat="1" applyFont="1" applyFill="1" applyBorder="1" applyAlignment="1">
      <alignment horizontal="right"/>
    </xf>
    <xf numFmtId="164" fontId="6" fillId="0" borderId="0" xfId="2" applyNumberFormat="1" applyFont="1" applyBorder="1"/>
    <xf numFmtId="164" fontId="6" fillId="0" borderId="0" xfId="0" applyNumberFormat="1" applyFont="1" applyBorder="1"/>
    <xf numFmtId="0" fontId="6" fillId="0" borderId="0" xfId="0" applyFont="1" applyAlignment="1">
      <alignment horizontal="left"/>
    </xf>
    <xf numFmtId="164" fontId="0" fillId="0" borderId="0" xfId="0" applyNumberFormat="1" applyAlignment="1">
      <alignment horizontal="center"/>
    </xf>
    <xf numFmtId="164" fontId="0" fillId="0" borderId="0" xfId="5" applyNumberFormat="1" applyFont="1" applyFill="1" applyBorder="1"/>
    <xf numFmtId="9" fontId="6" fillId="0" borderId="0" xfId="5" applyFont="1" applyFill="1" applyBorder="1" applyAlignment="1">
      <alignment horizontal="center" shrinkToFit="1"/>
    </xf>
    <xf numFmtId="164" fontId="0" fillId="0" borderId="1" xfId="0" applyNumberFormat="1" applyBorder="1"/>
    <xf numFmtId="0" fontId="0" fillId="0" borderId="20" xfId="0" applyBorder="1"/>
    <xf numFmtId="0" fontId="1" fillId="0" borderId="5" xfId="0" applyFont="1" applyBorder="1"/>
    <xf numFmtId="172" fontId="1" fillId="0" borderId="5" xfId="5" applyNumberFormat="1" applyFont="1" applyBorder="1" applyAlignment="1">
      <alignment horizontal="left"/>
    </xf>
    <xf numFmtId="0" fontId="1" fillId="0" borderId="0" xfId="0" applyFont="1" applyFill="1" applyBorder="1"/>
    <xf numFmtId="0" fontId="1" fillId="0" borderId="2" xfId="0" applyFont="1" applyBorder="1"/>
    <xf numFmtId="44" fontId="1" fillId="0" borderId="2" xfId="2" applyNumberFormat="1" applyFont="1" applyBorder="1" applyAlignment="1">
      <alignment horizontal="center"/>
    </xf>
    <xf numFmtId="0" fontId="1" fillId="0" borderId="3" xfId="0" applyFont="1" applyBorder="1" applyAlignment="1">
      <alignment shrinkToFit="1"/>
    </xf>
    <xf numFmtId="0" fontId="1" fillId="0" borderId="3" xfId="0" applyFont="1" applyBorder="1" applyAlignment="1">
      <alignment horizontal="center" shrinkToFit="1"/>
    </xf>
    <xf numFmtId="0" fontId="1" fillId="0" borderId="7" xfId="0" applyFont="1" applyBorder="1" applyAlignment="1">
      <alignment horizontal="center"/>
    </xf>
    <xf numFmtId="9" fontId="0" fillId="0" borderId="1" xfId="5" applyFont="1" applyFill="1" applyBorder="1" applyAlignment="1">
      <alignment horizontal="center"/>
    </xf>
    <xf numFmtId="9" fontId="0" fillId="0" borderId="3" xfId="5" applyFont="1" applyFill="1" applyBorder="1" applyAlignment="1">
      <alignment horizontal="center"/>
    </xf>
    <xf numFmtId="9" fontId="0" fillId="0" borderId="0" xfId="5" applyFont="1" applyFill="1" applyBorder="1" applyAlignment="1">
      <alignment horizontal="center"/>
    </xf>
    <xf numFmtId="0" fontId="0" fillId="3" borderId="2" xfId="0" applyFill="1" applyBorder="1"/>
    <xf numFmtId="9" fontId="0" fillId="3" borderId="2" xfId="5" applyFont="1" applyFill="1" applyBorder="1" applyAlignment="1">
      <alignment horizontal="center"/>
    </xf>
    <xf numFmtId="164" fontId="0" fillId="3" borderId="2" xfId="2" applyNumberFormat="1" applyFont="1" applyFill="1" applyBorder="1"/>
    <xf numFmtId="164" fontId="0" fillId="0" borderId="0" xfId="2" applyNumberFormat="1" applyFont="1"/>
    <xf numFmtId="165" fontId="0" fillId="0" borderId="0" xfId="5" applyNumberFormat="1" applyFont="1" applyBorder="1" applyAlignment="1">
      <alignment horizontal="center"/>
    </xf>
    <xf numFmtId="171" fontId="1" fillId="0" borderId="0" xfId="5" applyNumberFormat="1" applyFont="1" applyFill="1" applyBorder="1" applyAlignment="1">
      <alignment horizontal="center"/>
    </xf>
    <xf numFmtId="0" fontId="0" fillId="0" borderId="0" xfId="0" applyFont="1" applyFill="1" applyBorder="1"/>
    <xf numFmtId="173" fontId="0" fillId="0" borderId="0" xfId="0" applyNumberFormat="1" applyAlignment="1">
      <alignment horizontal="center"/>
    </xf>
    <xf numFmtId="164" fontId="0" fillId="0" borderId="27" xfId="2" applyNumberFormat="1" applyFont="1" applyBorder="1"/>
    <xf numFmtId="0" fontId="1" fillId="0" borderId="28" xfId="0" applyFont="1" applyBorder="1"/>
    <xf numFmtId="165" fontId="0" fillId="0" borderId="29" xfId="5" applyNumberFormat="1" applyFont="1" applyBorder="1" applyAlignment="1">
      <alignment horizontal="center"/>
    </xf>
    <xf numFmtId="0" fontId="1" fillId="0" borderId="30" xfId="0" applyFont="1" applyBorder="1"/>
    <xf numFmtId="171" fontId="1" fillId="0" borderId="31" xfId="5" applyNumberFormat="1" applyFont="1" applyFill="1" applyBorder="1" applyAlignment="1">
      <alignment horizontal="center"/>
    </xf>
    <xf numFmtId="0" fontId="1" fillId="0" borderId="32" xfId="0" applyFont="1" applyBorder="1"/>
    <xf numFmtId="164" fontId="0" fillId="0" borderId="0" xfId="0" applyNumberFormat="1"/>
    <xf numFmtId="6" fontId="0" fillId="0" borderId="0" xfId="5" applyNumberFormat="1" applyFont="1" applyFill="1" applyBorder="1"/>
    <xf numFmtId="6" fontId="0" fillId="0" borderId="0" xfId="0" applyNumberFormat="1"/>
    <xf numFmtId="0" fontId="0" fillId="0" borderId="0" xfId="0" applyNumberFormat="1" applyAlignment="1">
      <alignment horizontal="center"/>
    </xf>
    <xf numFmtId="0" fontId="1" fillId="0" borderId="0" xfId="0" applyFont="1" applyAlignment="1">
      <alignment horizontal="right"/>
    </xf>
    <xf numFmtId="0" fontId="1" fillId="0" borderId="0" xfId="0" applyFont="1" applyBorder="1"/>
    <xf numFmtId="0" fontId="1" fillId="0" borderId="0" xfId="0" applyFont="1" applyBorder="1" applyAlignment="1">
      <alignment horizontal="right"/>
    </xf>
    <xf numFmtId="165" fontId="0" fillId="0" borderId="31" xfId="5" applyNumberFormat="1" applyFont="1" applyBorder="1" applyAlignment="1">
      <alignment horizontal="center"/>
    </xf>
    <xf numFmtId="0" fontId="1" fillId="0" borderId="0" xfId="0" applyFont="1" applyBorder="1" applyAlignment="1"/>
    <xf numFmtId="0" fontId="1" fillId="0" borderId="0" xfId="0" applyFont="1" applyBorder="1" applyAlignment="1">
      <alignment horizontal="center"/>
    </xf>
    <xf numFmtId="0" fontId="1" fillId="0" borderId="33" xfId="0" applyFont="1" applyBorder="1"/>
    <xf numFmtId="1" fontId="0" fillId="0" borderId="0" xfId="0" applyNumberFormat="1"/>
    <xf numFmtId="165" fontId="0" fillId="0" borderId="0" xfId="0" applyNumberFormat="1"/>
    <xf numFmtId="0" fontId="0" fillId="0" borderId="0" xfId="0" applyAlignment="1">
      <alignment vertical="top" wrapText="1"/>
    </xf>
    <xf numFmtId="165" fontId="0" fillId="0" borderId="1" xfId="5" applyNumberFormat="1" applyFont="1" applyBorder="1" applyAlignment="1">
      <alignment horizontal="center"/>
    </xf>
    <xf numFmtId="42" fontId="0" fillId="0" borderId="1" xfId="0" applyNumberFormat="1" applyBorder="1" applyAlignment="1">
      <alignment horizontal="center" shrinkToFit="1"/>
    </xf>
    <xf numFmtId="173" fontId="3" fillId="0" borderId="1" xfId="0" applyNumberFormat="1" applyFont="1" applyBorder="1" applyAlignment="1">
      <alignment horizontal="center"/>
    </xf>
    <xf numFmtId="165" fontId="0" fillId="0" borderId="0" xfId="5" applyNumberFormat="1" applyFont="1"/>
    <xf numFmtId="6" fontId="0" fillId="0" borderId="1" xfId="5" applyNumberFormat="1" applyFont="1" applyFill="1" applyBorder="1"/>
    <xf numFmtId="9" fontId="0" fillId="0" borderId="0" xfId="5" applyFont="1"/>
    <xf numFmtId="1" fontId="0" fillId="0" borderId="0" xfId="1" applyNumberFormat="1" applyFont="1"/>
    <xf numFmtId="42" fontId="0" fillId="0" borderId="0" xfId="0" applyNumberFormat="1" applyAlignment="1">
      <alignment vertical="top" wrapText="1"/>
    </xf>
    <xf numFmtId="174" fontId="0" fillId="0" borderId="0" xfId="0" applyNumberFormat="1" applyAlignment="1">
      <alignment shrinkToFit="1"/>
    </xf>
    <xf numFmtId="0" fontId="0" fillId="0" borderId="0" xfId="0" applyAlignment="1">
      <alignment shrinkToFit="1"/>
    </xf>
    <xf numFmtId="0" fontId="0" fillId="0" borderId="1" xfId="0" applyBorder="1" applyAlignment="1">
      <alignment horizontal="right"/>
    </xf>
    <xf numFmtId="0" fontId="0" fillId="0" borderId="2" xfId="0" applyBorder="1" applyAlignment="1">
      <alignment horizontal="right"/>
    </xf>
    <xf numFmtId="164" fontId="0" fillId="0" borderId="2" xfId="2" applyNumberFormat="1" applyFont="1" applyBorder="1"/>
    <xf numFmtId="0" fontId="4" fillId="0" borderId="1" xfId="0" applyFont="1" applyFill="1" applyBorder="1"/>
    <xf numFmtId="0" fontId="3" fillId="0" borderId="0" xfId="0" applyFont="1" applyFill="1" applyBorder="1"/>
    <xf numFmtId="164" fontId="0" fillId="0" borderId="0" xfId="0" applyNumberFormat="1" applyBorder="1"/>
    <xf numFmtId="0" fontId="5" fillId="0" borderId="36" xfId="0" applyFont="1" applyFill="1" applyBorder="1"/>
    <xf numFmtId="164" fontId="9" fillId="0" borderId="35" xfId="2" applyNumberFormat="1" applyFont="1" applyFill="1" applyBorder="1"/>
    <xf numFmtId="165" fontId="6" fillId="0" borderId="37" xfId="5" applyNumberFormat="1" applyFont="1" applyFill="1" applyBorder="1" applyAlignment="1">
      <alignment horizontal="center"/>
    </xf>
    <xf numFmtId="167" fontId="5" fillId="4" borderId="1" xfId="1" applyNumberFormat="1" applyFont="1" applyFill="1" applyBorder="1"/>
    <xf numFmtId="0" fontId="5" fillId="4" borderId="1" xfId="0" applyFont="1" applyFill="1" applyBorder="1"/>
    <xf numFmtId="165" fontId="5" fillId="4" borderId="17" xfId="5" applyNumberFormat="1" applyFont="1" applyFill="1" applyBorder="1" applyAlignment="1">
      <alignment horizontal="center"/>
    </xf>
    <xf numFmtId="0" fontId="13" fillId="4" borderId="5" xfId="0" applyFont="1" applyFill="1" applyBorder="1"/>
    <xf numFmtId="164" fontId="0" fillId="0" borderId="3" xfId="0" applyNumberFormat="1" applyBorder="1"/>
    <xf numFmtId="0" fontId="0" fillId="0" borderId="39" xfId="0" applyBorder="1"/>
    <xf numFmtId="0" fontId="1" fillId="0" borderId="11" xfId="0" applyFont="1" applyBorder="1"/>
    <xf numFmtId="164" fontId="0" fillId="7" borderId="1" xfId="0" applyNumberFormat="1" applyFill="1" applyBorder="1"/>
    <xf numFmtId="0" fontId="12" fillId="0" borderId="0" xfId="0" applyFont="1" applyBorder="1" applyAlignment="1">
      <alignment horizontal="center"/>
    </xf>
    <xf numFmtId="0" fontId="5" fillId="4" borderId="2" xfId="0" applyFont="1" applyFill="1" applyBorder="1"/>
    <xf numFmtId="9" fontId="5" fillId="4" borderId="1" xfId="5" applyFont="1" applyFill="1" applyBorder="1" applyAlignment="1">
      <alignment horizontal="center"/>
    </xf>
    <xf numFmtId="164" fontId="9" fillId="4" borderId="1" xfId="2" applyNumberFormat="1" applyFont="1" applyFill="1" applyBorder="1"/>
    <xf numFmtId="164" fontId="9" fillId="4" borderId="3" xfId="2" applyNumberFormat="1" applyFont="1" applyFill="1" applyBorder="1"/>
    <xf numFmtId="0" fontId="14" fillId="4" borderId="1" xfId="4" applyFont="1" applyFill="1" applyBorder="1" applyAlignment="1">
      <alignment horizontal="center" wrapText="1"/>
    </xf>
    <xf numFmtId="0" fontId="14" fillId="4" borderId="1" xfId="4" applyFont="1" applyFill="1" applyBorder="1" applyAlignment="1">
      <alignment horizontal="left" vertical="center" wrapText="1"/>
    </xf>
    <xf numFmtId="0" fontId="14" fillId="4" borderId="1" xfId="4" applyFont="1" applyFill="1" applyBorder="1" applyAlignment="1">
      <alignment vertical="center" wrapText="1"/>
    </xf>
    <xf numFmtId="170" fontId="8" fillId="4" borderId="0" xfId="0" applyNumberFormat="1" applyFont="1" applyFill="1" applyAlignment="1">
      <alignment horizontal="center"/>
    </xf>
    <xf numFmtId="0" fontId="13" fillId="4" borderId="1" xfId="0" applyFont="1" applyFill="1" applyBorder="1"/>
    <xf numFmtId="2" fontId="14" fillId="4" borderId="2" xfId="4" applyNumberFormat="1" applyFont="1" applyFill="1" applyBorder="1" applyAlignment="1">
      <alignment horizontal="right"/>
    </xf>
    <xf numFmtId="164" fontId="12" fillId="0" borderId="33" xfId="2" applyNumberFormat="1" applyFont="1" applyBorder="1"/>
    <xf numFmtId="164" fontId="12" fillId="0" borderId="0" xfId="2" applyNumberFormat="1" applyFont="1" applyBorder="1"/>
    <xf numFmtId="0" fontId="12" fillId="0" borderId="33" xfId="0" applyFont="1" applyBorder="1" applyAlignment="1">
      <alignment horizontal="center"/>
    </xf>
    <xf numFmtId="44" fontId="0" fillId="0" borderId="0" xfId="0" applyNumberFormat="1" applyBorder="1"/>
    <xf numFmtId="0" fontId="1" fillId="0" borderId="0" xfId="0" applyFont="1" applyAlignment="1">
      <alignment horizontal="left"/>
    </xf>
    <xf numFmtId="0" fontId="3" fillId="0" borderId="4" xfId="0" applyFont="1" applyBorder="1" applyAlignment="1">
      <alignment horizontal="right"/>
    </xf>
    <xf numFmtId="164" fontId="3" fillId="0" borderId="8" xfId="0" applyNumberFormat="1" applyFont="1" applyBorder="1"/>
    <xf numFmtId="0" fontId="3" fillId="0" borderId="20" xfId="0" applyFont="1" applyBorder="1"/>
    <xf numFmtId="0" fontId="3" fillId="0" borderId="20" xfId="0" applyFont="1" applyFill="1" applyBorder="1" applyAlignment="1"/>
    <xf numFmtId="0" fontId="3" fillId="0" borderId="20" xfId="0" applyFont="1" applyBorder="1" applyAlignment="1">
      <alignment horizontal="center"/>
    </xf>
    <xf numFmtId="0" fontId="14" fillId="4" borderId="1" xfId="4" applyFont="1" applyFill="1" applyBorder="1" applyAlignment="1">
      <alignment horizontal="center" vertical="center" wrapText="1"/>
    </xf>
    <xf numFmtId="0" fontId="6" fillId="0" borderId="0" xfId="0" applyFont="1" applyBorder="1" applyAlignment="1">
      <alignment horizontal="left"/>
    </xf>
    <xf numFmtId="0" fontId="6" fillId="0" borderId="0" xfId="0" applyFont="1" applyBorder="1" applyAlignment="1">
      <alignment horizontal="right"/>
    </xf>
    <xf numFmtId="0" fontId="0" fillId="12" borderId="0" xfId="0" applyFill="1" applyBorder="1"/>
    <xf numFmtId="0" fontId="6" fillId="0" borderId="0" xfId="0" applyFont="1" applyAlignment="1"/>
    <xf numFmtId="0" fontId="12" fillId="0" borderId="11" xfId="0" applyFont="1" applyBorder="1"/>
    <xf numFmtId="0" fontId="5" fillId="4" borderId="14" xfId="0" applyFont="1" applyFill="1" applyBorder="1"/>
    <xf numFmtId="164" fontId="5" fillId="0" borderId="36" xfId="2" applyNumberFormat="1" applyFont="1" applyFill="1" applyBorder="1"/>
    <xf numFmtId="164" fontId="15" fillId="0" borderId="20" xfId="0" applyNumberFormat="1" applyFont="1" applyBorder="1"/>
    <xf numFmtId="164" fontId="15" fillId="0" borderId="0" xfId="0" applyNumberFormat="1" applyFont="1" applyBorder="1"/>
    <xf numFmtId="164" fontId="0" fillId="5" borderId="2" xfId="0" applyNumberFormat="1" applyFill="1" applyBorder="1"/>
    <xf numFmtId="164" fontId="13" fillId="13" borderId="1" xfId="2" applyNumberFormat="1" applyFont="1" applyFill="1" applyBorder="1"/>
    <xf numFmtId="0" fontId="0" fillId="7" borderId="42" xfId="0" applyFill="1" applyBorder="1" applyAlignment="1">
      <alignment horizontal="right"/>
    </xf>
    <xf numFmtId="0" fontId="0" fillId="7" borderId="7" xfId="0" applyFill="1" applyBorder="1" applyAlignment="1">
      <alignment horizontal="right"/>
    </xf>
    <xf numFmtId="164" fontId="13" fillId="8" borderId="1" xfId="2" applyNumberFormat="1" applyFont="1" applyFill="1" applyBorder="1"/>
    <xf numFmtId="0" fontId="1" fillId="7" borderId="12" xfId="0" applyFont="1" applyFill="1" applyBorder="1" applyAlignment="1">
      <alignment horizontal="right"/>
    </xf>
    <xf numFmtId="164" fontId="0" fillId="7" borderId="2" xfId="0" applyNumberFormat="1" applyFill="1" applyBorder="1"/>
    <xf numFmtId="0" fontId="0" fillId="7" borderId="13" xfId="0" applyFill="1" applyBorder="1" applyAlignment="1">
      <alignment horizontal="right"/>
    </xf>
    <xf numFmtId="164" fontId="13" fillId="13" borderId="3" xfId="2" applyNumberFormat="1" applyFont="1" applyFill="1" applyBorder="1"/>
    <xf numFmtId="164" fontId="0" fillId="7" borderId="3" xfId="0" applyNumberFormat="1" applyFill="1" applyBorder="1"/>
    <xf numFmtId="164" fontId="0" fillId="14" borderId="2" xfId="2" applyNumberFormat="1" applyFont="1" applyFill="1" applyBorder="1"/>
    <xf numFmtId="164" fontId="0" fillId="8" borderId="3" xfId="2" applyNumberFormat="1" applyFont="1" applyFill="1" applyBorder="1"/>
    <xf numFmtId="0" fontId="0" fillId="9" borderId="13" xfId="0" applyFill="1" applyBorder="1"/>
    <xf numFmtId="164" fontId="0" fillId="9" borderId="3" xfId="0" applyNumberFormat="1" applyFill="1" applyBorder="1"/>
    <xf numFmtId="164" fontId="1" fillId="9" borderId="1" xfId="2" applyNumberFormat="1" applyFont="1" applyFill="1" applyBorder="1"/>
    <xf numFmtId="165" fontId="1" fillId="9" borderId="1" xfId="5" applyNumberFormat="1" applyFont="1" applyFill="1" applyBorder="1" applyAlignment="1">
      <alignment horizontal="right"/>
    </xf>
    <xf numFmtId="9" fontId="1" fillId="0" borderId="0" xfId="5" applyFont="1" applyFill="1" applyBorder="1" applyAlignment="1">
      <alignment horizontal="center"/>
    </xf>
    <xf numFmtId="9" fontId="1" fillId="0" borderId="22" xfId="5" applyFont="1" applyFill="1" applyBorder="1" applyAlignment="1">
      <alignment horizontal="center"/>
    </xf>
    <xf numFmtId="9" fontId="1" fillId="0" borderId="12" xfId="5" applyFont="1" applyFill="1" applyBorder="1" applyAlignment="1">
      <alignment horizontal="center" shrinkToFit="1"/>
    </xf>
    <xf numFmtId="9" fontId="1" fillId="0" borderId="38" xfId="5" applyFont="1" applyFill="1" applyBorder="1" applyAlignment="1">
      <alignment horizontal="center"/>
    </xf>
    <xf numFmtId="9" fontId="1" fillId="0" borderId="2" xfId="5" applyFont="1" applyFill="1" applyBorder="1" applyAlignment="1">
      <alignment horizontal="center" shrinkToFit="1"/>
    </xf>
    <xf numFmtId="0" fontId="15" fillId="0" borderId="1" xfId="0" applyFont="1" applyFill="1" applyBorder="1"/>
    <xf numFmtId="0" fontId="15" fillId="0" borderId="5" xfId="0" applyFont="1" applyFill="1" applyBorder="1"/>
    <xf numFmtId="0" fontId="15" fillId="0" borderId="6" xfId="0" applyFont="1" applyFill="1" applyBorder="1"/>
    <xf numFmtId="0" fontId="0" fillId="0" borderId="50" xfId="0" applyBorder="1"/>
    <xf numFmtId="9" fontId="5" fillId="0" borderId="50" xfId="5" applyFont="1" applyBorder="1" applyAlignment="1">
      <alignment horizontal="center"/>
    </xf>
    <xf numFmtId="0" fontId="4" fillId="0" borderId="51" xfId="0" applyFont="1" applyBorder="1"/>
    <xf numFmtId="0" fontId="0" fillId="0" borderId="51" xfId="0" applyBorder="1"/>
    <xf numFmtId="9" fontId="5" fillId="0" borderId="51" xfId="5" applyFont="1" applyBorder="1" applyAlignment="1">
      <alignment horizontal="center"/>
    </xf>
    <xf numFmtId="0" fontId="1" fillId="0" borderId="51" xfId="0" applyFont="1" applyFill="1" applyBorder="1"/>
    <xf numFmtId="0" fontId="6" fillId="0" borderId="51" xfId="0" applyFont="1" applyBorder="1"/>
    <xf numFmtId="0" fontId="6" fillId="0" borderId="51" xfId="0" applyFont="1" applyBorder="1" applyAlignment="1"/>
    <xf numFmtId="0" fontId="12" fillId="0" borderId="51" xfId="0" applyFont="1" applyFill="1" applyBorder="1" applyAlignment="1">
      <alignment horizontal="center"/>
    </xf>
    <xf numFmtId="0" fontId="0" fillId="0" borderId="49" xfId="0" applyBorder="1"/>
    <xf numFmtId="0" fontId="6" fillId="0" borderId="49" xfId="0" applyFont="1" applyBorder="1" applyAlignment="1"/>
    <xf numFmtId="1" fontId="12" fillId="0" borderId="49" xfId="0" applyNumberFormat="1" applyFont="1" applyBorder="1" applyAlignment="1">
      <alignment horizontal="center"/>
    </xf>
    <xf numFmtId="0" fontId="12" fillId="0" borderId="49" xfId="0" applyFont="1" applyFill="1" applyBorder="1" applyAlignment="1">
      <alignment horizontal="center"/>
    </xf>
    <xf numFmtId="0" fontId="1" fillId="0" borderId="51" xfId="0" applyFont="1" applyBorder="1"/>
    <xf numFmtId="0" fontId="0" fillId="9" borderId="0" xfId="0" applyFill="1"/>
    <xf numFmtId="0" fontId="1" fillId="9" borderId="0" xfId="0" applyFont="1" applyFill="1" applyAlignment="1">
      <alignment horizontal="right"/>
    </xf>
    <xf numFmtId="0" fontId="0" fillId="9" borderId="0" xfId="0" applyFill="1" applyAlignment="1">
      <alignment horizontal="right"/>
    </xf>
    <xf numFmtId="169" fontId="24" fillId="4" borderId="1" xfId="2" applyNumberFormat="1" applyFont="1" applyFill="1" applyBorder="1" applyAlignment="1">
      <alignment horizontal="center"/>
    </xf>
    <xf numFmtId="0" fontId="0" fillId="0" borderId="0" xfId="0" applyFill="1"/>
    <xf numFmtId="0" fontId="0" fillId="0" borderId="0" xfId="0" applyAlignment="1">
      <alignment horizontal="center"/>
    </xf>
    <xf numFmtId="0" fontId="0" fillId="0" borderId="52" xfId="0" applyBorder="1"/>
    <xf numFmtId="0" fontId="0" fillId="0" borderId="53" xfId="0" applyBorder="1"/>
    <xf numFmtId="0" fontId="6" fillId="0" borderId="52" xfId="0" applyFont="1" applyBorder="1" applyAlignment="1"/>
    <xf numFmtId="0" fontId="12" fillId="0" borderId="52" xfId="0" applyFont="1" applyFill="1" applyBorder="1" applyAlignment="1">
      <alignment horizontal="center"/>
    </xf>
    <xf numFmtId="0" fontId="1" fillId="3" borderId="43" xfId="0" applyFont="1" applyFill="1" applyBorder="1"/>
    <xf numFmtId="9" fontId="0" fillId="3" borderId="43" xfId="5" applyFont="1" applyFill="1" applyBorder="1" applyAlignment="1">
      <alignment horizontal="center"/>
    </xf>
    <xf numFmtId="0" fontId="0" fillId="0" borderId="20" xfId="0" applyBorder="1" applyAlignment="1">
      <alignment horizontal="center"/>
    </xf>
    <xf numFmtId="0" fontId="15" fillId="0" borderId="0" xfId="0" applyFont="1" applyFill="1"/>
    <xf numFmtId="0" fontId="4" fillId="0" borderId="0" xfId="0" applyFont="1" applyFill="1"/>
    <xf numFmtId="0" fontId="1" fillId="0" borderId="0" xfId="0" applyFont="1" applyFill="1" applyAlignment="1">
      <alignment horizontal="right"/>
    </xf>
    <xf numFmtId="164" fontId="0" fillId="0" borderId="41" xfId="0" applyNumberFormat="1" applyFill="1" applyBorder="1"/>
    <xf numFmtId="0" fontId="0" fillId="0" borderId="1" xfId="0" applyFill="1" applyBorder="1"/>
    <xf numFmtId="164" fontId="0" fillId="0" borderId="2" xfId="2" applyNumberFormat="1" applyFont="1" applyFill="1" applyBorder="1"/>
    <xf numFmtId="165" fontId="15" fillId="0" borderId="1" xfId="5" applyNumberFormat="1" applyFont="1" applyFill="1" applyBorder="1"/>
    <xf numFmtId="164" fontId="0" fillId="0" borderId="1" xfId="2" applyNumberFormat="1" applyFont="1" applyFill="1" applyBorder="1"/>
    <xf numFmtId="172" fontId="1" fillId="0" borderId="1" xfId="5" applyNumberFormat="1" applyFont="1" applyFill="1" applyBorder="1" applyAlignment="1">
      <alignment horizontal="left"/>
    </xf>
    <xf numFmtId="164" fontId="21" fillId="0" borderId="55" xfId="0" applyNumberFormat="1" applyFont="1" applyBorder="1"/>
    <xf numFmtId="0" fontId="2" fillId="14" borderId="16" xfId="0" applyFont="1" applyFill="1" applyBorder="1" applyAlignment="1">
      <alignment horizontal="center"/>
    </xf>
    <xf numFmtId="0" fontId="2" fillId="14" borderId="3" xfId="0" applyFont="1" applyFill="1" applyBorder="1" applyAlignment="1">
      <alignment horizontal="center"/>
    </xf>
    <xf numFmtId="0" fontId="15" fillId="14" borderId="21" xfId="0" applyFont="1" applyFill="1" applyBorder="1" applyAlignment="1">
      <alignment horizontal="center" wrapText="1"/>
    </xf>
    <xf numFmtId="0" fontId="15" fillId="14" borderId="15" xfId="0" applyFont="1" applyFill="1" applyBorder="1" applyAlignment="1">
      <alignment horizontal="center" wrapText="1"/>
    </xf>
    <xf numFmtId="0" fontId="1" fillId="0" borderId="56" xfId="0" applyFont="1" applyBorder="1"/>
    <xf numFmtId="0" fontId="0" fillId="7" borderId="6" xfId="0" applyFont="1" applyFill="1" applyBorder="1"/>
    <xf numFmtId="0" fontId="0" fillId="0" borderId="10" xfId="0" applyBorder="1"/>
    <xf numFmtId="0" fontId="0" fillId="0" borderId="33" xfId="0" applyBorder="1"/>
    <xf numFmtId="164" fontId="0" fillId="6" borderId="3" xfId="0" applyNumberFormat="1" applyFill="1" applyBorder="1"/>
    <xf numFmtId="0" fontId="1" fillId="0" borderId="10" xfId="0" applyFont="1" applyBorder="1"/>
    <xf numFmtId="0" fontId="0" fillId="0" borderId="12" xfId="0" applyBorder="1"/>
    <xf numFmtId="173" fontId="0" fillId="14" borderId="44" xfId="0" applyNumberFormat="1" applyFill="1" applyBorder="1" applyAlignment="1">
      <alignment horizontal="center"/>
    </xf>
    <xf numFmtId="164" fontId="0" fillId="5" borderId="26" xfId="0" applyNumberFormat="1" applyFill="1" applyBorder="1"/>
    <xf numFmtId="0" fontId="0" fillId="12" borderId="34" xfId="0" applyFill="1" applyBorder="1"/>
    <xf numFmtId="0" fontId="0" fillId="15" borderId="1" xfId="0" applyFill="1" applyBorder="1" applyAlignment="1">
      <alignment horizontal="center"/>
    </xf>
    <xf numFmtId="173" fontId="0" fillId="15" borderId="1" xfId="0" applyNumberFormat="1" applyFill="1" applyBorder="1" applyAlignment="1">
      <alignment horizontal="center"/>
    </xf>
    <xf numFmtId="164" fontId="15" fillId="15" borderId="1" xfId="0" applyNumberFormat="1" applyFont="1" applyFill="1" applyBorder="1"/>
    <xf numFmtId="0" fontId="15" fillId="15" borderId="10" xfId="0" applyFont="1" applyFill="1" applyBorder="1"/>
    <xf numFmtId="0" fontId="15" fillId="15" borderId="12" xfId="0" applyFont="1" applyFill="1" applyBorder="1" applyAlignment="1">
      <alignment horizontal="right"/>
    </xf>
    <xf numFmtId="0" fontId="20" fillId="15" borderId="5" xfId="0" applyFont="1" applyFill="1" applyBorder="1"/>
    <xf numFmtId="0" fontId="15" fillId="15" borderId="7" xfId="0" applyFont="1" applyFill="1" applyBorder="1" applyAlignment="1">
      <alignment horizontal="right"/>
    </xf>
    <xf numFmtId="0" fontId="1" fillId="5" borderId="47" xfId="0" applyFont="1" applyFill="1" applyBorder="1"/>
    <xf numFmtId="0" fontId="1" fillId="5" borderId="19" xfId="0" applyFont="1" applyFill="1" applyBorder="1"/>
    <xf numFmtId="0" fontId="1" fillId="5" borderId="18" xfId="0" applyFont="1" applyFill="1" applyBorder="1"/>
    <xf numFmtId="0" fontId="3" fillId="14" borderId="18" xfId="0" applyFont="1" applyFill="1" applyBorder="1"/>
    <xf numFmtId="165" fontId="13" fillId="4" borderId="0" xfId="5" applyNumberFormat="1" applyFont="1" applyFill="1" applyBorder="1"/>
    <xf numFmtId="0" fontId="3" fillId="0" borderId="0" xfId="0" applyFont="1" applyBorder="1" applyAlignment="1"/>
    <xf numFmtId="0" fontId="13" fillId="4" borderId="1" xfId="0" applyNumberFormat="1" applyFont="1" applyFill="1" applyBorder="1" applyAlignment="1">
      <alignment horizontal="center"/>
    </xf>
    <xf numFmtId="0" fontId="0" fillId="16" borderId="0" xfId="0" applyFill="1"/>
    <xf numFmtId="164" fontId="0" fillId="16" borderId="0" xfId="2" applyNumberFormat="1" applyFont="1" applyFill="1"/>
    <xf numFmtId="42" fontId="0" fillId="16" borderId="0" xfId="0" applyNumberFormat="1" applyFill="1"/>
    <xf numFmtId="0" fontId="0" fillId="16" borderId="0" xfId="0" applyFill="1" applyAlignment="1">
      <alignment horizontal="center"/>
    </xf>
    <xf numFmtId="165" fontId="0" fillId="16" borderId="0" xfId="0" applyNumberFormat="1" applyFill="1"/>
    <xf numFmtId="0" fontId="3" fillId="0" borderId="0" xfId="0" applyFont="1" applyAlignment="1">
      <alignment horizontal="right"/>
    </xf>
    <xf numFmtId="0" fontId="3" fillId="0" borderId="0" xfId="0" applyFont="1" applyAlignment="1"/>
    <xf numFmtId="0" fontId="25" fillId="0" borderId="0" xfId="0" applyFont="1"/>
    <xf numFmtId="1" fontId="0" fillId="9" borderId="0" xfId="0" applyNumberFormat="1" applyFill="1"/>
    <xf numFmtId="42" fontId="0" fillId="9" borderId="0" xfId="0" applyNumberFormat="1" applyFill="1"/>
    <xf numFmtId="1" fontId="0" fillId="9" borderId="0" xfId="0" applyNumberFormat="1" applyFill="1" applyAlignment="1">
      <alignment horizontal="right"/>
    </xf>
    <xf numFmtId="164" fontId="0" fillId="9" borderId="0" xfId="2" applyNumberFormat="1" applyFont="1" applyFill="1" applyAlignment="1">
      <alignment horizontal="right" shrinkToFit="1"/>
    </xf>
    <xf numFmtId="0" fontId="0" fillId="16" borderId="0" xfId="0" applyFill="1" applyAlignment="1">
      <alignment horizontal="left"/>
    </xf>
    <xf numFmtId="0" fontId="0" fillId="17" borderId="0" xfId="0" applyFill="1"/>
    <xf numFmtId="0" fontId="0" fillId="0" borderId="0" xfId="0" applyFill="1" applyAlignment="1">
      <alignment horizontal="right"/>
    </xf>
    <xf numFmtId="1" fontId="0" fillId="0" borderId="0" xfId="0" applyNumberFormat="1" applyFill="1" applyAlignment="1">
      <alignment horizontal="right"/>
    </xf>
    <xf numFmtId="1" fontId="0" fillId="0" borderId="0" xfId="0" applyNumberFormat="1" applyFill="1"/>
    <xf numFmtId="42" fontId="0" fillId="0" borderId="0" xfId="0" applyNumberFormat="1" applyFill="1"/>
    <xf numFmtId="0" fontId="0" fillId="0" borderId="11" xfId="0" applyBorder="1"/>
    <xf numFmtId="0" fontId="1" fillId="0" borderId="12" xfId="0" applyFont="1" applyBorder="1" applyAlignment="1">
      <alignment horizontal="center"/>
    </xf>
    <xf numFmtId="0" fontId="3" fillId="0" borderId="0" xfId="0" applyFont="1"/>
    <xf numFmtId="0" fontId="1" fillId="11" borderId="0" xfId="0" applyFont="1" applyFill="1"/>
    <xf numFmtId="0" fontId="0" fillId="11" borderId="0" xfId="0" applyFill="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1" xfId="0" applyFont="1" applyFill="1" applyBorder="1" applyAlignment="1">
      <alignment horizontal="right"/>
    </xf>
    <xf numFmtId="0" fontId="9" fillId="4" borderId="1" xfId="0" applyNumberFormat="1" applyFont="1" applyFill="1" applyBorder="1" applyAlignment="1">
      <alignment horizontal="center"/>
    </xf>
    <xf numFmtId="0" fontId="9" fillId="4" borderId="1" xfId="0" applyFont="1" applyFill="1" applyBorder="1" applyAlignment="1">
      <alignment horizontal="center"/>
    </xf>
    <xf numFmtId="0" fontId="1" fillId="0" borderId="1" xfId="0" applyFont="1" applyBorder="1" applyAlignment="1">
      <alignment horizontal="center"/>
    </xf>
    <xf numFmtId="165" fontId="13" fillId="4" borderId="1" xfId="5" applyNumberFormat="1" applyFont="1" applyFill="1" applyBorder="1" applyAlignment="1">
      <alignment horizontal="center"/>
    </xf>
    <xf numFmtId="0" fontId="6" fillId="0" borderId="1" xfId="0" applyFont="1" applyFill="1" applyBorder="1" applyAlignment="1">
      <alignment horizontal="right"/>
    </xf>
    <xf numFmtId="0" fontId="1" fillId="0" borderId="0" xfId="0" applyFont="1" applyFill="1"/>
    <xf numFmtId="0" fontId="1" fillId="12" borderId="0" xfId="0" applyFont="1" applyFill="1"/>
    <xf numFmtId="0" fontId="0" fillId="12" borderId="0" xfId="0" applyFill="1"/>
    <xf numFmtId="0" fontId="1" fillId="12" borderId="0" xfId="0" applyFont="1" applyFill="1" applyBorder="1"/>
    <xf numFmtId="0" fontId="1" fillId="12" borderId="0" xfId="0" applyFont="1" applyFill="1" applyBorder="1" applyAlignment="1">
      <alignment horizontal="right"/>
    </xf>
    <xf numFmtId="0" fontId="1" fillId="12" borderId="0" xfId="0" applyFont="1" applyFill="1" applyBorder="1" applyAlignment="1">
      <alignment horizontal="center"/>
    </xf>
    <xf numFmtId="0" fontId="1" fillId="11" borderId="27" xfId="0" applyFont="1" applyFill="1" applyBorder="1"/>
    <xf numFmtId="0" fontId="0" fillId="11" borderId="34" xfId="0" applyFill="1" applyBorder="1"/>
    <xf numFmtId="0" fontId="0" fillId="11" borderId="28" xfId="0" applyFill="1" applyBorder="1"/>
    <xf numFmtId="0" fontId="1" fillId="11" borderId="31" xfId="0" applyFont="1" applyFill="1" applyBorder="1"/>
    <xf numFmtId="0" fontId="0" fillId="11" borderId="20" xfId="0" applyFill="1" applyBorder="1"/>
    <xf numFmtId="0" fontId="0" fillId="11" borderId="32" xfId="0" applyFill="1" applyBorder="1"/>
    <xf numFmtId="0" fontId="3" fillId="0" borderId="0" xfId="0" applyFont="1" applyBorder="1" applyAlignment="1">
      <alignment horizontal="left"/>
    </xf>
    <xf numFmtId="0" fontId="3" fillId="0" borderId="49" xfId="0" applyFont="1" applyBorder="1" applyAlignment="1">
      <alignment horizontal="left"/>
    </xf>
    <xf numFmtId="0" fontId="3" fillId="0" borderId="52" xfId="0" applyFont="1" applyBorder="1" applyAlignment="1">
      <alignment horizontal="left"/>
    </xf>
    <xf numFmtId="0" fontId="15" fillId="0" borderId="1" xfId="0" applyFont="1" applyBorder="1" applyAlignment="1">
      <alignment horizontal="center" wrapText="1"/>
    </xf>
    <xf numFmtId="0" fontId="0" fillId="0" borderId="6" xfId="0" applyBorder="1" applyAlignment="1">
      <alignment horizontal="center"/>
    </xf>
    <xf numFmtId="166" fontId="5" fillId="4" borderId="6" xfId="0" applyNumberFormat="1" applyFont="1" applyFill="1" applyBorder="1" applyAlignment="1">
      <alignment horizontal="center"/>
    </xf>
    <xf numFmtId="1" fontId="0" fillId="0" borderId="10" xfId="0" applyNumberFormat="1" applyBorder="1" applyAlignment="1">
      <alignment horizontal="center"/>
    </xf>
    <xf numFmtId="0" fontId="6" fillId="0" borderId="54" xfId="0" applyFont="1" applyBorder="1" applyAlignment="1"/>
    <xf numFmtId="0" fontId="1" fillId="5" borderId="47" xfId="0" applyFont="1" applyFill="1" applyBorder="1" applyAlignment="1">
      <alignment horizontal="right"/>
    </xf>
    <xf numFmtId="0" fontId="0" fillId="18" borderId="0" xfId="0" applyFill="1"/>
    <xf numFmtId="0" fontId="1" fillId="18" borderId="0" xfId="0" applyFont="1" applyFill="1"/>
    <xf numFmtId="0" fontId="15" fillId="14" borderId="60" xfId="0" applyFont="1" applyFill="1" applyBorder="1" applyAlignment="1">
      <alignment horizontal="center"/>
    </xf>
    <xf numFmtId="0" fontId="0" fillId="0" borderId="59" xfId="0" applyBorder="1" applyAlignment="1">
      <alignment horizontal="left"/>
    </xf>
    <xf numFmtId="164" fontId="12" fillId="0" borderId="0" xfId="2" applyNumberFormat="1" applyFont="1" applyFill="1" applyBorder="1" applyAlignment="1">
      <alignment horizontal="center"/>
    </xf>
    <xf numFmtId="0" fontId="0" fillId="0" borderId="0" xfId="0" applyBorder="1" applyAlignment="1">
      <alignment horizontal="left"/>
    </xf>
    <xf numFmtId="0" fontId="4" fillId="18" borderId="0" xfId="0" applyFont="1" applyFill="1"/>
    <xf numFmtId="165" fontId="13" fillId="4" borderId="19" xfId="5" applyNumberFormat="1" applyFont="1" applyFill="1" applyBorder="1" applyAlignment="1">
      <alignment horizontal="center"/>
    </xf>
    <xf numFmtId="0" fontId="13" fillId="4" borderId="45" xfId="0" applyFont="1" applyFill="1" applyBorder="1"/>
    <xf numFmtId="164" fontId="13" fillId="4" borderId="2" xfId="2" applyNumberFormat="1" applyFont="1" applyFill="1" applyBorder="1"/>
    <xf numFmtId="167" fontId="13" fillId="4" borderId="2" xfId="1" applyNumberFormat="1" applyFont="1" applyFill="1" applyBorder="1"/>
    <xf numFmtId="0" fontId="13" fillId="4" borderId="16" xfId="0" applyFont="1" applyFill="1" applyBorder="1"/>
    <xf numFmtId="164" fontId="13" fillId="4" borderId="3" xfId="2" applyNumberFormat="1" applyFont="1" applyFill="1" applyBorder="1"/>
    <xf numFmtId="0" fontId="13" fillId="4" borderId="3" xfId="0" applyFont="1" applyFill="1" applyBorder="1"/>
    <xf numFmtId="165" fontId="13" fillId="4" borderId="18" xfId="5" applyNumberFormat="1" applyFont="1" applyFill="1" applyBorder="1" applyAlignment="1">
      <alignment horizontal="center"/>
    </xf>
    <xf numFmtId="168" fontId="28" fillId="4" borderId="19" xfId="5" applyNumberFormat="1" applyFont="1" applyFill="1" applyBorder="1" applyAlignment="1">
      <alignment horizontal="center"/>
    </xf>
    <xf numFmtId="0" fontId="13" fillId="4" borderId="6" xfId="0" applyFont="1" applyFill="1" applyBorder="1"/>
    <xf numFmtId="0" fontId="5" fillId="4" borderId="16" xfId="0" applyFont="1" applyFill="1" applyBorder="1"/>
    <xf numFmtId="165" fontId="5" fillId="4" borderId="18" xfId="5" applyNumberFormat="1" applyFont="1" applyFill="1" applyBorder="1" applyAlignment="1">
      <alignment horizontal="center"/>
    </xf>
    <xf numFmtId="0" fontId="3" fillId="15" borderId="33" xfId="0" applyFont="1" applyFill="1" applyBorder="1"/>
    <xf numFmtId="164" fontId="0" fillId="5" borderId="12" xfId="0" applyNumberFormat="1" applyFill="1" applyBorder="1"/>
    <xf numFmtId="164" fontId="0" fillId="5" borderId="72" xfId="0" applyNumberFormat="1" applyFill="1" applyBorder="1"/>
    <xf numFmtId="164" fontId="0" fillId="5" borderId="73" xfId="2" applyNumberFormat="1" applyFont="1" applyFill="1" applyBorder="1"/>
    <xf numFmtId="164" fontId="0" fillId="5" borderId="69" xfId="2" applyNumberFormat="1" applyFont="1" applyFill="1" applyBorder="1"/>
    <xf numFmtId="164" fontId="0" fillId="5" borderId="41" xfId="2" applyNumberFormat="1" applyFont="1" applyFill="1" applyBorder="1"/>
    <xf numFmtId="0" fontId="3" fillId="14" borderId="6" xfId="0" applyFont="1" applyFill="1" applyBorder="1"/>
    <xf numFmtId="173" fontId="0" fillId="14" borderId="57" xfId="0" applyNumberFormat="1" applyFill="1" applyBorder="1" applyAlignment="1">
      <alignment horizontal="center"/>
    </xf>
    <xf numFmtId="164" fontId="0" fillId="0" borderId="12" xfId="2" applyNumberFormat="1" applyFont="1" applyBorder="1"/>
    <xf numFmtId="164" fontId="0" fillId="0" borderId="7" xfId="2" applyNumberFormat="1" applyFont="1" applyBorder="1"/>
    <xf numFmtId="164" fontId="0" fillId="0" borderId="13" xfId="2" applyNumberFormat="1" applyFont="1" applyBorder="1"/>
    <xf numFmtId="164" fontId="0" fillId="6" borderId="13" xfId="0" applyNumberFormat="1" applyFill="1" applyBorder="1"/>
    <xf numFmtId="173" fontId="0" fillId="14" borderId="41" xfId="0" applyNumberFormat="1" applyFill="1" applyBorder="1" applyAlignment="1">
      <alignment horizontal="center"/>
    </xf>
    <xf numFmtId="164" fontId="0" fillId="0" borderId="73" xfId="2" applyNumberFormat="1" applyFont="1" applyBorder="1"/>
    <xf numFmtId="164" fontId="0" fillId="0" borderId="74" xfId="2" applyNumberFormat="1" applyFont="1" applyBorder="1"/>
    <xf numFmtId="164" fontId="0" fillId="0" borderId="69" xfId="2" applyNumberFormat="1" applyFont="1" applyBorder="1"/>
    <xf numFmtId="0" fontId="0" fillId="0" borderId="73" xfId="0" applyBorder="1"/>
    <xf numFmtId="164" fontId="0" fillId="6" borderId="69" xfId="0" applyNumberFormat="1" applyFill="1" applyBorder="1"/>
    <xf numFmtId="164" fontId="0" fillId="0" borderId="7" xfId="0" applyNumberFormat="1" applyBorder="1"/>
    <xf numFmtId="164" fontId="0" fillId="7" borderId="13" xfId="0" applyNumberFormat="1" applyFill="1" applyBorder="1"/>
    <xf numFmtId="0" fontId="12" fillId="0" borderId="0" xfId="0" applyFont="1" applyBorder="1"/>
    <xf numFmtId="164" fontId="0" fillId="0" borderId="75" xfId="0" applyNumberFormat="1" applyBorder="1"/>
    <xf numFmtId="164" fontId="0" fillId="0" borderId="74" xfId="0" applyNumberFormat="1" applyBorder="1"/>
    <xf numFmtId="9" fontId="0" fillId="0" borderId="69" xfId="5" applyFont="1" applyBorder="1"/>
    <xf numFmtId="164" fontId="0" fillId="7" borderId="69" xfId="0" applyNumberFormat="1" applyFill="1" applyBorder="1"/>
    <xf numFmtId="0" fontId="2" fillId="0" borderId="6" xfId="0" applyFont="1" applyFill="1" applyBorder="1" applyAlignment="1">
      <alignment horizontal="right"/>
    </xf>
    <xf numFmtId="0" fontId="1" fillId="5" borderId="41" xfId="0" applyFont="1" applyFill="1" applyBorder="1" applyAlignment="1">
      <alignment horizontal="center"/>
    </xf>
    <xf numFmtId="173" fontId="0" fillId="9" borderId="1" xfId="0" applyNumberFormat="1" applyFill="1" applyBorder="1" applyAlignment="1">
      <alignment horizontal="center"/>
    </xf>
    <xf numFmtId="0" fontId="1" fillId="0" borderId="11" xfId="0" applyFont="1" applyFill="1" applyBorder="1"/>
    <xf numFmtId="0" fontId="1" fillId="0" borderId="9" xfId="0" applyFont="1" applyBorder="1"/>
    <xf numFmtId="0" fontId="0" fillId="0" borderId="9" xfId="0" applyBorder="1"/>
    <xf numFmtId="0" fontId="0" fillId="0" borderId="9" xfId="0" applyBorder="1" applyAlignment="1">
      <alignment horizontal="center"/>
    </xf>
    <xf numFmtId="0" fontId="0" fillId="0" borderId="11" xfId="0" applyFill="1" applyBorder="1" applyAlignment="1">
      <alignment horizontal="center"/>
    </xf>
    <xf numFmtId="0" fontId="1" fillId="0" borderId="20" xfId="0" applyFont="1" applyFill="1" applyBorder="1"/>
    <xf numFmtId="0" fontId="1" fillId="0" borderId="20" xfId="0" applyFont="1" applyBorder="1"/>
    <xf numFmtId="0" fontId="0" fillId="18" borderId="9" xfId="0" applyFill="1" applyBorder="1" applyAlignment="1">
      <alignment horizontal="center"/>
    </xf>
    <xf numFmtId="0" fontId="1" fillId="18" borderId="9" xfId="0" applyFont="1" applyFill="1" applyBorder="1"/>
    <xf numFmtId="0" fontId="0" fillId="18" borderId="9" xfId="0" applyFill="1" applyBorder="1"/>
    <xf numFmtId="0" fontId="3" fillId="18" borderId="0" xfId="0" applyFont="1" applyFill="1" applyBorder="1" applyAlignment="1">
      <alignment horizontal="left"/>
    </xf>
    <xf numFmtId="0" fontId="1" fillId="18" borderId="0" xfId="0" applyFont="1" applyFill="1" applyBorder="1" applyAlignment="1">
      <alignment horizontal="center"/>
    </xf>
    <xf numFmtId="0" fontId="3" fillId="15" borderId="33" xfId="0" applyFont="1" applyFill="1" applyBorder="1" applyAlignment="1">
      <alignment horizontal="right"/>
    </xf>
    <xf numFmtId="0" fontId="21" fillId="6" borderId="6" xfId="0" applyFont="1" applyFill="1" applyBorder="1"/>
    <xf numFmtId="0" fontId="1" fillId="18" borderId="10" xfId="0" applyFont="1" applyFill="1" applyBorder="1"/>
    <xf numFmtId="164" fontId="0" fillId="18" borderId="74" xfId="2" applyNumberFormat="1" applyFont="1" applyFill="1" applyBorder="1"/>
    <xf numFmtId="164" fontId="0" fillId="18" borderId="12" xfId="2" applyNumberFormat="1" applyFont="1" applyFill="1" applyBorder="1"/>
    <xf numFmtId="164" fontId="0" fillId="18" borderId="2" xfId="2" applyNumberFormat="1" applyFont="1" applyFill="1" applyBorder="1"/>
    <xf numFmtId="0" fontId="13" fillId="4" borderId="2" xfId="4" applyFont="1" applyFill="1" applyBorder="1" applyAlignment="1">
      <alignment horizontal="left" wrapText="1"/>
    </xf>
    <xf numFmtId="0" fontId="13" fillId="4" borderId="2" xfId="4" applyFont="1" applyFill="1" applyBorder="1" applyAlignment="1">
      <alignment horizontal="center" wrapText="1"/>
    </xf>
    <xf numFmtId="0" fontId="13" fillId="4" borderId="2" xfId="4" applyFont="1" applyFill="1" applyBorder="1" applyAlignment="1">
      <alignment wrapText="1"/>
    </xf>
    <xf numFmtId="167" fontId="13" fillId="4" borderId="2" xfId="1" applyNumberFormat="1" applyFont="1" applyFill="1" applyBorder="1" applyAlignment="1">
      <alignment horizontal="right"/>
    </xf>
    <xf numFmtId="1" fontId="1" fillId="0" borderId="2" xfId="4" applyNumberFormat="1" applyFont="1" applyFill="1" applyBorder="1" applyAlignment="1">
      <alignment horizontal="right"/>
    </xf>
    <xf numFmtId="0" fontId="13" fillId="4" borderId="1" xfId="4" applyFont="1" applyFill="1" applyBorder="1" applyAlignment="1">
      <alignment horizontal="center" wrapText="1"/>
    </xf>
    <xf numFmtId="0" fontId="13" fillId="4" borderId="1" xfId="4" applyFont="1" applyFill="1" applyBorder="1" applyAlignment="1">
      <alignment horizontal="left" vertical="center" wrapText="1"/>
    </xf>
    <xf numFmtId="0" fontId="13" fillId="4" borderId="1" xfId="4" applyFont="1" applyFill="1" applyBorder="1" applyAlignment="1">
      <alignment horizontal="center" vertical="center" wrapText="1"/>
    </xf>
    <xf numFmtId="0" fontId="13" fillId="4" borderId="1" xfId="4" applyFont="1" applyFill="1" applyBorder="1" applyAlignment="1">
      <alignment vertical="center" wrapText="1"/>
    </xf>
    <xf numFmtId="167" fontId="13" fillId="4" borderId="2" xfId="4" applyNumberFormat="1" applyFont="1" applyFill="1" applyBorder="1" applyAlignment="1">
      <alignment horizontal="right"/>
    </xf>
    <xf numFmtId="0" fontId="13" fillId="4" borderId="1" xfId="4" applyFont="1" applyFill="1" applyBorder="1" applyAlignment="1">
      <alignment horizontal="left" wrapText="1"/>
    </xf>
    <xf numFmtId="0" fontId="13" fillId="4" borderId="1" xfId="4" applyFont="1" applyFill="1" applyBorder="1" applyAlignment="1">
      <alignment wrapText="1"/>
    </xf>
    <xf numFmtId="2" fontId="13" fillId="4" borderId="2" xfId="4" applyNumberFormat="1" applyFont="1" applyFill="1" applyBorder="1" applyAlignment="1">
      <alignment horizontal="right"/>
    </xf>
    <xf numFmtId="1" fontId="13" fillId="4" borderId="1" xfId="4" applyNumberFormat="1" applyFont="1" applyFill="1" applyBorder="1" applyAlignment="1">
      <alignment horizontal="left" vertical="center"/>
    </xf>
    <xf numFmtId="1" fontId="13" fillId="4" borderId="1" xfId="4" applyNumberFormat="1" applyFont="1" applyFill="1" applyBorder="1" applyAlignment="1">
      <alignment horizontal="center" vertical="center"/>
    </xf>
    <xf numFmtId="0" fontId="32" fillId="19" borderId="76" xfId="0" applyFont="1" applyFill="1" applyBorder="1" applyAlignment="1">
      <alignment vertical="center" wrapText="1"/>
    </xf>
    <xf numFmtId="0" fontId="33" fillId="19" borderId="76" xfId="0" applyFont="1" applyFill="1" applyBorder="1" applyAlignment="1">
      <alignment vertical="center" wrapText="1"/>
    </xf>
    <xf numFmtId="0" fontId="31" fillId="19" borderId="77" xfId="0" applyFont="1" applyFill="1" applyBorder="1" applyAlignment="1">
      <alignment vertical="center" wrapText="1"/>
    </xf>
    <xf numFmtId="0" fontId="31" fillId="19" borderId="78" xfId="0" applyFont="1" applyFill="1" applyBorder="1" applyAlignment="1">
      <alignment vertical="center" wrapText="1"/>
    </xf>
    <xf numFmtId="0" fontId="34" fillId="19" borderId="78" xfId="0" applyFont="1" applyFill="1" applyBorder="1" applyAlignment="1">
      <alignment vertical="center" wrapText="1"/>
    </xf>
    <xf numFmtId="0" fontId="34" fillId="19" borderId="79" xfId="0" applyFont="1" applyFill="1" applyBorder="1" applyAlignment="1">
      <alignment vertical="center" wrapText="1"/>
    </xf>
    <xf numFmtId="0" fontId="36" fillId="19" borderId="76" xfId="0" applyFont="1" applyFill="1" applyBorder="1" applyAlignment="1">
      <alignment vertical="center" wrapText="1"/>
    </xf>
    <xf numFmtId="0" fontId="37" fillId="14" borderId="16" xfId="0" applyFont="1" applyFill="1" applyBorder="1" applyAlignment="1">
      <alignment horizontal="center"/>
    </xf>
    <xf numFmtId="0" fontId="37" fillId="14" borderId="3" xfId="0" applyFont="1" applyFill="1" applyBorder="1" applyAlignment="1">
      <alignment horizontal="center"/>
    </xf>
    <xf numFmtId="0" fontId="38" fillId="19" borderId="76" xfId="0" applyFont="1" applyFill="1" applyBorder="1" applyAlignment="1">
      <alignment vertical="center" wrapText="1"/>
    </xf>
    <xf numFmtId="164" fontId="5" fillId="4" borderId="14" xfId="2" applyNumberFormat="1" applyFont="1" applyFill="1" applyBorder="1"/>
    <xf numFmtId="1" fontId="13" fillId="4" borderId="2" xfId="4" applyNumberFormat="1" applyFont="1" applyFill="1" applyBorder="1" applyAlignment="1">
      <alignment horizontal="right"/>
    </xf>
    <xf numFmtId="0" fontId="37" fillId="9" borderId="16" xfId="0" applyFont="1" applyFill="1" applyBorder="1" applyAlignment="1">
      <alignment horizontal="center"/>
    </xf>
    <xf numFmtId="0" fontId="37" fillId="9" borderId="3" xfId="0" applyFont="1" applyFill="1" applyBorder="1" applyAlignment="1">
      <alignment horizontal="center"/>
    </xf>
    <xf numFmtId="44" fontId="1" fillId="9" borderId="1" xfId="2" applyNumberFormat="1" applyFont="1" applyFill="1" applyBorder="1"/>
    <xf numFmtId="44" fontId="1" fillId="9" borderId="7" xfId="2" applyNumberFormat="1" applyFont="1" applyFill="1" applyBorder="1"/>
    <xf numFmtId="0" fontId="33" fillId="19" borderId="80" xfId="0" applyFont="1" applyFill="1" applyBorder="1" applyAlignment="1">
      <alignment vertical="center" wrapText="1"/>
    </xf>
    <xf numFmtId="164" fontId="9" fillId="4" borderId="38" xfId="2" applyNumberFormat="1" applyFont="1" applyFill="1" applyBorder="1"/>
    <xf numFmtId="0" fontId="32" fillId="0" borderId="0" xfId="0" applyFont="1" applyFill="1" applyBorder="1" applyAlignment="1">
      <alignment vertical="center" wrapText="1"/>
    </xf>
    <xf numFmtId="164" fontId="9" fillId="0" borderId="0" xfId="2" applyNumberFormat="1" applyFont="1" applyFill="1" applyBorder="1"/>
    <xf numFmtId="0" fontId="0" fillId="0" borderId="0" xfId="0" applyAlignment="1">
      <alignment horizontal="center"/>
    </xf>
    <xf numFmtId="0" fontId="1" fillId="0" borderId="49" xfId="0" applyFont="1" applyBorder="1" applyAlignment="1"/>
    <xf numFmtId="0" fontId="1" fillId="0" borderId="52" xfId="0" applyFont="1" applyBorder="1" applyAlignment="1"/>
    <xf numFmtId="44" fontId="1" fillId="0" borderId="1" xfId="2" applyNumberFormat="1" applyFont="1" applyBorder="1" applyAlignment="1">
      <alignment horizontal="center"/>
    </xf>
    <xf numFmtId="0" fontId="1" fillId="0" borderId="3" xfId="0" applyFont="1" applyBorder="1" applyAlignment="1">
      <alignment horizontal="center"/>
    </xf>
    <xf numFmtId="0" fontId="0" fillId="0" borderId="2" xfId="0" applyBorder="1" applyAlignment="1">
      <alignment horizontal="center"/>
    </xf>
    <xf numFmtId="164" fontId="3" fillId="20" borderId="8" xfId="6" applyNumberFormat="1" applyFont="1" applyFill="1" applyBorder="1" applyAlignment="1">
      <alignment horizontal="left"/>
    </xf>
    <xf numFmtId="0" fontId="1" fillId="0" borderId="0" xfId="6" applyFont="1"/>
    <xf numFmtId="0" fontId="1" fillId="22" borderId="0" xfId="6" applyFont="1" applyFill="1" applyBorder="1" applyAlignment="1">
      <alignment horizontal="center"/>
    </xf>
    <xf numFmtId="0" fontId="1" fillId="21" borderId="81" xfId="6" applyFont="1" applyFill="1" applyBorder="1" applyAlignment="1">
      <alignment horizontal="center"/>
    </xf>
    <xf numFmtId="0" fontId="1" fillId="21" borderId="38" xfId="6" applyFont="1" applyFill="1" applyBorder="1" applyAlignment="1">
      <alignment horizontal="center"/>
    </xf>
    <xf numFmtId="0" fontId="1" fillId="21" borderId="67" xfId="6" applyFont="1" applyFill="1" applyBorder="1" applyAlignment="1">
      <alignment horizontal="center"/>
    </xf>
    <xf numFmtId="0" fontId="13" fillId="4" borderId="5" xfId="6" applyFont="1" applyFill="1" applyBorder="1" applyAlignment="1">
      <alignment vertical="center"/>
    </xf>
    <xf numFmtId="164" fontId="13" fillId="4" borderId="1" xfId="2" applyNumberFormat="1" applyFont="1" applyFill="1" applyBorder="1"/>
    <xf numFmtId="164" fontId="5" fillId="4" borderId="17" xfId="2" applyNumberFormat="1" applyFont="1" applyFill="1" applyBorder="1"/>
    <xf numFmtId="164" fontId="5" fillId="4" borderId="16" xfId="2" applyNumberFormat="1" applyFont="1" applyFill="1" applyBorder="1"/>
    <xf numFmtId="164" fontId="5" fillId="4" borderId="18" xfId="2" applyNumberFormat="1" applyFont="1" applyFill="1" applyBorder="1"/>
    <xf numFmtId="0" fontId="0" fillId="0" borderId="82" xfId="0" applyFill="1" applyBorder="1"/>
    <xf numFmtId="173" fontId="0" fillId="15" borderId="7" xfId="0" applyNumberFormat="1" applyFill="1" applyBorder="1" applyAlignment="1">
      <alignment horizontal="center"/>
    </xf>
    <xf numFmtId="0" fontId="0" fillId="15" borderId="83" xfId="0" applyNumberFormat="1" applyFill="1" applyBorder="1" applyAlignment="1">
      <alignment horizontal="center"/>
    </xf>
    <xf numFmtId="164" fontId="15" fillId="15" borderId="7" xfId="0" applyNumberFormat="1" applyFont="1" applyFill="1" applyBorder="1"/>
    <xf numFmtId="164" fontId="15" fillId="15" borderId="83" xfId="0" applyNumberFormat="1" applyFont="1" applyFill="1" applyBorder="1"/>
    <xf numFmtId="164" fontId="15" fillId="15" borderId="84" xfId="0" applyNumberFormat="1" applyFont="1" applyFill="1" applyBorder="1"/>
    <xf numFmtId="164" fontId="15" fillId="0" borderId="82" xfId="0" applyNumberFormat="1" applyFont="1" applyBorder="1"/>
    <xf numFmtId="6" fontId="0" fillId="5" borderId="86" xfId="0" applyNumberFormat="1" applyFill="1" applyBorder="1"/>
    <xf numFmtId="6" fontId="0" fillId="5" borderId="87" xfId="0" applyNumberFormat="1" applyFill="1" applyBorder="1"/>
    <xf numFmtId="164" fontId="0" fillId="5" borderId="88" xfId="0" applyNumberFormat="1" applyFill="1" applyBorder="1"/>
    <xf numFmtId="164" fontId="0" fillId="0" borderId="82" xfId="0" applyNumberFormat="1" applyBorder="1"/>
    <xf numFmtId="6" fontId="0" fillId="0" borderId="82" xfId="0" applyNumberFormat="1" applyBorder="1"/>
    <xf numFmtId="0" fontId="0" fillId="14" borderId="85" xfId="0" applyNumberFormat="1" applyFill="1" applyBorder="1" applyAlignment="1">
      <alignment horizontal="center"/>
    </xf>
    <xf numFmtId="6" fontId="0" fillId="0" borderId="89" xfId="0" applyNumberFormat="1" applyBorder="1"/>
    <xf numFmtId="6" fontId="0" fillId="18" borderId="83" xfId="0" applyNumberFormat="1" applyFill="1" applyBorder="1"/>
    <xf numFmtId="6" fontId="0" fillId="0" borderId="83" xfId="0" applyNumberFormat="1" applyBorder="1"/>
    <xf numFmtId="6" fontId="0" fillId="0" borderId="87" xfId="0" applyNumberFormat="1" applyBorder="1"/>
    <xf numFmtId="164" fontId="0" fillId="6" borderId="87" xfId="0" applyNumberFormat="1" applyFill="1" applyBorder="1"/>
    <xf numFmtId="0" fontId="0" fillId="0" borderId="82" xfId="0" applyBorder="1"/>
    <xf numFmtId="164" fontId="12" fillId="0" borderId="90" xfId="0" applyNumberFormat="1" applyFont="1" applyBorder="1"/>
    <xf numFmtId="164" fontId="0" fillId="0" borderId="83" xfId="0" applyNumberFormat="1" applyBorder="1"/>
    <xf numFmtId="164" fontId="0" fillId="0" borderId="83" xfId="2" applyNumberFormat="1" applyFont="1" applyBorder="1"/>
    <xf numFmtId="164" fontId="0" fillId="0" borderId="87" xfId="2" applyNumberFormat="1" applyFont="1" applyBorder="1"/>
    <xf numFmtId="0" fontId="0" fillId="0" borderId="89" xfId="0" applyBorder="1"/>
    <xf numFmtId="164" fontId="0" fillId="7" borderId="87" xfId="0" applyNumberFormat="1" applyFill="1" applyBorder="1"/>
    <xf numFmtId="0" fontId="0" fillId="12" borderId="82" xfId="0" applyFill="1" applyBorder="1"/>
    <xf numFmtId="173" fontId="0" fillId="9" borderId="7" xfId="0" applyNumberFormat="1" applyFill="1" applyBorder="1" applyAlignment="1">
      <alignment horizontal="center"/>
    </xf>
    <xf numFmtId="0" fontId="0" fillId="9" borderId="83" xfId="0" applyNumberFormat="1" applyFill="1" applyBorder="1" applyAlignment="1">
      <alignment horizontal="center"/>
    </xf>
    <xf numFmtId="164" fontId="15" fillId="0" borderId="91" xfId="0" applyNumberFormat="1" applyFont="1" applyBorder="1"/>
    <xf numFmtId="164" fontId="15" fillId="10" borderId="91" xfId="0" applyNumberFormat="1" applyFont="1" applyFill="1" applyBorder="1"/>
    <xf numFmtId="164" fontId="0" fillId="7" borderId="7" xfId="0" applyNumberFormat="1" applyFill="1" applyBorder="1"/>
    <xf numFmtId="164" fontId="0" fillId="7" borderId="83" xfId="0" applyNumberFormat="1" applyFill="1" applyBorder="1"/>
    <xf numFmtId="164" fontId="0" fillId="7" borderId="92" xfId="0" applyNumberFormat="1" applyFill="1" applyBorder="1"/>
    <xf numFmtId="164" fontId="0" fillId="7" borderId="90" xfId="0" applyNumberFormat="1" applyFill="1" applyBorder="1"/>
    <xf numFmtId="164" fontId="13" fillId="13" borderId="7" xfId="2" applyNumberFormat="1" applyFont="1" applyFill="1" applyBorder="1"/>
    <xf numFmtId="164" fontId="13" fillId="13" borderId="84" xfId="2" applyNumberFormat="1" applyFont="1" applyFill="1" applyBorder="1"/>
    <xf numFmtId="164" fontId="13" fillId="13" borderId="83" xfId="2" applyNumberFormat="1" applyFont="1" applyFill="1" applyBorder="1"/>
    <xf numFmtId="164" fontId="13" fillId="13" borderId="13" xfId="2" applyNumberFormat="1" applyFont="1" applyFill="1" applyBorder="1"/>
    <xf numFmtId="164" fontId="13" fillId="13" borderId="93" xfId="2" applyNumberFormat="1" applyFont="1" applyFill="1" applyBorder="1"/>
    <xf numFmtId="164" fontId="0" fillId="7" borderId="12" xfId="0" applyNumberFormat="1" applyFill="1" applyBorder="1"/>
    <xf numFmtId="164" fontId="0" fillId="7" borderId="89" xfId="0" applyNumberFormat="1" applyFill="1" applyBorder="1"/>
    <xf numFmtId="164" fontId="13" fillId="8" borderId="7" xfId="2" applyNumberFormat="1" applyFont="1" applyFill="1" applyBorder="1"/>
    <xf numFmtId="164" fontId="1" fillId="14" borderId="83" xfId="2" applyNumberFormat="1" applyFont="1" applyFill="1" applyBorder="1"/>
    <xf numFmtId="164" fontId="13" fillId="8" borderId="84" xfId="2" applyNumberFormat="1" applyFont="1" applyFill="1" applyBorder="1"/>
    <xf numFmtId="164" fontId="0" fillId="8" borderId="13" xfId="2" applyNumberFormat="1" applyFont="1" applyFill="1" applyBorder="1"/>
    <xf numFmtId="164" fontId="1" fillId="14" borderId="87" xfId="2" applyNumberFormat="1" applyFont="1" applyFill="1" applyBorder="1"/>
    <xf numFmtId="164" fontId="0" fillId="14" borderId="12" xfId="2" applyNumberFormat="1" applyFont="1" applyFill="1" applyBorder="1"/>
    <xf numFmtId="164" fontId="1" fillId="14" borderId="89" xfId="2" applyNumberFormat="1" applyFont="1" applyFill="1" applyBorder="1"/>
    <xf numFmtId="164" fontId="0" fillId="9" borderId="13" xfId="0" applyNumberFormat="1" applyFill="1" applyBorder="1"/>
    <xf numFmtId="164" fontId="0" fillId="9" borderId="87" xfId="0" applyNumberFormat="1" applyFill="1" applyBorder="1"/>
    <xf numFmtId="164" fontId="21" fillId="0" borderId="94" xfId="0" applyNumberFormat="1" applyFont="1" applyBorder="1"/>
    <xf numFmtId="164" fontId="21" fillId="10" borderId="94" xfId="0" applyNumberFormat="1" applyFont="1" applyFill="1" applyBorder="1"/>
    <xf numFmtId="0" fontId="1" fillId="4" borderId="1" xfId="0" applyNumberFormat="1" applyFont="1" applyFill="1" applyBorder="1" applyAlignment="1">
      <alignment horizontal="center"/>
    </xf>
    <xf numFmtId="0" fontId="1" fillId="0" borderId="51" xfId="0" applyFont="1" applyBorder="1" applyAlignment="1"/>
    <xf numFmtId="9" fontId="13" fillId="0" borderId="2" xfId="5" applyFont="1" applyFill="1" applyBorder="1" applyAlignment="1">
      <alignment horizontal="center"/>
    </xf>
    <xf numFmtId="9" fontId="13" fillId="4" borderId="2" xfId="5" applyFont="1" applyFill="1" applyBorder="1" applyAlignment="1">
      <alignment horizontal="center"/>
    </xf>
    <xf numFmtId="9" fontId="13" fillId="4" borderId="1" xfId="5" applyFont="1" applyFill="1" applyBorder="1" applyAlignment="1">
      <alignment horizontal="center"/>
    </xf>
    <xf numFmtId="9" fontId="13" fillId="0" borderId="3" xfId="5" applyFont="1" applyFill="1" applyBorder="1" applyAlignment="1">
      <alignment horizontal="center"/>
    </xf>
    <xf numFmtId="9" fontId="13" fillId="4" borderId="3" xfId="5" applyFont="1" applyFill="1" applyBorder="1" applyAlignment="1">
      <alignment horizontal="center"/>
    </xf>
    <xf numFmtId="164" fontId="0" fillId="0" borderId="0" xfId="0" applyNumberFormat="1" applyFill="1" applyBorder="1"/>
    <xf numFmtId="6" fontId="0" fillId="5" borderId="92" xfId="0" applyNumberFormat="1" applyFill="1" applyBorder="1"/>
    <xf numFmtId="6" fontId="0" fillId="5" borderId="93" xfId="0" applyNumberFormat="1" applyFill="1" applyBorder="1"/>
    <xf numFmtId="164" fontId="0" fillId="5" borderId="96" xfId="0" applyNumberFormat="1" applyFill="1" applyBorder="1"/>
    <xf numFmtId="164" fontId="0" fillId="5" borderId="95" xfId="0" applyNumberFormat="1" applyFill="1" applyBorder="1"/>
    <xf numFmtId="0" fontId="0" fillId="20" borderId="0" xfId="0" applyFill="1"/>
    <xf numFmtId="0" fontId="1" fillId="20" borderId="29" xfId="0" applyFont="1" applyFill="1" applyBorder="1"/>
    <xf numFmtId="0" fontId="0" fillId="20" borderId="0" xfId="0" applyFill="1" applyBorder="1"/>
    <xf numFmtId="164" fontId="3" fillId="20" borderId="38" xfId="0" applyNumberFormat="1" applyFont="1" applyFill="1" applyBorder="1" applyAlignment="1">
      <alignment horizontal="center"/>
    </xf>
    <xf numFmtId="165" fontId="3" fillId="20" borderId="67" xfId="5" applyNumberFormat="1" applyFont="1" applyFill="1" applyBorder="1" applyAlignment="1">
      <alignment horizontal="center"/>
    </xf>
    <xf numFmtId="0" fontId="3" fillId="20" borderId="31" xfId="0" applyFont="1" applyFill="1" applyBorder="1" applyAlignment="1">
      <alignment horizontal="left" vertical="center"/>
    </xf>
    <xf numFmtId="0" fontId="0" fillId="20" borderId="20" xfId="0" applyFill="1" applyBorder="1" applyAlignment="1">
      <alignment horizontal="left" vertical="center"/>
    </xf>
    <xf numFmtId="0" fontId="15" fillId="20" borderId="44" xfId="0" applyFont="1" applyFill="1" applyBorder="1" applyAlignment="1">
      <alignment horizontal="center"/>
    </xf>
    <xf numFmtId="0" fontId="15" fillId="20" borderId="21" xfId="0" applyFont="1" applyFill="1" applyBorder="1" applyAlignment="1">
      <alignment horizontal="center"/>
    </xf>
    <xf numFmtId="0" fontId="0" fillId="20" borderId="62" xfId="0" applyFill="1" applyBorder="1" applyAlignment="1">
      <alignment horizontal="left" vertical="center"/>
    </xf>
    <xf numFmtId="0" fontId="0" fillId="20" borderId="12" xfId="0" applyFill="1" applyBorder="1" applyAlignment="1">
      <alignment horizontal="left" vertical="center"/>
    </xf>
    <xf numFmtId="164" fontId="0" fillId="20" borderId="2" xfId="2" applyNumberFormat="1" applyFont="1" applyFill="1" applyBorder="1"/>
    <xf numFmtId="165" fontId="0" fillId="20" borderId="19" xfId="5" applyNumberFormat="1" applyFont="1" applyFill="1" applyBorder="1"/>
    <xf numFmtId="0" fontId="0" fillId="20" borderId="65" xfId="0" applyFill="1" applyBorder="1" applyAlignment="1">
      <alignment horizontal="left" vertical="center"/>
    </xf>
    <xf numFmtId="0" fontId="0" fillId="20" borderId="7" xfId="0" applyFill="1" applyBorder="1" applyAlignment="1">
      <alignment horizontal="left" vertical="center"/>
    </xf>
    <xf numFmtId="164" fontId="0" fillId="20" borderId="1" xfId="2" applyNumberFormat="1" applyFont="1" applyFill="1" applyBorder="1"/>
    <xf numFmtId="0" fontId="0" fillId="20" borderId="66" xfId="0" applyFill="1" applyBorder="1" applyAlignment="1">
      <alignment horizontal="left" vertical="center"/>
    </xf>
    <xf numFmtId="0" fontId="0" fillId="20" borderId="13" xfId="0" applyFill="1" applyBorder="1" applyAlignment="1">
      <alignment horizontal="left" vertical="center"/>
    </xf>
    <xf numFmtId="164" fontId="0" fillId="20" borderId="3" xfId="2" applyNumberFormat="1" applyFont="1" applyFill="1" applyBorder="1"/>
    <xf numFmtId="165" fontId="0" fillId="20" borderId="21" xfId="5" applyNumberFormat="1" applyFont="1" applyFill="1" applyBorder="1"/>
    <xf numFmtId="0" fontId="6" fillId="20" borderId="0" xfId="0" applyFont="1" applyFill="1" applyBorder="1"/>
    <xf numFmtId="0" fontId="6" fillId="20" borderId="0" xfId="0" applyFont="1" applyFill="1" applyBorder="1" applyAlignment="1">
      <alignment horizontal="center"/>
    </xf>
    <xf numFmtId="0" fontId="6" fillId="20" borderId="0" xfId="0" applyFont="1" applyFill="1" applyBorder="1" applyAlignment="1">
      <alignment horizontal="right"/>
    </xf>
    <xf numFmtId="165" fontId="13" fillId="20" borderId="0" xfId="5" applyNumberFormat="1" applyFont="1" applyFill="1" applyBorder="1"/>
    <xf numFmtId="164" fontId="6" fillId="20" borderId="0" xfId="0" applyNumberFormat="1" applyFont="1" applyFill="1" applyBorder="1"/>
    <xf numFmtId="0" fontId="6" fillId="20" borderId="0" xfId="0" applyFont="1" applyFill="1" applyBorder="1" applyAlignment="1"/>
    <xf numFmtId="1" fontId="7" fillId="20" borderId="2" xfId="4" applyNumberFormat="1" applyFont="1" applyFill="1" applyBorder="1" applyAlignment="1">
      <alignment horizontal="right"/>
    </xf>
    <xf numFmtId="165" fontId="1" fillId="0" borderId="0" xfId="5" applyNumberFormat="1" applyFont="1" applyFill="1" applyBorder="1"/>
    <xf numFmtId="9" fontId="1" fillId="0" borderId="0" xfId="5" applyFont="1" applyFill="1" applyBorder="1"/>
    <xf numFmtId="0" fontId="1" fillId="0" borderId="10" xfId="0" applyFont="1" applyFill="1" applyBorder="1"/>
    <xf numFmtId="165" fontId="1" fillId="0" borderId="1" xfId="5" applyNumberFormat="1" applyFont="1" applyFill="1" applyBorder="1" applyAlignment="1">
      <alignment horizontal="center"/>
    </xf>
    <xf numFmtId="164" fontId="1" fillId="0" borderId="1" xfId="5" applyNumberFormat="1" applyFont="1" applyFill="1" applyBorder="1" applyAlignment="1">
      <alignment horizontal="center"/>
    </xf>
    <xf numFmtId="0" fontId="0" fillId="0" borderId="9" xfId="0" applyFill="1" applyBorder="1"/>
    <xf numFmtId="164" fontId="0" fillId="0" borderId="7" xfId="2" applyNumberFormat="1" applyFont="1" applyFill="1" applyBorder="1"/>
    <xf numFmtId="165" fontId="0" fillId="0" borderId="9" xfId="5" applyNumberFormat="1" applyFont="1" applyFill="1" applyBorder="1"/>
    <xf numFmtId="164" fontId="0" fillId="0" borderId="7" xfId="5" applyNumberFormat="1" applyFont="1" applyFill="1" applyBorder="1"/>
    <xf numFmtId="169" fontId="5" fillId="4" borderId="24" xfId="2" applyNumberFormat="1" applyFont="1" applyFill="1" applyBorder="1"/>
    <xf numFmtId="167" fontId="0" fillId="0" borderId="13" xfId="5" applyNumberFormat="1" applyFont="1" applyFill="1" applyBorder="1"/>
    <xf numFmtId="165" fontId="0" fillId="0" borderId="11" xfId="5" applyNumberFormat="1" applyFont="1" applyFill="1" applyBorder="1"/>
    <xf numFmtId="164" fontId="0" fillId="0" borderId="12" xfId="5" applyNumberFormat="1" applyFont="1" applyFill="1" applyBorder="1"/>
    <xf numFmtId="165" fontId="41" fillId="0" borderId="1" xfId="5" applyNumberFormat="1" applyFont="1" applyFill="1" applyBorder="1"/>
    <xf numFmtId="164" fontId="5" fillId="4" borderId="1" xfId="2" applyNumberFormat="1" applyFont="1" applyFill="1" applyBorder="1"/>
    <xf numFmtId="164" fontId="41" fillId="0" borderId="1" xfId="2" applyNumberFormat="1" applyFont="1" applyFill="1" applyBorder="1"/>
    <xf numFmtId="165" fontId="5" fillId="4" borderId="1" xfId="5" applyNumberFormat="1" applyFont="1" applyFill="1" applyBorder="1" applyAlignment="1">
      <alignment horizontal="center"/>
    </xf>
    <xf numFmtId="0" fontId="42" fillId="0" borderId="1" xfId="0" applyFont="1" applyFill="1" applyBorder="1"/>
    <xf numFmtId="171" fontId="5" fillId="4" borderId="1" xfId="5" applyNumberFormat="1" applyFont="1" applyFill="1" applyBorder="1" applyAlignment="1">
      <alignment horizontal="center"/>
    </xf>
    <xf numFmtId="176" fontId="0" fillId="0" borderId="0" xfId="0" applyNumberFormat="1"/>
    <xf numFmtId="1" fontId="12" fillId="0" borderId="0" xfId="0" applyNumberFormat="1" applyFont="1"/>
    <xf numFmtId="0" fontId="5" fillId="4" borderId="2" xfId="0" applyFont="1" applyFill="1" applyBorder="1" applyAlignment="1">
      <alignment horizontal="center"/>
    </xf>
    <xf numFmtId="164" fontId="5" fillId="4" borderId="2" xfId="2" applyNumberFormat="1" applyFont="1" applyFill="1" applyBorder="1" applyAlignment="1">
      <alignment horizontal="center"/>
    </xf>
    <xf numFmtId="164" fontId="0" fillId="4" borderId="2" xfId="0" applyNumberFormat="1" applyFill="1" applyBorder="1"/>
    <xf numFmtId="9" fontId="5" fillId="4" borderId="2" xfId="5" applyFont="1" applyFill="1" applyBorder="1" applyAlignment="1">
      <alignment horizontal="center"/>
    </xf>
    <xf numFmtId="164" fontId="0" fillId="0" borderId="10" xfId="0" applyNumberFormat="1" applyBorder="1"/>
    <xf numFmtId="177" fontId="5" fillId="4" borderId="1" xfId="5" applyNumberFormat="1" applyFont="1" applyFill="1" applyBorder="1" applyAlignment="1">
      <alignment horizontal="center" shrinkToFit="1"/>
    </xf>
    <xf numFmtId="164" fontId="5" fillId="4" borderId="1" xfId="2" applyNumberFormat="1" applyFont="1" applyFill="1" applyBorder="1" applyAlignment="1">
      <alignment horizontal="center"/>
    </xf>
    <xf numFmtId="164" fontId="0" fillId="4" borderId="1" xfId="0" applyNumberFormat="1" applyFill="1" applyBorder="1"/>
    <xf numFmtId="164" fontId="0" fillId="0" borderId="5" xfId="0" applyNumberFormat="1" applyBorder="1"/>
    <xf numFmtId="0" fontId="5" fillId="4" borderId="1" xfId="0" applyFont="1" applyFill="1" applyBorder="1" applyAlignment="1">
      <alignment horizontal="center"/>
    </xf>
    <xf numFmtId="164" fontId="1" fillId="4" borderId="1" xfId="0" applyNumberFormat="1" applyFont="1" applyFill="1" applyBorder="1"/>
    <xf numFmtId="0" fontId="0" fillId="0" borderId="3" xfId="0" applyFont="1" applyFill="1" applyBorder="1" applyAlignment="1">
      <alignment horizontal="center" shrinkToFit="1"/>
    </xf>
    <xf numFmtId="0" fontId="0" fillId="0" borderId="6" xfId="0" applyFont="1" applyFill="1" applyBorder="1" applyAlignment="1">
      <alignment horizontal="center" shrinkToFit="1"/>
    </xf>
    <xf numFmtId="166" fontId="5" fillId="4" borderId="10" xfId="0" applyNumberFormat="1" applyFont="1" applyFill="1" applyBorder="1" applyAlignment="1">
      <alignment horizontal="center"/>
    </xf>
    <xf numFmtId="166" fontId="5" fillId="4" borderId="5" xfId="0" applyNumberFormat="1" applyFont="1" applyFill="1" applyBorder="1" applyAlignment="1">
      <alignment horizontal="center"/>
    </xf>
    <xf numFmtId="0" fontId="1" fillId="20" borderId="4" xfId="0" applyFont="1" applyFill="1" applyBorder="1" applyAlignment="1">
      <alignment horizontal="right"/>
    </xf>
    <xf numFmtId="164" fontId="1" fillId="20" borderId="72" xfId="0" applyNumberFormat="1" applyFont="1" applyFill="1" applyBorder="1"/>
    <xf numFmtId="164" fontId="1" fillId="20" borderId="23" xfId="0" applyNumberFormat="1" applyFont="1" applyFill="1" applyBorder="1"/>
    <xf numFmtId="0" fontId="13" fillId="4" borderId="0" xfId="4" applyFont="1" applyFill="1" applyBorder="1" applyAlignment="1">
      <alignment horizontal="center" vertical="center" wrapText="1"/>
    </xf>
    <xf numFmtId="0" fontId="13" fillId="4" borderId="1" xfId="4" quotePrefix="1" applyFont="1" applyFill="1" applyBorder="1" applyAlignment="1">
      <alignment vertical="center" wrapText="1"/>
    </xf>
    <xf numFmtId="0" fontId="1" fillId="0" borderId="0" xfId="0" applyFont="1" applyFill="1" applyBorder="1" applyAlignment="1" applyProtection="1">
      <alignment horizontal="right"/>
    </xf>
    <xf numFmtId="0" fontId="1" fillId="0" borderId="33" xfId="0" applyFont="1" applyFill="1" applyBorder="1"/>
    <xf numFmtId="7" fontId="1" fillId="0" borderId="0" xfId="0" applyNumberFormat="1" applyFont="1" applyFill="1" applyBorder="1" applyProtection="1"/>
    <xf numFmtId="5" fontId="1" fillId="0" borderId="0" xfId="0" applyNumberFormat="1" applyFont="1" applyFill="1"/>
    <xf numFmtId="164" fontId="15" fillId="0" borderId="1" xfId="0" applyNumberFormat="1" applyFont="1" applyFill="1" applyBorder="1"/>
    <xf numFmtId="164" fontId="15" fillId="0" borderId="83" xfId="0" applyNumberFormat="1" applyFont="1" applyFill="1" applyBorder="1"/>
    <xf numFmtId="164" fontId="15" fillId="0" borderId="84" xfId="0" applyNumberFormat="1" applyFont="1" applyFill="1" applyBorder="1"/>
    <xf numFmtId="164" fontId="21" fillId="0" borderId="61" xfId="0" applyNumberFormat="1" applyFont="1" applyBorder="1"/>
    <xf numFmtId="164" fontId="15" fillId="0" borderId="7" xfId="0" applyNumberFormat="1" applyFont="1" applyFill="1" applyBorder="1"/>
    <xf numFmtId="5" fontId="1" fillId="0" borderId="0" xfId="0" applyNumberFormat="1" applyFont="1"/>
    <xf numFmtId="0" fontId="3" fillId="0" borderId="10" xfId="0" applyFont="1" applyFill="1" applyBorder="1"/>
    <xf numFmtId="0" fontId="43" fillId="0" borderId="6" xfId="0" applyFont="1" applyFill="1" applyBorder="1" applyAlignment="1">
      <alignment horizontal="right"/>
    </xf>
    <xf numFmtId="0" fontId="3" fillId="14" borderId="5" xfId="0" applyFont="1" applyFill="1" applyBorder="1" applyAlignment="1">
      <alignment horizontal="left"/>
    </xf>
    <xf numFmtId="0" fontId="3" fillId="7" borderId="39" xfId="0" applyFont="1" applyFill="1" applyBorder="1"/>
    <xf numFmtId="0" fontId="3" fillId="21" borderId="33" xfId="0" applyFont="1" applyFill="1" applyBorder="1"/>
    <xf numFmtId="0" fontId="1" fillId="23" borderId="4" xfId="0" applyFont="1" applyFill="1" applyBorder="1"/>
    <xf numFmtId="0" fontId="1" fillId="23" borderId="23" xfId="0" applyFont="1" applyFill="1" applyBorder="1"/>
    <xf numFmtId="0" fontId="1" fillId="23" borderId="23" xfId="0" applyFont="1" applyFill="1" applyBorder="1" applyAlignment="1">
      <alignment horizontal="right"/>
    </xf>
    <xf numFmtId="0" fontId="1" fillId="23" borderId="8" xfId="0" applyFont="1" applyFill="1" applyBorder="1"/>
    <xf numFmtId="0" fontId="1" fillId="0" borderId="33" xfId="0" applyFont="1" applyFill="1" applyBorder="1" applyAlignment="1">
      <alignment horizontal="left"/>
    </xf>
    <xf numFmtId="0" fontId="1" fillId="0" borderId="33" xfId="0" applyFont="1" applyFill="1" applyBorder="1" applyAlignment="1" applyProtection="1">
      <alignment horizontal="left"/>
    </xf>
    <xf numFmtId="0" fontId="1" fillId="0" borderId="97" xfId="0" applyFont="1" applyFill="1" applyBorder="1" applyAlignment="1">
      <alignment horizontal="left"/>
    </xf>
    <xf numFmtId="0" fontId="1" fillId="0" borderId="56" xfId="0" applyFont="1" applyFill="1" applyBorder="1" applyAlignment="1">
      <alignment horizontal="left"/>
    </xf>
    <xf numFmtId="0" fontId="44" fillId="24" borderId="0" xfId="0" applyFont="1" applyFill="1" applyAlignment="1">
      <alignment horizontal="center" vertical="center"/>
    </xf>
    <xf numFmtId="0" fontId="1" fillId="24" borderId="0" xfId="6" applyFont="1" applyFill="1" applyBorder="1" applyAlignment="1"/>
    <xf numFmtId="0" fontId="1" fillId="24" borderId="0" xfId="6" applyFill="1" applyBorder="1" applyAlignment="1"/>
    <xf numFmtId="0" fontId="3" fillId="21" borderId="98" xfId="0" applyFont="1" applyFill="1" applyBorder="1"/>
    <xf numFmtId="173" fontId="0" fillId="21" borderId="26" xfId="0" applyNumberFormat="1" applyFill="1" applyBorder="1" applyAlignment="1">
      <alignment horizontal="center"/>
    </xf>
    <xf numFmtId="173" fontId="1" fillId="0" borderId="10" xfId="0" applyNumberFormat="1" applyFont="1" applyFill="1" applyBorder="1" applyAlignment="1">
      <alignment horizontal="right"/>
    </xf>
    <xf numFmtId="6" fontId="1" fillId="0" borderId="33" xfId="0" applyNumberFormat="1" applyFont="1" applyFill="1" applyBorder="1" applyAlignment="1">
      <alignment horizontal="right"/>
    </xf>
    <xf numFmtId="6" fontId="1" fillId="0" borderId="33" xfId="0" applyNumberFormat="1" applyFont="1" applyFill="1" applyBorder="1" applyAlignment="1" applyProtection="1">
      <alignment horizontal="right"/>
    </xf>
    <xf numFmtId="6" fontId="1" fillId="0" borderId="6" xfId="0" applyNumberFormat="1" applyFont="1" applyFill="1" applyBorder="1" applyAlignment="1" applyProtection="1">
      <alignment horizontal="right"/>
    </xf>
    <xf numFmtId="6" fontId="1" fillId="21" borderId="56" xfId="0" applyNumberFormat="1" applyFont="1" applyFill="1" applyBorder="1" applyAlignment="1">
      <alignment horizontal="right"/>
    </xf>
    <xf numFmtId="173" fontId="0" fillId="21" borderId="72" xfId="0" applyNumberFormat="1" applyFill="1" applyBorder="1" applyAlignment="1">
      <alignment horizontal="center"/>
    </xf>
    <xf numFmtId="173" fontId="1" fillId="0" borderId="2" xfId="0" applyNumberFormat="1" applyFont="1" applyFill="1" applyBorder="1" applyAlignment="1">
      <alignment horizontal="right"/>
    </xf>
    <xf numFmtId="6" fontId="1" fillId="0" borderId="43" xfId="0" applyNumberFormat="1" applyFont="1" applyFill="1" applyBorder="1" applyAlignment="1">
      <alignment horizontal="right"/>
    </xf>
    <xf numFmtId="6" fontId="1" fillId="0" borderId="43" xfId="0" applyNumberFormat="1" applyFont="1" applyFill="1" applyBorder="1" applyAlignment="1" applyProtection="1">
      <alignment horizontal="right"/>
    </xf>
    <xf numFmtId="6" fontId="1" fillId="0" borderId="3" xfId="0" applyNumberFormat="1" applyFont="1" applyFill="1" applyBorder="1" applyAlignment="1" applyProtection="1">
      <alignment horizontal="right"/>
    </xf>
    <xf numFmtId="6" fontId="1" fillId="21" borderId="44" xfId="0" applyNumberFormat="1" applyFont="1" applyFill="1" applyBorder="1" applyAlignment="1">
      <alignment horizontal="right"/>
    </xf>
    <xf numFmtId="6" fontId="1" fillId="0" borderId="99" xfId="0" applyNumberFormat="1" applyFont="1" applyFill="1" applyBorder="1" applyAlignment="1" applyProtection="1">
      <alignment horizontal="right"/>
    </xf>
    <xf numFmtId="6" fontId="1" fillId="0" borderId="87" xfId="0" applyNumberFormat="1" applyFont="1" applyFill="1" applyBorder="1" applyAlignment="1" applyProtection="1">
      <alignment horizontal="right"/>
    </xf>
    <xf numFmtId="173" fontId="0" fillId="21" borderId="98" xfId="0" applyNumberFormat="1" applyFill="1" applyBorder="1" applyAlignment="1">
      <alignment horizontal="center"/>
    </xf>
    <xf numFmtId="0" fontId="0" fillId="21" borderId="95" xfId="0" applyFill="1" applyBorder="1" applyAlignment="1">
      <alignment horizontal="center"/>
    </xf>
    <xf numFmtId="173" fontId="1" fillId="0" borderId="100" xfId="0" applyNumberFormat="1" applyFont="1" applyFill="1" applyBorder="1" applyAlignment="1">
      <alignment horizontal="right"/>
    </xf>
    <xf numFmtId="6" fontId="1" fillId="0" borderId="101" xfId="0" applyNumberFormat="1" applyFont="1" applyFill="1" applyBorder="1" applyAlignment="1">
      <alignment horizontal="right"/>
    </xf>
    <xf numFmtId="6" fontId="1" fillId="0" borderId="101" xfId="0" applyNumberFormat="1" applyFont="1" applyFill="1" applyBorder="1" applyAlignment="1" applyProtection="1">
      <alignment horizontal="right"/>
    </xf>
    <xf numFmtId="6" fontId="1" fillId="0" borderId="93" xfId="0" applyNumberFormat="1" applyFont="1" applyFill="1" applyBorder="1" applyAlignment="1" applyProtection="1">
      <alignment horizontal="right"/>
    </xf>
    <xf numFmtId="6" fontId="1" fillId="21" borderId="102" xfId="0" applyNumberFormat="1" applyFont="1" applyFill="1" applyBorder="1" applyAlignment="1">
      <alignment horizontal="right"/>
    </xf>
    <xf numFmtId="173" fontId="1" fillId="0" borderId="12" xfId="0" applyNumberFormat="1" applyFont="1" applyFill="1" applyBorder="1" applyAlignment="1">
      <alignment horizontal="right"/>
    </xf>
    <xf numFmtId="6" fontId="1" fillId="0" borderId="103" xfId="0" applyNumberFormat="1" applyFont="1" applyFill="1" applyBorder="1" applyAlignment="1">
      <alignment horizontal="right"/>
    </xf>
    <xf numFmtId="6" fontId="1" fillId="0" borderId="103" xfId="0" applyNumberFormat="1" applyFont="1" applyFill="1" applyBorder="1" applyAlignment="1" applyProtection="1">
      <alignment horizontal="right"/>
    </xf>
    <xf numFmtId="6" fontId="1" fillId="0" borderId="13" xfId="0" applyNumberFormat="1" applyFont="1" applyFill="1" applyBorder="1" applyAlignment="1" applyProtection="1">
      <alignment horizontal="right"/>
    </xf>
    <xf numFmtId="6" fontId="1" fillId="21" borderId="57" xfId="0" applyNumberFormat="1" applyFont="1" applyFill="1" applyBorder="1" applyAlignment="1">
      <alignment horizontal="right"/>
    </xf>
    <xf numFmtId="0" fontId="1" fillId="21" borderId="88" xfId="0" applyFont="1" applyFill="1" applyBorder="1" applyAlignment="1" applyProtection="1">
      <alignment horizontal="left"/>
    </xf>
    <xf numFmtId="0" fontId="1" fillId="0" borderId="89" xfId="0" applyFont="1" applyFill="1" applyBorder="1" applyAlignment="1" applyProtection="1">
      <alignment horizontal="right"/>
    </xf>
    <xf numFmtId="6" fontId="1" fillId="21" borderId="85" xfId="0" applyNumberFormat="1" applyFont="1" applyFill="1" applyBorder="1" applyAlignment="1" applyProtection="1">
      <alignment horizontal="right"/>
    </xf>
    <xf numFmtId="0" fontId="1" fillId="14" borderId="88" xfId="0" applyFont="1" applyFill="1" applyBorder="1" applyAlignment="1" applyProtection="1">
      <alignment horizontal="right"/>
    </xf>
    <xf numFmtId="6" fontId="1" fillId="0" borderId="94" xfId="0" applyNumberFormat="1" applyFont="1" applyFill="1" applyBorder="1" applyAlignment="1">
      <alignment horizontal="right"/>
    </xf>
    <xf numFmtId="0" fontId="1" fillId="0" borderId="99" xfId="0" applyFont="1" applyFill="1" applyBorder="1"/>
    <xf numFmtId="6" fontId="1" fillId="0" borderId="85" xfId="0" applyNumberFormat="1" applyFont="1" applyFill="1" applyBorder="1" applyAlignment="1" applyProtection="1">
      <alignment horizontal="right"/>
    </xf>
    <xf numFmtId="6" fontId="1" fillId="14" borderId="83" xfId="0" applyNumberFormat="1" applyFont="1" applyFill="1" applyBorder="1" applyAlignment="1" applyProtection="1">
      <alignment horizontal="right"/>
    </xf>
    <xf numFmtId="6" fontId="1" fillId="7" borderId="86" xfId="0" applyNumberFormat="1" applyFont="1" applyFill="1" applyBorder="1" applyAlignment="1" applyProtection="1">
      <alignment horizontal="right"/>
    </xf>
    <xf numFmtId="173" fontId="1" fillId="14" borderId="105" xfId="0" applyNumberFormat="1" applyFont="1" applyFill="1" applyBorder="1" applyAlignment="1">
      <alignment horizontal="center"/>
    </xf>
    <xf numFmtId="173" fontId="1" fillId="0" borderId="106" xfId="0" applyNumberFormat="1" applyFont="1" applyFill="1" applyBorder="1" applyAlignment="1">
      <alignment horizontal="right"/>
    </xf>
    <xf numFmtId="6" fontId="1" fillId="0" borderId="107" xfId="0" applyNumberFormat="1" applyFont="1" applyFill="1" applyBorder="1" applyAlignment="1" applyProtection="1">
      <alignment horizontal="right"/>
    </xf>
    <xf numFmtId="6" fontId="1" fillId="0" borderId="107" xfId="0" applyNumberFormat="1" applyFont="1" applyFill="1" applyBorder="1" applyAlignment="1">
      <alignment horizontal="right"/>
    </xf>
    <xf numFmtId="6" fontId="1" fillId="0" borderId="108" xfId="0" applyNumberFormat="1" applyFont="1" applyFill="1" applyBorder="1" applyAlignment="1">
      <alignment horizontal="right"/>
    </xf>
    <xf numFmtId="0" fontId="1" fillId="0" borderId="107" xfId="0" applyFont="1" applyFill="1" applyBorder="1" applyAlignment="1">
      <alignment horizontal="right"/>
    </xf>
    <xf numFmtId="6" fontId="1" fillId="0" borderId="109" xfId="0" applyNumberFormat="1" applyFont="1" applyFill="1" applyBorder="1" applyAlignment="1">
      <alignment horizontal="right"/>
    </xf>
    <xf numFmtId="6" fontId="1" fillId="0" borderId="110" xfId="0" applyNumberFormat="1" applyFont="1" applyFill="1" applyBorder="1" applyAlignment="1" applyProtection="1">
      <alignment horizontal="right"/>
    </xf>
    <xf numFmtId="6" fontId="1" fillId="14" borderId="111" xfId="0" applyNumberFormat="1" applyFont="1" applyFill="1" applyBorder="1" applyAlignment="1">
      <alignment horizontal="right"/>
    </xf>
    <xf numFmtId="6" fontId="1" fillId="7" borderId="104" xfId="0" applyNumberFormat="1" applyFont="1" applyFill="1" applyBorder="1" applyAlignment="1">
      <alignment horizontal="right"/>
    </xf>
    <xf numFmtId="173" fontId="1" fillId="14" borderId="26" xfId="0" applyNumberFormat="1" applyFont="1" applyFill="1" applyBorder="1" applyAlignment="1">
      <alignment horizontal="center"/>
    </xf>
    <xf numFmtId="6" fontId="1" fillId="0" borderId="55" xfId="0" applyNumberFormat="1" applyFont="1" applyFill="1" applyBorder="1" applyAlignment="1">
      <alignment horizontal="right"/>
    </xf>
    <xf numFmtId="0" fontId="1" fillId="0" borderId="43" xfId="0" applyFont="1" applyBorder="1"/>
    <xf numFmtId="6" fontId="1" fillId="0" borderId="44" xfId="0" applyNumberFormat="1" applyFont="1" applyFill="1" applyBorder="1" applyAlignment="1">
      <alignment horizontal="right"/>
    </xf>
    <xf numFmtId="6" fontId="1" fillId="14" borderId="1" xfId="0" applyNumberFormat="1" applyFont="1" applyFill="1" applyBorder="1" applyAlignment="1">
      <alignment horizontal="right"/>
    </xf>
    <xf numFmtId="6" fontId="1" fillId="7" borderId="112" xfId="0" applyNumberFormat="1" applyFont="1" applyFill="1" applyBorder="1" applyAlignment="1">
      <alignment horizontal="right"/>
    </xf>
    <xf numFmtId="173" fontId="1" fillId="14" borderId="98" xfId="0" applyNumberFormat="1" applyFont="1" applyFill="1" applyBorder="1" applyAlignment="1">
      <alignment horizontal="center"/>
    </xf>
    <xf numFmtId="6" fontId="1" fillId="0" borderId="97" xfId="0" applyNumberFormat="1" applyFont="1" applyFill="1" applyBorder="1" applyAlignment="1">
      <alignment horizontal="right"/>
    </xf>
    <xf numFmtId="6" fontId="1" fillId="0" borderId="56" xfId="0" applyNumberFormat="1" applyFont="1" applyFill="1" applyBorder="1" applyAlignment="1">
      <alignment horizontal="right"/>
    </xf>
    <xf numFmtId="6" fontId="1" fillId="14" borderId="5" xfId="0" applyNumberFormat="1" applyFont="1" applyFill="1" applyBorder="1" applyAlignment="1">
      <alignment horizontal="right"/>
    </xf>
    <xf numFmtId="6" fontId="1" fillId="7" borderId="39" xfId="0" applyNumberFormat="1" applyFont="1" applyFill="1" applyBorder="1" applyAlignment="1">
      <alignment horizontal="right"/>
    </xf>
    <xf numFmtId="6" fontId="1" fillId="0" borderId="113" xfId="0" applyNumberFormat="1" applyFont="1" applyFill="1" applyBorder="1" applyAlignment="1">
      <alignment horizontal="right"/>
    </xf>
    <xf numFmtId="0" fontId="1" fillId="0" borderId="101" xfId="0" applyFont="1" applyBorder="1"/>
    <xf numFmtId="6" fontId="1" fillId="0" borderId="102" xfId="0" applyNumberFormat="1" applyFont="1" applyFill="1" applyBorder="1" applyAlignment="1">
      <alignment horizontal="right"/>
    </xf>
    <xf numFmtId="6" fontId="1" fillId="14" borderId="84" xfId="0" applyNumberFormat="1" applyFont="1" applyFill="1" applyBorder="1" applyAlignment="1">
      <alignment horizontal="right"/>
    </xf>
    <xf numFmtId="6" fontId="1" fillId="7" borderId="92" xfId="0" applyNumberFormat="1" applyFont="1" applyFill="1" applyBorder="1" applyAlignment="1">
      <alignment horizontal="right"/>
    </xf>
    <xf numFmtId="173" fontId="0" fillId="5" borderId="16" xfId="0" applyNumberFormat="1" applyFill="1" applyBorder="1" applyAlignment="1">
      <alignment horizontal="center"/>
    </xf>
    <xf numFmtId="173" fontId="0" fillId="5" borderId="3" xfId="0" applyNumberFormat="1" applyFill="1" applyBorder="1" applyAlignment="1">
      <alignment horizontal="center"/>
    </xf>
    <xf numFmtId="173" fontId="0" fillId="5" borderId="13" xfId="0" applyNumberFormat="1" applyFill="1" applyBorder="1" applyAlignment="1">
      <alignment horizontal="center"/>
    </xf>
    <xf numFmtId="0" fontId="0" fillId="5" borderId="87" xfId="0" applyNumberFormat="1" applyFill="1" applyBorder="1" applyAlignment="1">
      <alignment horizontal="center"/>
    </xf>
    <xf numFmtId="0" fontId="3" fillId="14" borderId="98" xfId="0" applyFont="1" applyFill="1" applyBorder="1"/>
    <xf numFmtId="0" fontId="0" fillId="14" borderId="95" xfId="0" applyFill="1" applyBorder="1" applyAlignment="1">
      <alignment horizontal="center"/>
    </xf>
    <xf numFmtId="0" fontId="0" fillId="0" borderId="11" xfId="0" applyFill="1" applyBorder="1"/>
    <xf numFmtId="0" fontId="1" fillId="0" borderId="3" xfId="0" applyFont="1" applyBorder="1"/>
    <xf numFmtId="1" fontId="1" fillId="0" borderId="1" xfId="0" applyNumberFormat="1" applyFont="1" applyBorder="1" applyAlignment="1">
      <alignment horizontal="center"/>
    </xf>
    <xf numFmtId="9" fontId="13" fillId="0" borderId="0" xfId="5" applyFont="1" applyFill="1" applyBorder="1" applyAlignment="1">
      <alignment horizontal="center"/>
    </xf>
    <xf numFmtId="9" fontId="13" fillId="4" borderId="0" xfId="5" applyFont="1" applyFill="1" applyBorder="1" applyAlignment="1">
      <alignment horizontal="center"/>
    </xf>
    <xf numFmtId="0" fontId="0" fillId="0" borderId="0" xfId="0" applyBorder="1" applyAlignment="1">
      <alignment horizontal="center"/>
    </xf>
    <xf numFmtId="164" fontId="0" fillId="0" borderId="0" xfId="2" applyNumberFormat="1" applyFont="1" applyFill="1" applyBorder="1"/>
    <xf numFmtId="0" fontId="3" fillId="0" borderId="0" xfId="0" applyFont="1" applyBorder="1" applyAlignment="1">
      <alignment horizontal="center"/>
    </xf>
    <xf numFmtId="44" fontId="1" fillId="0" borderId="0" xfId="2" applyFont="1" applyBorder="1"/>
    <xf numFmtId="44" fontId="1" fillId="0" borderId="8" xfId="0" applyNumberFormat="1" applyFont="1" applyBorder="1"/>
    <xf numFmtId="164" fontId="1" fillId="0" borderId="0" xfId="2" applyNumberFormat="1" applyFont="1" applyBorder="1"/>
    <xf numFmtId="164" fontId="1" fillId="0" borderId="0" xfId="0" applyNumberFormat="1" applyFont="1" applyBorder="1"/>
    <xf numFmtId="1" fontId="1" fillId="20" borderId="2" xfId="4" applyNumberFormat="1" applyFont="1" applyFill="1" applyBorder="1" applyAlignment="1">
      <alignment horizontal="right"/>
    </xf>
    <xf numFmtId="0" fontId="0" fillId="9" borderId="25" xfId="0" applyFill="1" applyBorder="1"/>
    <xf numFmtId="0" fontId="15" fillId="9" borderId="46" xfId="0" applyFont="1" applyFill="1" applyBorder="1" applyAlignment="1">
      <alignment horizontal="center"/>
    </xf>
    <xf numFmtId="0" fontId="2" fillId="9" borderId="26" xfId="0" applyFont="1" applyFill="1" applyBorder="1" applyAlignment="1">
      <alignment horizontal="center"/>
    </xf>
    <xf numFmtId="0" fontId="2" fillId="9" borderId="47" xfId="0" applyFont="1" applyFill="1" applyBorder="1" applyAlignment="1">
      <alignment horizontal="center"/>
    </xf>
    <xf numFmtId="166" fontId="19" fillId="9" borderId="62" xfId="0" applyNumberFormat="1" applyFont="1" applyFill="1" applyBorder="1" applyAlignment="1">
      <alignment horizontal="left"/>
    </xf>
    <xf numFmtId="164" fontId="19" fillId="9" borderId="45" xfId="2" applyNumberFormat="1" applyFont="1" applyFill="1" applyBorder="1" applyAlignment="1">
      <alignment horizontal="center"/>
    </xf>
    <xf numFmtId="164" fontId="19" fillId="9" borderId="1" xfId="2" applyNumberFormat="1" applyFont="1" applyFill="1" applyBorder="1" applyAlignment="1">
      <alignment horizontal="center"/>
    </xf>
    <xf numFmtId="164" fontId="19" fillId="9" borderId="17" xfId="2" applyNumberFormat="1" applyFont="1" applyFill="1" applyBorder="1" applyAlignment="1">
      <alignment horizontal="center"/>
    </xf>
    <xf numFmtId="166" fontId="19" fillId="9" borderId="65" xfId="0" applyNumberFormat="1" applyFont="1" applyFill="1" applyBorder="1" applyAlignment="1">
      <alignment horizontal="right"/>
    </xf>
    <xf numFmtId="164" fontId="19" fillId="9" borderId="14" xfId="2" applyNumberFormat="1" applyFont="1" applyFill="1" applyBorder="1" applyAlignment="1">
      <alignment horizontal="center"/>
    </xf>
    <xf numFmtId="166" fontId="19" fillId="9" borderId="66" xfId="0" applyNumberFormat="1" applyFont="1" applyFill="1" applyBorder="1" applyAlignment="1">
      <alignment horizontal="right"/>
    </xf>
    <xf numFmtId="164" fontId="19" fillId="9" borderId="16" xfId="2" applyNumberFormat="1" applyFont="1" applyFill="1" applyBorder="1" applyAlignment="1">
      <alignment horizontal="center"/>
    </xf>
    <xf numFmtId="164" fontId="19" fillId="9" borderId="3" xfId="2" applyNumberFormat="1" applyFont="1" applyFill="1" applyBorder="1" applyAlignment="1">
      <alignment horizontal="center"/>
    </xf>
    <xf numFmtId="164" fontId="19" fillId="9" borderId="18" xfId="2" applyNumberFormat="1" applyFont="1" applyFill="1" applyBorder="1" applyAlignment="1">
      <alignment horizontal="center"/>
    </xf>
    <xf numFmtId="166" fontId="19" fillId="7" borderId="29" xfId="0" applyNumberFormat="1" applyFont="1" applyFill="1" applyBorder="1" applyAlignment="1">
      <alignment horizontal="left"/>
    </xf>
    <xf numFmtId="164" fontId="19" fillId="7" borderId="48" xfId="2" applyNumberFormat="1" applyFont="1" applyFill="1" applyBorder="1" applyAlignment="1">
      <alignment horizontal="center"/>
    </xf>
    <xf numFmtId="164" fontId="19" fillId="7" borderId="43" xfId="2" applyNumberFormat="1" applyFont="1" applyFill="1" applyBorder="1" applyAlignment="1">
      <alignment horizontal="center"/>
    </xf>
    <xf numFmtId="164" fontId="19" fillId="7" borderId="15" xfId="2" applyNumberFormat="1" applyFont="1" applyFill="1" applyBorder="1" applyAlignment="1">
      <alignment horizontal="center"/>
    </xf>
    <xf numFmtId="1" fontId="19" fillId="25" borderId="4" xfId="0" applyNumberFormat="1" applyFont="1" applyFill="1" applyBorder="1" applyAlignment="1">
      <alignment horizontal="left"/>
    </xf>
    <xf numFmtId="164" fontId="19" fillId="25" borderId="46" xfId="2" applyNumberFormat="1" applyFont="1" applyFill="1" applyBorder="1" applyAlignment="1">
      <alignment horizontal="center"/>
    </xf>
    <xf numFmtId="164" fontId="19" fillId="25" borderId="26" xfId="2" applyNumberFormat="1" applyFont="1" applyFill="1" applyBorder="1" applyAlignment="1">
      <alignment horizontal="center"/>
    </xf>
    <xf numFmtId="164" fontId="19" fillId="25" borderId="47" xfId="2" applyNumberFormat="1" applyFont="1" applyFill="1" applyBorder="1" applyAlignment="1">
      <alignment horizontal="center"/>
    </xf>
    <xf numFmtId="178" fontId="1" fillId="0" borderId="1" xfId="0" applyNumberFormat="1" applyFont="1" applyFill="1" applyBorder="1" applyAlignment="1">
      <alignment horizontal="left"/>
    </xf>
    <xf numFmtId="165" fontId="0" fillId="0" borderId="1" xfId="5" applyNumberFormat="1" applyFont="1" applyFill="1" applyBorder="1"/>
    <xf numFmtId="165" fontId="1" fillId="0" borderId="0" xfId="5" applyNumberFormat="1" applyFont="1" applyFill="1" applyBorder="1" applyAlignment="1">
      <alignment horizontal="right"/>
    </xf>
    <xf numFmtId="164" fontId="1" fillId="0" borderId="0" xfId="5" applyNumberFormat="1" applyFont="1" applyFill="1" applyBorder="1"/>
    <xf numFmtId="0" fontId="42" fillId="0" borderId="38" xfId="0" applyFont="1" applyFill="1" applyBorder="1"/>
    <xf numFmtId="165" fontId="41" fillId="0" borderId="38" xfId="5" applyNumberFormat="1" applyFont="1" applyFill="1" applyBorder="1"/>
    <xf numFmtId="164" fontId="5" fillId="4" borderId="38" xfId="2" applyNumberFormat="1" applyFont="1" applyFill="1" applyBorder="1"/>
    <xf numFmtId="165" fontId="1" fillId="0" borderId="2" xfId="5" applyNumberFormat="1" applyFont="1" applyFill="1" applyBorder="1" applyAlignment="1">
      <alignment horizontal="right"/>
    </xf>
    <xf numFmtId="164" fontId="1" fillId="0" borderId="2" xfId="2" applyNumberFormat="1" applyFont="1" applyFill="1" applyBorder="1"/>
    <xf numFmtId="164" fontId="1" fillId="0" borderId="122" xfId="2" applyNumberFormat="1" applyFont="1" applyFill="1" applyBorder="1"/>
    <xf numFmtId="164" fontId="1" fillId="0" borderId="18" xfId="2" applyNumberFormat="1" applyFont="1" applyFill="1" applyBorder="1"/>
    <xf numFmtId="0" fontId="1" fillId="0" borderId="2" xfId="0" applyFont="1" applyFill="1" applyBorder="1"/>
    <xf numFmtId="0" fontId="1" fillId="0" borderId="46" xfId="0" applyFont="1" applyFill="1" applyBorder="1" applyAlignment="1">
      <alignment horizontal="left"/>
    </xf>
    <xf numFmtId="165" fontId="1" fillId="0" borderId="26" xfId="5" applyNumberFormat="1" applyFont="1" applyFill="1" applyBorder="1" applyAlignment="1">
      <alignment horizontal="right"/>
    </xf>
    <xf numFmtId="164" fontId="1" fillId="0" borderId="47" xfId="2" applyNumberFormat="1" applyFont="1" applyFill="1" applyBorder="1"/>
    <xf numFmtId="0" fontId="1" fillId="0" borderId="1" xfId="0" applyFont="1" applyFill="1" applyBorder="1" applyAlignment="1">
      <alignment horizontal="center"/>
    </xf>
    <xf numFmtId="0" fontId="15" fillId="0" borderId="123" xfId="0" applyFont="1" applyFill="1" applyBorder="1"/>
    <xf numFmtId="165" fontId="0" fillId="0" borderId="124" xfId="5" applyNumberFormat="1" applyFont="1" applyFill="1" applyBorder="1"/>
    <xf numFmtId="164" fontId="0" fillId="12" borderId="22" xfId="5" applyNumberFormat="1" applyFont="1" applyFill="1" applyBorder="1"/>
    <xf numFmtId="0" fontId="3" fillId="0" borderId="4" xfId="6" applyFont="1" applyBorder="1" applyAlignment="1">
      <alignment horizontal="right"/>
    </xf>
    <xf numFmtId="0" fontId="3" fillId="0" borderId="23" xfId="6" applyFont="1" applyBorder="1" applyAlignment="1">
      <alignment horizontal="right"/>
    </xf>
    <xf numFmtId="0" fontId="39" fillId="21" borderId="27" xfId="6" applyFont="1" applyFill="1" applyBorder="1" applyAlignment="1">
      <alignment horizontal="center" vertical="center"/>
    </xf>
    <xf numFmtId="0" fontId="39" fillId="21" borderId="34" xfId="6" applyFont="1" applyFill="1" applyBorder="1" applyAlignment="1">
      <alignment horizontal="center" vertical="center"/>
    </xf>
    <xf numFmtId="0" fontId="39" fillId="21" borderId="28" xfId="6" applyFont="1" applyFill="1" applyBorder="1" applyAlignment="1">
      <alignment horizontal="center" vertical="center"/>
    </xf>
    <xf numFmtId="0" fontId="40" fillId="21" borderId="62" xfId="6" applyFont="1" applyFill="1" applyBorder="1" applyAlignment="1">
      <alignment horizontal="center"/>
    </xf>
    <xf numFmtId="0" fontId="40" fillId="21" borderId="11" xfId="6" applyFont="1" applyFill="1" applyBorder="1" applyAlignment="1">
      <alignment horizontal="center"/>
    </xf>
    <xf numFmtId="0" fontId="40" fillId="21" borderId="68" xfId="6" applyFont="1" applyFill="1" applyBorder="1" applyAlignment="1">
      <alignment horizontal="center"/>
    </xf>
    <xf numFmtId="0" fontId="35" fillId="14" borderId="27" xfId="0" applyFont="1" applyFill="1" applyBorder="1" applyAlignment="1">
      <alignment horizontal="center"/>
    </xf>
    <xf numFmtId="0" fontId="35" fillId="14" borderId="34" xfId="0" applyFont="1" applyFill="1" applyBorder="1" applyAlignment="1">
      <alignment horizontal="center"/>
    </xf>
    <xf numFmtId="0" fontId="35" fillId="14" borderId="61" xfId="0" applyFont="1" applyFill="1" applyBorder="1" applyAlignment="1">
      <alignment horizontal="center"/>
    </xf>
    <xf numFmtId="0" fontId="35" fillId="14" borderId="62" xfId="0" applyFont="1" applyFill="1" applyBorder="1" applyAlignment="1">
      <alignment horizontal="center"/>
    </xf>
    <xf numFmtId="0" fontId="35" fillId="14" borderId="11" xfId="0" applyFont="1" applyFill="1" applyBorder="1" applyAlignment="1">
      <alignment horizontal="center"/>
    </xf>
    <xf numFmtId="0" fontId="35" fillId="14" borderId="12" xfId="0" applyFont="1" applyFill="1" applyBorder="1" applyAlignment="1">
      <alignment horizontal="center"/>
    </xf>
    <xf numFmtId="0" fontId="35" fillId="9" borderId="27" xfId="0" applyFont="1" applyFill="1" applyBorder="1" applyAlignment="1">
      <alignment horizontal="center"/>
    </xf>
    <xf numFmtId="0" fontId="35" fillId="9" borderId="34" xfId="0" applyFont="1" applyFill="1" applyBorder="1" applyAlignment="1">
      <alignment horizontal="center"/>
    </xf>
    <xf numFmtId="0" fontId="35" fillId="9" borderId="61" xfId="0" applyFont="1" applyFill="1" applyBorder="1" applyAlignment="1">
      <alignment horizontal="center"/>
    </xf>
    <xf numFmtId="0" fontId="35" fillId="9" borderId="62" xfId="0" applyFont="1" applyFill="1" applyBorder="1" applyAlignment="1">
      <alignment horizontal="center"/>
    </xf>
    <xf numFmtId="0" fontId="35" fillId="9" borderId="11" xfId="0" applyFont="1" applyFill="1" applyBorder="1" applyAlignment="1">
      <alignment horizontal="center"/>
    </xf>
    <xf numFmtId="0" fontId="35" fillId="9" borderId="12" xfId="0" applyFont="1" applyFill="1" applyBorder="1" applyAlignment="1">
      <alignment horizontal="center"/>
    </xf>
    <xf numFmtId="0" fontId="13" fillId="4" borderId="5" xfId="0" applyFont="1" applyFill="1" applyBorder="1" applyAlignment="1">
      <alignment horizontal="center"/>
    </xf>
    <xf numFmtId="0" fontId="13" fillId="4" borderId="7" xfId="0" applyFont="1" applyFill="1" applyBorder="1" applyAlignment="1">
      <alignment horizontal="center"/>
    </xf>
    <xf numFmtId="0" fontId="0" fillId="0" borderId="0" xfId="0" applyAlignment="1">
      <alignment horizontal="left"/>
    </xf>
    <xf numFmtId="0" fontId="15" fillId="0" borderId="5" xfId="0" applyFont="1" applyBorder="1" applyAlignment="1">
      <alignment horizontal="center" wrapText="1"/>
    </xf>
    <xf numFmtId="0" fontId="15" fillId="0" borderId="9" xfId="0" applyFont="1" applyBorder="1" applyAlignment="1">
      <alignment horizontal="center" wrapText="1"/>
    </xf>
    <xf numFmtId="0" fontId="15" fillId="0" borderId="7" xfId="0" applyFont="1" applyBorder="1" applyAlignment="1">
      <alignment horizontal="center" wrapText="1"/>
    </xf>
    <xf numFmtId="0" fontId="0" fillId="0" borderId="51" xfId="0" applyBorder="1" applyAlignment="1">
      <alignment horizontal="center"/>
    </xf>
    <xf numFmtId="0" fontId="0" fillId="0" borderId="52" xfId="0" applyBorder="1" applyAlignment="1">
      <alignment horizontal="center"/>
    </xf>
    <xf numFmtId="166" fontId="19" fillId="11" borderId="114" xfId="0" applyNumberFormat="1" applyFont="1" applyFill="1" applyBorder="1" applyAlignment="1">
      <alignment horizontal="center"/>
    </xf>
    <xf numFmtId="166" fontId="19" fillId="11" borderId="115" xfId="0" applyNumberFormat="1" applyFont="1" applyFill="1" applyBorder="1" applyAlignment="1">
      <alignment horizontal="center"/>
    </xf>
    <xf numFmtId="166" fontId="19" fillId="11" borderId="116" xfId="0" applyNumberFormat="1" applyFont="1" applyFill="1" applyBorder="1" applyAlignment="1">
      <alignment horizontal="center"/>
    </xf>
    <xf numFmtId="166" fontId="19" fillId="11" borderId="117" xfId="0" applyNumberFormat="1" applyFont="1" applyFill="1" applyBorder="1" applyAlignment="1">
      <alignment horizontal="center"/>
    </xf>
    <xf numFmtId="166" fontId="19" fillId="11" borderId="49" xfId="0" applyNumberFormat="1" applyFont="1" applyFill="1" applyBorder="1" applyAlignment="1">
      <alignment horizontal="center"/>
    </xf>
    <xf numFmtId="166" fontId="19" fillId="11" borderId="118" xfId="0" applyNumberFormat="1" applyFont="1" applyFill="1" applyBorder="1" applyAlignment="1">
      <alignment horizontal="center"/>
    </xf>
    <xf numFmtId="166" fontId="19" fillId="11" borderId="119" xfId="0" applyNumberFormat="1" applyFont="1" applyFill="1" applyBorder="1" applyAlignment="1">
      <alignment horizontal="center"/>
    </xf>
    <xf numFmtId="166" fontId="19" fillId="11" borderId="54" xfId="0" applyNumberFormat="1" applyFont="1" applyFill="1" applyBorder="1" applyAlignment="1">
      <alignment horizontal="center"/>
    </xf>
    <xf numFmtId="166" fontId="19" fillId="11" borderId="120" xfId="0" applyNumberFormat="1" applyFont="1" applyFill="1" applyBorder="1" applyAlignment="1">
      <alignment horizontal="center"/>
    </xf>
    <xf numFmtId="0" fontId="1" fillId="0" borderId="10" xfId="0" applyFont="1" applyBorder="1" applyAlignment="1">
      <alignment horizontal="center" wrapText="1"/>
    </xf>
    <xf numFmtId="0" fontId="1" fillId="0" borderId="11" xfId="0" applyFont="1" applyBorder="1" applyAlignment="1">
      <alignment horizontal="center" wrapText="1"/>
    </xf>
    <xf numFmtId="0" fontId="3" fillId="18" borderId="52" xfId="0" applyFont="1" applyFill="1" applyBorder="1" applyAlignment="1">
      <alignment horizontal="left"/>
    </xf>
    <xf numFmtId="0" fontId="3" fillId="18" borderId="49" xfId="0" applyFont="1" applyFill="1" applyBorder="1" applyAlignment="1">
      <alignment horizontal="left"/>
    </xf>
    <xf numFmtId="0" fontId="3" fillId="18" borderId="58" xfId="0" applyFont="1" applyFill="1" applyBorder="1" applyAlignment="1">
      <alignment horizontal="left"/>
    </xf>
    <xf numFmtId="0" fontId="1" fillId="18" borderId="59" xfId="0" applyFont="1" applyFill="1" applyBorder="1" applyAlignment="1">
      <alignment horizontal="center"/>
    </xf>
    <xf numFmtId="0" fontId="1" fillId="18" borderId="0" xfId="0" applyFont="1" applyFill="1" applyBorder="1" applyAlignment="1">
      <alignment horizontal="center"/>
    </xf>
    <xf numFmtId="0" fontId="3" fillId="20" borderId="27" xfId="0" applyFont="1" applyFill="1" applyBorder="1" applyAlignment="1">
      <alignment horizontal="center"/>
    </xf>
    <xf numFmtId="0" fontId="3" fillId="20" borderId="34" xfId="0" applyFont="1" applyFill="1" applyBorder="1" applyAlignment="1">
      <alignment horizontal="center"/>
    </xf>
    <xf numFmtId="0" fontId="3" fillId="20" borderId="28" xfId="0" applyFont="1" applyFill="1" applyBorder="1" applyAlignment="1">
      <alignment horizontal="center"/>
    </xf>
    <xf numFmtId="172" fontId="1" fillId="20" borderId="65" xfId="5" applyNumberFormat="1" applyFont="1" applyFill="1" applyBorder="1" applyAlignment="1">
      <alignment horizontal="left"/>
    </xf>
    <xf numFmtId="172" fontId="1" fillId="20" borderId="7" xfId="5" applyNumberFormat="1" applyFont="1" applyFill="1" applyBorder="1" applyAlignment="1">
      <alignment horizontal="left"/>
    </xf>
    <xf numFmtId="164" fontId="11" fillId="2" borderId="63" xfId="3" applyNumberFormat="1" applyFill="1" applyBorder="1" applyAlignment="1">
      <alignment horizontal="center"/>
    </xf>
    <xf numFmtId="164" fontId="11" fillId="2" borderId="40" xfId="3" applyNumberFormat="1" applyFill="1" applyBorder="1" applyAlignment="1">
      <alignment horizontal="center"/>
    </xf>
    <xf numFmtId="164" fontId="11" fillId="2" borderId="42" xfId="3" applyNumberFormat="1" applyFill="1" applyBorder="1" applyAlignment="1">
      <alignment horizontal="center"/>
    </xf>
    <xf numFmtId="0" fontId="3" fillId="20" borderId="11" xfId="0" applyFont="1" applyFill="1" applyBorder="1" applyAlignment="1">
      <alignment horizontal="center"/>
    </xf>
    <xf numFmtId="0" fontId="3" fillId="20" borderId="68" xfId="0" applyFont="1" applyFill="1" applyBorder="1" applyAlignment="1">
      <alignment horizontal="center"/>
    </xf>
    <xf numFmtId="0" fontId="23" fillId="14" borderId="27" xfId="0" applyFont="1" applyFill="1" applyBorder="1" applyAlignment="1">
      <alignment horizontal="center"/>
    </xf>
    <xf numFmtId="0" fontId="23" fillId="14" borderId="34" xfId="0" applyFont="1" applyFill="1" applyBorder="1" applyAlignment="1">
      <alignment horizontal="center"/>
    </xf>
    <xf numFmtId="0" fontId="23" fillId="14" borderId="61" xfId="0" applyFont="1" applyFill="1" applyBorder="1" applyAlignment="1">
      <alignment horizontal="center"/>
    </xf>
    <xf numFmtId="0" fontId="23" fillId="14" borderId="62" xfId="0" applyFont="1" applyFill="1" applyBorder="1" applyAlignment="1">
      <alignment horizontal="center"/>
    </xf>
    <xf numFmtId="0" fontId="23" fillId="14" borderId="11" xfId="0" applyFont="1" applyFill="1" applyBorder="1" applyAlignment="1">
      <alignment horizontal="center"/>
    </xf>
    <xf numFmtId="0" fontId="23" fillId="14" borderId="12" xfId="0" applyFont="1" applyFill="1" applyBorder="1" applyAlignment="1">
      <alignment horizontal="center"/>
    </xf>
    <xf numFmtId="164" fontId="1" fillId="20" borderId="38" xfId="0" applyNumberFormat="1" applyFont="1" applyFill="1" applyBorder="1" applyAlignment="1">
      <alignment horizontal="center" wrapText="1"/>
    </xf>
    <xf numFmtId="164" fontId="6" fillId="20" borderId="2" xfId="0" applyNumberFormat="1" applyFont="1" applyFill="1" applyBorder="1" applyAlignment="1">
      <alignment horizontal="center"/>
    </xf>
    <xf numFmtId="164" fontId="1" fillId="20" borderId="2" xfId="0" applyNumberFormat="1" applyFont="1" applyFill="1" applyBorder="1" applyAlignment="1">
      <alignment horizontal="center"/>
    </xf>
    <xf numFmtId="0" fontId="3" fillId="9" borderId="0" xfId="0" applyFont="1" applyFill="1" applyAlignment="1">
      <alignment horizontal="center"/>
    </xf>
    <xf numFmtId="0" fontId="0" fillId="0" borderId="0" xfId="0" applyAlignment="1">
      <alignment horizontal="center"/>
    </xf>
    <xf numFmtId="0" fontId="1" fillId="0" borderId="16" xfId="0" applyFont="1" applyFill="1" applyBorder="1" applyAlignment="1">
      <alignment horizontal="right"/>
    </xf>
    <xf numFmtId="0" fontId="1" fillId="0" borderId="3" xfId="0" applyFont="1" applyFill="1" applyBorder="1" applyAlignment="1">
      <alignment horizontal="right"/>
    </xf>
    <xf numFmtId="0" fontId="1" fillId="0" borderId="121" xfId="0" applyFont="1" applyFill="1" applyBorder="1" applyAlignment="1">
      <alignment horizontal="right"/>
    </xf>
    <xf numFmtId="0" fontId="1" fillId="0" borderId="112" xfId="0" applyFont="1" applyFill="1" applyBorder="1" applyAlignment="1">
      <alignment horizontal="right"/>
    </xf>
    <xf numFmtId="0" fontId="0" fillId="0" borderId="11" xfId="0" applyBorder="1" applyAlignment="1">
      <alignment horizontal="left"/>
    </xf>
    <xf numFmtId="0" fontId="29" fillId="7" borderId="64" xfId="0" applyFont="1" applyFill="1" applyBorder="1" applyAlignment="1">
      <alignment horizontal="center" vertical="center" textRotation="90" wrapText="1"/>
    </xf>
    <xf numFmtId="0" fontId="29" fillId="7" borderId="70" xfId="0" applyFont="1" applyFill="1" applyBorder="1" applyAlignment="1">
      <alignment horizontal="center" vertical="center" textRotation="90" wrapText="1"/>
    </xf>
    <xf numFmtId="0" fontId="29" fillId="14" borderId="71" xfId="0" applyFont="1" applyFill="1" applyBorder="1" applyAlignment="1">
      <alignment horizontal="center" vertical="center" textRotation="90" wrapText="1"/>
    </xf>
    <xf numFmtId="0" fontId="29" fillId="14" borderId="70" xfId="0" applyFont="1" applyFill="1" applyBorder="1" applyAlignment="1">
      <alignment horizontal="center" vertical="center" textRotation="90" wrapText="1"/>
    </xf>
    <xf numFmtId="0" fontId="29" fillId="14" borderId="25" xfId="0" applyFont="1" applyFill="1" applyBorder="1" applyAlignment="1">
      <alignment horizontal="center" vertical="center" textRotation="90" wrapText="1"/>
    </xf>
    <xf numFmtId="164" fontId="13" fillId="13" borderId="38" xfId="2" applyNumberFormat="1" applyFont="1" applyFill="1" applyBorder="1"/>
    <xf numFmtId="164" fontId="0" fillId="7" borderId="125" xfId="0" applyNumberFormat="1" applyFill="1" applyBorder="1"/>
    <xf numFmtId="164" fontId="13" fillId="13" borderId="22" xfId="2" applyNumberFormat="1" applyFont="1" applyFill="1" applyBorder="1"/>
    <xf numFmtId="164" fontId="13" fillId="13" borderId="126" xfId="2" applyNumberFormat="1" applyFont="1" applyFill="1" applyBorder="1"/>
    <xf numFmtId="164" fontId="13" fillId="13" borderId="124" xfId="2" applyNumberFormat="1" applyFont="1" applyFill="1" applyBorder="1"/>
    <xf numFmtId="164" fontId="13" fillId="13" borderId="127" xfId="2" applyNumberFormat="1" applyFont="1" applyFill="1" applyBorder="1"/>
    <xf numFmtId="0" fontId="1" fillId="7" borderId="22" xfId="0" applyFont="1" applyFill="1" applyBorder="1" applyAlignment="1">
      <alignment horizontal="right"/>
    </xf>
    <xf numFmtId="164" fontId="1" fillId="13" borderId="38" xfId="2" applyNumberFormat="1" applyFont="1" applyFill="1" applyBorder="1"/>
    <xf numFmtId="0" fontId="0" fillId="14" borderId="65" xfId="0" applyFill="1" applyBorder="1" applyAlignment="1">
      <alignment horizontal="right"/>
    </xf>
    <xf numFmtId="0" fontId="0" fillId="14" borderId="66" xfId="0" applyFill="1" applyBorder="1" applyAlignment="1">
      <alignment horizontal="right"/>
    </xf>
    <xf numFmtId="0" fontId="0" fillId="14" borderId="0" xfId="0" applyFill="1" applyBorder="1" applyAlignment="1">
      <alignment horizontal="right"/>
    </xf>
    <xf numFmtId="0" fontId="1" fillId="14" borderId="65" xfId="0" applyFont="1" applyFill="1" applyBorder="1" applyAlignment="1">
      <alignment horizontal="right"/>
    </xf>
    <xf numFmtId="164" fontId="1" fillId="8" borderId="1" xfId="2" applyNumberFormat="1" applyFont="1" applyFill="1" applyBorder="1"/>
    <xf numFmtId="164" fontId="1" fillId="13" borderId="1" xfId="2" applyNumberFormat="1" applyFont="1" applyFill="1" applyBorder="1"/>
    <xf numFmtId="164" fontId="1" fillId="13" borderId="3" xfId="2" applyNumberFormat="1" applyFont="1" applyFill="1" applyBorder="1"/>
    <xf numFmtId="164" fontId="30" fillId="10" borderId="24" xfId="0" applyNumberFormat="1" applyFont="1" applyFill="1" applyBorder="1"/>
    <xf numFmtId="164" fontId="15" fillId="10" borderId="24" xfId="0" applyNumberFormat="1" applyFont="1" applyFill="1" applyBorder="1"/>
    <xf numFmtId="0" fontId="0" fillId="7" borderId="40" xfId="0" applyFill="1" applyBorder="1" applyAlignment="1">
      <alignment horizontal="right"/>
    </xf>
    <xf numFmtId="0" fontId="0" fillId="7" borderId="9" xfId="0" applyFill="1" applyBorder="1" applyAlignment="1">
      <alignment horizontal="right"/>
    </xf>
    <xf numFmtId="0" fontId="1" fillId="7" borderId="124" xfId="0" applyFont="1" applyFill="1" applyBorder="1" applyAlignment="1">
      <alignment horizontal="right"/>
    </xf>
    <xf numFmtId="0" fontId="0" fillId="7" borderId="24" xfId="0" applyFill="1" applyBorder="1" applyAlignment="1">
      <alignment horizontal="right"/>
    </xf>
    <xf numFmtId="0" fontId="1" fillId="7" borderId="11" xfId="0" applyFont="1" applyFill="1" applyBorder="1" applyAlignment="1">
      <alignment horizontal="right"/>
    </xf>
    <xf numFmtId="0" fontId="0" fillId="14" borderId="9" xfId="0" applyFill="1" applyBorder="1" applyAlignment="1">
      <alignment horizontal="right"/>
    </xf>
    <xf numFmtId="0" fontId="1" fillId="14" borderId="9" xfId="0" applyFont="1" applyFill="1" applyBorder="1" applyAlignment="1">
      <alignment horizontal="right"/>
    </xf>
    <xf numFmtId="175" fontId="27" fillId="14" borderId="9" xfId="0" applyNumberFormat="1" applyFont="1" applyFill="1" applyBorder="1" applyAlignment="1">
      <alignment horizontal="left" shrinkToFit="1"/>
    </xf>
    <xf numFmtId="0" fontId="0" fillId="14" borderId="24" xfId="0" applyFill="1" applyBorder="1" applyAlignment="1">
      <alignment horizontal="right"/>
    </xf>
    <xf numFmtId="0" fontId="0" fillId="9" borderId="6" xfId="0" applyFill="1" applyBorder="1"/>
    <xf numFmtId="0" fontId="3" fillId="10" borderId="33" xfId="0" applyFont="1" applyFill="1" applyBorder="1"/>
    <xf numFmtId="0" fontId="3" fillId="10" borderId="103" xfId="0" applyFont="1" applyFill="1" applyBorder="1"/>
    <xf numFmtId="0" fontId="1" fillId="0" borderId="5" xfId="0" applyFont="1" applyFill="1" applyBorder="1"/>
    <xf numFmtId="0" fontId="1" fillId="0" borderId="7" xfId="0" applyFont="1" applyFill="1" applyBorder="1"/>
  </cellXfs>
  <cellStyles count="7">
    <cellStyle name="Comma" xfId="1" builtinId="3"/>
    <cellStyle name="Currency" xfId="2" builtinId="4"/>
    <cellStyle name="Hyperlink" xfId="3" builtinId="8"/>
    <cellStyle name="Normal" xfId="0" builtinId="0"/>
    <cellStyle name="Normal 2" xfId="4"/>
    <cellStyle name="Normal 3" xfId="6"/>
    <cellStyle name="Percent" xfId="5" builtinId="5"/>
  </cellStyles>
  <dxfs count="56">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ill>
        <patternFill>
          <bgColor rgb="FFFF6565"/>
        </patternFill>
      </fill>
    </dxf>
    <dxf>
      <fill>
        <patternFill>
          <bgColor rgb="FF00B050"/>
        </patternFill>
      </fill>
    </dxf>
    <dxf>
      <font>
        <color theme="0"/>
      </font>
    </dxf>
    <dxf>
      <fill>
        <patternFill>
          <bgColor rgb="FFFF0000"/>
        </patternFill>
      </fill>
    </dxf>
    <dxf>
      <fill>
        <patternFill>
          <bgColor indexed="10"/>
        </patternFill>
      </fill>
    </dxf>
    <dxf>
      <fill>
        <patternFill>
          <bgColor indexed="1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2" defaultPivotStyle="PivotStyleLight16"/>
  <colors>
    <mruColors>
      <color rgb="FFFFFFCC"/>
      <color rgb="FF0000FF"/>
      <color rgb="FFFFFF99"/>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25" b="1" i="0" u="none" strike="noStrike" baseline="0">
                <a:solidFill>
                  <a:srgbClr val="000000"/>
                </a:solidFill>
                <a:latin typeface="Arial"/>
                <a:ea typeface="Arial"/>
                <a:cs typeface="Arial"/>
              </a:defRPr>
            </a:pPr>
            <a:r>
              <a:rPr lang="en-US"/>
              <a:t>Sales Seasonality Graph</a:t>
            </a:r>
          </a:p>
        </c:rich>
      </c:tx>
      <c:layout>
        <c:manualLayout>
          <c:xMode val="edge"/>
          <c:yMode val="edge"/>
          <c:x val="0.34378363476269647"/>
          <c:y val="3.4161760853339662E-2"/>
        </c:manualLayout>
      </c:layout>
      <c:overlay val="0"/>
      <c:spPr>
        <a:noFill/>
        <a:ln w="25400">
          <a:noFill/>
        </a:ln>
      </c:spPr>
    </c:title>
    <c:autoTitleDeleted val="0"/>
    <c:plotArea>
      <c:layout>
        <c:manualLayout>
          <c:layoutTarget val="inner"/>
          <c:xMode val="edge"/>
          <c:yMode val="edge"/>
          <c:x val="0.15868673050615595"/>
          <c:y val="0.23602520262944401"/>
          <c:w val="0.80300957592339262"/>
          <c:h val="0.62422454905945057"/>
        </c:manualLayout>
      </c:layout>
      <c:lineChart>
        <c:grouping val="standard"/>
        <c:varyColors val="0"/>
        <c:ser>
          <c:idx val="2"/>
          <c:order val="0"/>
          <c:spPr>
            <a:ln w="31750">
              <a:solidFill>
                <a:srgbClr val="339966"/>
              </a:solidFill>
              <a:prstDash val="solid"/>
            </a:ln>
          </c:spPr>
          <c:marker>
            <c:symbol val="none"/>
          </c:marker>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'8. P&amp;L and Cashflow'!$D$2:$O$2</c:f>
              <c:numCache>
                <c:formatCode>mmm</c:formatCode>
                <c:ptCount val="12"/>
                <c:pt idx="0">
                  <c:v>42370</c:v>
                </c:pt>
                <c:pt idx="1">
                  <c:v>42401</c:v>
                </c:pt>
                <c:pt idx="2">
                  <c:v>42432</c:v>
                </c:pt>
                <c:pt idx="3">
                  <c:v>42463</c:v>
                </c:pt>
                <c:pt idx="4">
                  <c:v>42494</c:v>
                </c:pt>
                <c:pt idx="5">
                  <c:v>42525</c:v>
                </c:pt>
                <c:pt idx="6">
                  <c:v>42556</c:v>
                </c:pt>
                <c:pt idx="7">
                  <c:v>42587</c:v>
                </c:pt>
                <c:pt idx="8">
                  <c:v>42618</c:v>
                </c:pt>
                <c:pt idx="9">
                  <c:v>42649</c:v>
                </c:pt>
                <c:pt idx="10">
                  <c:v>42680</c:v>
                </c:pt>
                <c:pt idx="11">
                  <c:v>42711</c:v>
                </c:pt>
              </c:numCache>
            </c:numRef>
          </c:cat>
          <c:val>
            <c:numRef>
              <c:f>'6. Seasonality'!$A$48:$L$48</c:f>
              <c:numCache>
                <c:formatCode>_("$"* #,##0_);_("$"* \(#,##0\);_("$"* "-"??_);_(@_)</c:formatCode>
                <c:ptCount val="12"/>
                <c:pt idx="0">
                  <c:v>1500</c:v>
                </c:pt>
                <c:pt idx="1">
                  <c:v>3000</c:v>
                </c:pt>
                <c:pt idx="2">
                  <c:v>3000</c:v>
                </c:pt>
                <c:pt idx="3">
                  <c:v>3000</c:v>
                </c:pt>
                <c:pt idx="4">
                  <c:v>3000</c:v>
                </c:pt>
                <c:pt idx="5">
                  <c:v>3000</c:v>
                </c:pt>
                <c:pt idx="6">
                  <c:v>3000</c:v>
                </c:pt>
                <c:pt idx="7">
                  <c:v>3000</c:v>
                </c:pt>
                <c:pt idx="8">
                  <c:v>3000</c:v>
                </c:pt>
                <c:pt idx="9">
                  <c:v>3000</c:v>
                </c:pt>
                <c:pt idx="10">
                  <c:v>3000</c:v>
                </c:pt>
                <c:pt idx="11">
                  <c:v>3000</c:v>
                </c:pt>
              </c:numCache>
            </c:numRef>
          </c:val>
          <c:smooth val="0"/>
          <c:extLst>
            <c:ext xmlns:c16="http://schemas.microsoft.com/office/drawing/2014/chart" uri="{C3380CC4-5D6E-409C-BE32-E72D297353CC}">
              <c16:uniqueId val="{00000000-A1A6-4C5E-A01A-FC42767B1EE8}"/>
            </c:ext>
          </c:extLst>
        </c:ser>
        <c:dLbls>
          <c:showLegendKey val="0"/>
          <c:showVal val="0"/>
          <c:showCatName val="0"/>
          <c:showSerName val="0"/>
          <c:showPercent val="0"/>
          <c:showBubbleSize val="0"/>
        </c:dLbls>
        <c:smooth val="0"/>
        <c:axId val="91499136"/>
        <c:axId val="91505024"/>
      </c:lineChart>
      <c:dateAx>
        <c:axId val="91499136"/>
        <c:scaling>
          <c:orientation val="minMax"/>
        </c:scaling>
        <c:delete val="0"/>
        <c:axPos val="b"/>
        <c:numFmt formatCode="mmm"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91505024"/>
        <c:crosses val="autoZero"/>
        <c:auto val="1"/>
        <c:lblOffset val="100"/>
        <c:baseTimeUnit val="months"/>
        <c:majorUnit val="1"/>
        <c:majorTimeUnit val="months"/>
        <c:minorUnit val="1"/>
        <c:minorTimeUnit val="months"/>
      </c:dateAx>
      <c:valAx>
        <c:axId val="91505024"/>
        <c:scaling>
          <c:orientation val="minMax"/>
        </c:scaling>
        <c:delete val="0"/>
        <c:axPos val="l"/>
        <c:majorGridlines>
          <c:spPr>
            <a:ln w="3175">
              <a:solidFill>
                <a:srgbClr val="000000"/>
              </a:solidFill>
              <a:prstDash val="solid"/>
            </a:ln>
          </c:spPr>
        </c:majorGridlines>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91499136"/>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7746914748637191"/>
          <c:y val="0.1433238985662165"/>
          <c:w val="0.45638012946698964"/>
          <c:h val="0.72601963234519196"/>
        </c:manualLayout>
      </c:layout>
      <c:pieChart>
        <c:varyColors val="1"/>
        <c:ser>
          <c:idx val="0"/>
          <c:order val="0"/>
          <c:tx>
            <c:v>Annual Sales Mix</c:v>
          </c:tx>
          <c:dLbls>
            <c:dLbl>
              <c:idx val="0"/>
              <c:layout>
                <c:manualLayout>
                  <c:x val="0.19151366596002423"/>
                  <c:y val="-1.421212166834786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649-4EB9-9AC3-BC066F4AB4D1}"/>
                </c:ext>
              </c:extLst>
            </c:dLbl>
            <c:dLbl>
              <c:idx val="1"/>
              <c:layout>
                <c:manualLayout>
                  <c:x val="0.22656123813850193"/>
                  <c:y val="3.46951014488389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649-4EB9-9AC3-BC066F4AB4D1}"/>
                </c:ext>
              </c:extLst>
            </c:dLbl>
            <c:dLbl>
              <c:idx val="2"/>
              <c:layout>
                <c:manualLayout>
                  <c:x val="5.8943916565717749E-2"/>
                  <c:y val="7.320626508684502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649-4EB9-9AC3-BC066F4AB4D1}"/>
                </c:ext>
              </c:extLst>
            </c:dLbl>
            <c:dLbl>
              <c:idx val="3"/>
              <c:layout>
                <c:manualLayout>
                  <c:x val="4.0628312386432462E-2"/>
                  <c:y val="-5.32795852717263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649-4EB9-9AC3-BC066F4AB4D1}"/>
                </c:ext>
              </c:extLst>
            </c:dLbl>
            <c:dLbl>
              <c:idx val="4"/>
              <c:layout>
                <c:manualLayout>
                  <c:x val="-6.5379094740561278E-2"/>
                  <c:y val="-5.50112163321841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649-4EB9-9AC3-BC066F4AB4D1}"/>
                </c:ext>
              </c:extLst>
            </c:dLbl>
            <c:dLbl>
              <c:idx val="5"/>
              <c:layout>
                <c:manualLayout>
                  <c:x val="-0.19801950837876034"/>
                  <c:y val="0.1244425708736694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649-4EB9-9AC3-BC066F4AB4D1}"/>
                </c:ext>
              </c:extLst>
            </c:dLbl>
            <c:dLbl>
              <c:idx val="6"/>
              <c:delete val="1"/>
              <c:extLst>
                <c:ext xmlns:c15="http://schemas.microsoft.com/office/drawing/2012/chart" uri="{CE6537A1-D6FC-4f65-9D91-7224C49458BB}"/>
                <c:ext xmlns:c16="http://schemas.microsoft.com/office/drawing/2014/chart" uri="{C3380CC4-5D6E-409C-BE32-E72D297353CC}">
                  <c16:uniqueId val="{00000006-9649-4EB9-9AC3-BC066F4AB4D1}"/>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'1. Sales Forecast'!$A$55:$A$61</c:f>
              <c:strCache>
                <c:ptCount val="7"/>
                <c:pt idx="0">
                  <c:v>Customer Type 1</c:v>
                </c:pt>
                <c:pt idx="1">
                  <c:v>Customer Type 2</c:v>
                </c:pt>
                <c:pt idx="2">
                  <c:v>Customer Type 3</c:v>
                </c:pt>
                <c:pt idx="3">
                  <c:v>Customer Type 4</c:v>
                </c:pt>
                <c:pt idx="4">
                  <c:v>Customer Type 5</c:v>
                </c:pt>
                <c:pt idx="5">
                  <c:v>Customer Type 6</c:v>
                </c:pt>
                <c:pt idx="6">
                  <c:v>Other</c:v>
                </c:pt>
              </c:strCache>
            </c:strRef>
          </c:cat>
          <c:val>
            <c:numRef>
              <c:f>'1. Sales Forecast'!$C$55:$C$61</c:f>
              <c:numCache>
                <c:formatCode>_("$"* #,##0_);_("$"* \(#,##0\);_("$"* "-"??_);_(@_)</c:formatCode>
                <c:ptCount val="7"/>
                <c:pt idx="0">
                  <c:v>21600</c:v>
                </c:pt>
                <c:pt idx="1">
                  <c:v>600</c:v>
                </c:pt>
                <c:pt idx="2">
                  <c:v>9000</c:v>
                </c:pt>
                <c:pt idx="3">
                  <c:v>4800</c:v>
                </c:pt>
                <c:pt idx="4">
                  <c:v>0</c:v>
                </c:pt>
                <c:pt idx="5">
                  <c:v>0</c:v>
                </c:pt>
                <c:pt idx="6">
                  <c:v>0</c:v>
                </c:pt>
              </c:numCache>
            </c:numRef>
          </c:val>
          <c:extLst>
            <c:ext xmlns:c16="http://schemas.microsoft.com/office/drawing/2014/chart" uri="{C3380CC4-5D6E-409C-BE32-E72D297353CC}">
              <c16:uniqueId val="{00000007-9649-4EB9-9AC3-BC066F4AB4D1}"/>
            </c:ext>
          </c:extLst>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Monthly Sales</c:v>
          </c:tx>
          <c:spPr>
            <a:solidFill>
              <a:schemeClr val="accent3">
                <a:lumMod val="50000"/>
              </a:schemeClr>
            </a:solidFill>
          </c:spPr>
          <c:invertIfNegative val="0"/>
          <c:cat>
            <c:numRef>
              <c:f>'8. P&amp;L and Cashflow'!$D$6:$O$6</c:f>
              <c:numCache>
                <c:formatCode>mmm</c:formatCode>
                <c:ptCount val="12"/>
                <c:pt idx="0">
                  <c:v>42370</c:v>
                </c:pt>
                <c:pt idx="1">
                  <c:v>42401</c:v>
                </c:pt>
                <c:pt idx="2">
                  <c:v>42432</c:v>
                </c:pt>
                <c:pt idx="3">
                  <c:v>42463</c:v>
                </c:pt>
                <c:pt idx="4">
                  <c:v>42494</c:v>
                </c:pt>
                <c:pt idx="5">
                  <c:v>42525</c:v>
                </c:pt>
                <c:pt idx="6">
                  <c:v>42556</c:v>
                </c:pt>
                <c:pt idx="7">
                  <c:v>42587</c:v>
                </c:pt>
                <c:pt idx="8">
                  <c:v>42618</c:v>
                </c:pt>
                <c:pt idx="9">
                  <c:v>42649</c:v>
                </c:pt>
                <c:pt idx="10">
                  <c:v>42680</c:v>
                </c:pt>
                <c:pt idx="11">
                  <c:v>42711</c:v>
                </c:pt>
              </c:numCache>
            </c:numRef>
          </c:cat>
          <c:val>
            <c:numRef>
              <c:f>'8. P&amp;L and Cashflow'!$D$7:$O$7</c:f>
              <c:numCache>
                <c:formatCode>_("$"* #,##0_);_("$"* \(#,##0\);_("$"* "-"??_);_(@_)</c:formatCode>
                <c:ptCount val="12"/>
                <c:pt idx="0">
                  <c:v>1500</c:v>
                </c:pt>
                <c:pt idx="1">
                  <c:v>3000</c:v>
                </c:pt>
                <c:pt idx="2">
                  <c:v>3000</c:v>
                </c:pt>
                <c:pt idx="3">
                  <c:v>3000</c:v>
                </c:pt>
                <c:pt idx="4">
                  <c:v>3000</c:v>
                </c:pt>
                <c:pt idx="5">
                  <c:v>3000</c:v>
                </c:pt>
                <c:pt idx="6">
                  <c:v>3000</c:v>
                </c:pt>
                <c:pt idx="7">
                  <c:v>3000</c:v>
                </c:pt>
                <c:pt idx="8">
                  <c:v>3000</c:v>
                </c:pt>
                <c:pt idx="9">
                  <c:v>3000</c:v>
                </c:pt>
                <c:pt idx="10">
                  <c:v>3000</c:v>
                </c:pt>
                <c:pt idx="11">
                  <c:v>3000</c:v>
                </c:pt>
              </c:numCache>
            </c:numRef>
          </c:val>
          <c:extLst>
            <c:ext xmlns:c16="http://schemas.microsoft.com/office/drawing/2014/chart" uri="{C3380CC4-5D6E-409C-BE32-E72D297353CC}">
              <c16:uniqueId val="{00000000-6B7E-46A8-AD44-25D3BF4534E7}"/>
            </c:ext>
          </c:extLst>
        </c:ser>
        <c:dLbls>
          <c:showLegendKey val="0"/>
          <c:showVal val="0"/>
          <c:showCatName val="0"/>
          <c:showSerName val="0"/>
          <c:showPercent val="0"/>
          <c:showBubbleSize val="0"/>
        </c:dLbls>
        <c:gapWidth val="150"/>
        <c:shape val="box"/>
        <c:axId val="102704640"/>
        <c:axId val="102706176"/>
        <c:axId val="0"/>
      </c:bar3DChart>
      <c:dateAx>
        <c:axId val="102704640"/>
        <c:scaling>
          <c:orientation val="minMax"/>
        </c:scaling>
        <c:delete val="0"/>
        <c:axPos val="b"/>
        <c:numFmt formatCode="mmm" sourceLinked="1"/>
        <c:majorTickMark val="out"/>
        <c:minorTickMark val="none"/>
        <c:tickLblPos val="nextTo"/>
        <c:crossAx val="102706176"/>
        <c:crosses val="autoZero"/>
        <c:auto val="1"/>
        <c:lblOffset val="100"/>
        <c:baseTimeUnit val="months"/>
      </c:dateAx>
      <c:valAx>
        <c:axId val="102706176"/>
        <c:scaling>
          <c:orientation val="minMax"/>
        </c:scaling>
        <c:delete val="0"/>
        <c:axPos val="l"/>
        <c:majorGridlines/>
        <c:numFmt formatCode="_(&quot;$&quot;* #,##0_);_(&quot;$&quot;* \(#,##0\);_(&quot;$&quot;* &quot;-&quot;??_);_(@_)" sourceLinked="1"/>
        <c:majorTickMark val="out"/>
        <c:minorTickMark val="none"/>
        <c:tickLblPos val="nextTo"/>
        <c:crossAx val="1027046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SALES</a:t>
            </a:r>
          </a:p>
        </c:rich>
      </c:tx>
      <c:overlay val="0"/>
    </c:title>
    <c:autoTitleDeleted val="0"/>
    <c:plotArea>
      <c:layout/>
      <c:barChart>
        <c:barDir val="col"/>
        <c:grouping val="clustered"/>
        <c:varyColors val="0"/>
        <c:ser>
          <c:idx val="0"/>
          <c:order val="0"/>
          <c:tx>
            <c:strRef>
              <c:f>'8. P&amp;L and Cashflow'!$B$7</c:f>
              <c:strCache>
                <c:ptCount val="1"/>
                <c:pt idx="0">
                  <c:v>SALES</c:v>
                </c:pt>
              </c:strCache>
            </c:strRef>
          </c:tx>
          <c:spPr>
            <a:solidFill>
              <a:schemeClr val="accent3">
                <a:lumMod val="50000"/>
              </a:schemeClr>
            </a:solidFill>
          </c:spPr>
          <c:invertIfNegative val="0"/>
          <c:cat>
            <c:numRef>
              <c:f>('8. P&amp;L and Cashflow'!$P$6,'8. P&amp;L and Cashflow'!$AC$6,'8. P&amp;L and Cashflow'!$AD$6,'8. P&amp;L and Cashflow'!$AE$6,'8. P&amp;L and Cashflow'!$AF$6)</c:f>
              <c:numCache>
                <c:formatCode>General</c:formatCode>
                <c:ptCount val="5"/>
                <c:pt idx="0">
                  <c:v>2016</c:v>
                </c:pt>
                <c:pt idx="1">
                  <c:v>2017</c:v>
                </c:pt>
                <c:pt idx="2">
                  <c:v>2018</c:v>
                </c:pt>
                <c:pt idx="3">
                  <c:v>2019</c:v>
                </c:pt>
                <c:pt idx="4">
                  <c:v>2020</c:v>
                </c:pt>
              </c:numCache>
            </c:numRef>
          </c:cat>
          <c:val>
            <c:numRef>
              <c:f>('8. P&amp;L and Cashflow'!$C$7,'8. P&amp;L and Cashflow'!$AC$7,'8. P&amp;L and Cashflow'!$AD$7,'8. P&amp;L and Cashflow'!$AE$7,'8. P&amp;L and Cashflow'!$AF$7)</c:f>
              <c:numCache>
                <c:formatCode>"$"#,##0_);[Red]\("$"#,##0\)</c:formatCode>
                <c:ptCount val="5"/>
                <c:pt idx="0" formatCode="_(&quot;$&quot;* #,##0_);_(&quot;$&quot;* \(#,##0\);_(&quot;$&quot;* &quot;-&quot;??_);_(@_)">
                  <c:v>34500</c:v>
                </c:pt>
                <c:pt idx="1">
                  <c:v>40080</c:v>
                </c:pt>
                <c:pt idx="2">
                  <c:v>44640.000000000007</c:v>
                </c:pt>
                <c:pt idx="3">
                  <c:v>49738.80000000001</c:v>
                </c:pt>
                <c:pt idx="4">
                  <c:v>55442.700000000004</c:v>
                </c:pt>
              </c:numCache>
            </c:numRef>
          </c:val>
          <c:extLst>
            <c:ext xmlns:c16="http://schemas.microsoft.com/office/drawing/2014/chart" uri="{C3380CC4-5D6E-409C-BE32-E72D297353CC}">
              <c16:uniqueId val="{00000000-177D-4027-A609-1B4223795CBC}"/>
            </c:ext>
          </c:extLst>
        </c:ser>
        <c:dLbls>
          <c:showLegendKey val="0"/>
          <c:showVal val="0"/>
          <c:showCatName val="0"/>
          <c:showSerName val="0"/>
          <c:showPercent val="0"/>
          <c:showBubbleSize val="0"/>
        </c:dLbls>
        <c:gapWidth val="150"/>
        <c:axId val="102742656"/>
        <c:axId val="102756736"/>
      </c:barChart>
      <c:catAx>
        <c:axId val="102742656"/>
        <c:scaling>
          <c:orientation val="minMax"/>
        </c:scaling>
        <c:delete val="0"/>
        <c:axPos val="b"/>
        <c:numFmt formatCode="General" sourceLinked="1"/>
        <c:majorTickMark val="out"/>
        <c:minorTickMark val="none"/>
        <c:tickLblPos val="nextTo"/>
        <c:crossAx val="102756736"/>
        <c:crosses val="autoZero"/>
        <c:auto val="1"/>
        <c:lblAlgn val="ctr"/>
        <c:lblOffset val="100"/>
        <c:noMultiLvlLbl val="0"/>
      </c:catAx>
      <c:valAx>
        <c:axId val="102756736"/>
        <c:scaling>
          <c:orientation val="minMax"/>
        </c:scaling>
        <c:delete val="0"/>
        <c:axPos val="l"/>
        <c:majorGridlines/>
        <c:numFmt formatCode="_(&quot;$&quot;* #,##0_);_(&quot;$&quot;* \(#,##0\);_(&quot;$&quot;* &quot;-&quot;??_);_(@_)" sourceLinked="1"/>
        <c:majorTickMark val="out"/>
        <c:minorTickMark val="none"/>
        <c:tickLblPos val="nextTo"/>
        <c:crossAx val="10274265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Sales</a:t>
            </a:r>
          </a:p>
        </c:rich>
      </c:tx>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Sales</c:v>
          </c:tx>
          <c:spPr>
            <a:solidFill>
              <a:schemeClr val="accent3">
                <a:lumMod val="75000"/>
              </a:schemeClr>
            </a:solidFill>
          </c:spPr>
          <c:invertIfNegative val="0"/>
          <c:cat>
            <c:numRef>
              <c:f>('1. Sales Forecast'!$C$54,'1. Sales Forecast'!$D$54,'1. Sales Forecast'!$E$54,'1. Sales Forecast'!$F$54,'1. Sales Forecast'!$G$54)</c:f>
              <c:numCache>
                <c:formatCode>General</c:formatCode>
                <c:ptCount val="5"/>
                <c:pt idx="0">
                  <c:v>2016</c:v>
                </c:pt>
                <c:pt idx="1">
                  <c:v>2017</c:v>
                </c:pt>
                <c:pt idx="2">
                  <c:v>2018</c:v>
                </c:pt>
                <c:pt idx="3">
                  <c:v>2019</c:v>
                </c:pt>
                <c:pt idx="4">
                  <c:v>2020</c:v>
                </c:pt>
              </c:numCache>
            </c:numRef>
          </c:cat>
          <c:val>
            <c:numRef>
              <c:f>('8. P&amp;L and Cashflow'!$C$62,'8. P&amp;L and Cashflow'!$P$7,'8. P&amp;L and Cashflow'!$AC$7,'8. P&amp;L and Cashflow'!$AD$7,'8. P&amp;L and Cashflow'!$AE$7,'8. P&amp;L and Cashflow'!$AF$7)</c:f>
              <c:numCache>
                <c:formatCode>"$"#,##0_);[Red]\("$"#,##0\)</c:formatCode>
                <c:ptCount val="6"/>
                <c:pt idx="1">
                  <c:v>34500</c:v>
                </c:pt>
                <c:pt idx="2">
                  <c:v>40080</c:v>
                </c:pt>
                <c:pt idx="3">
                  <c:v>44640.000000000007</c:v>
                </c:pt>
                <c:pt idx="4">
                  <c:v>49738.80000000001</c:v>
                </c:pt>
                <c:pt idx="5">
                  <c:v>55442.700000000004</c:v>
                </c:pt>
              </c:numCache>
            </c:numRef>
          </c:val>
          <c:extLst>
            <c:ext xmlns:c16="http://schemas.microsoft.com/office/drawing/2014/chart" uri="{C3380CC4-5D6E-409C-BE32-E72D297353CC}">
              <c16:uniqueId val="{00000000-DFC5-4F38-9C0E-60C457C3BB72}"/>
            </c:ext>
          </c:extLst>
        </c:ser>
        <c:dLbls>
          <c:showLegendKey val="0"/>
          <c:showVal val="0"/>
          <c:showCatName val="0"/>
          <c:showSerName val="0"/>
          <c:showPercent val="0"/>
          <c:showBubbleSize val="0"/>
        </c:dLbls>
        <c:gapWidth val="150"/>
        <c:shape val="box"/>
        <c:axId val="112269568"/>
        <c:axId val="112287744"/>
        <c:axId val="0"/>
      </c:bar3DChart>
      <c:catAx>
        <c:axId val="112269568"/>
        <c:scaling>
          <c:orientation val="minMax"/>
        </c:scaling>
        <c:delete val="0"/>
        <c:axPos val="b"/>
        <c:numFmt formatCode="General" sourceLinked="1"/>
        <c:majorTickMark val="out"/>
        <c:minorTickMark val="none"/>
        <c:tickLblPos val="nextTo"/>
        <c:crossAx val="112287744"/>
        <c:crosses val="autoZero"/>
        <c:auto val="1"/>
        <c:lblAlgn val="ctr"/>
        <c:lblOffset val="100"/>
        <c:noMultiLvlLbl val="0"/>
      </c:catAx>
      <c:valAx>
        <c:axId val="112287744"/>
        <c:scaling>
          <c:orientation val="minMax"/>
        </c:scaling>
        <c:delete val="0"/>
        <c:axPos val="l"/>
        <c:majorGridlines/>
        <c:numFmt formatCode="General" sourceLinked="1"/>
        <c:majorTickMark val="out"/>
        <c:minorTickMark val="none"/>
        <c:tickLblPos val="nextTo"/>
        <c:crossAx val="11226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Monthly Profit/Loss</c:v>
          </c:tx>
          <c:spPr>
            <a:solidFill>
              <a:srgbClr val="4F6228"/>
            </a:solidFill>
          </c:spPr>
          <c:invertIfNegative val="1"/>
          <c:cat>
            <c:numRef>
              <c:f>'8. P&amp;L and Cashflow'!$D$6:$O$6</c:f>
              <c:numCache>
                <c:formatCode>mmm</c:formatCode>
                <c:ptCount val="12"/>
                <c:pt idx="0">
                  <c:v>42370</c:v>
                </c:pt>
                <c:pt idx="1">
                  <c:v>42401</c:v>
                </c:pt>
                <c:pt idx="2">
                  <c:v>42432</c:v>
                </c:pt>
                <c:pt idx="3">
                  <c:v>42463</c:v>
                </c:pt>
                <c:pt idx="4">
                  <c:v>42494</c:v>
                </c:pt>
                <c:pt idx="5">
                  <c:v>42525</c:v>
                </c:pt>
                <c:pt idx="6">
                  <c:v>42556</c:v>
                </c:pt>
                <c:pt idx="7">
                  <c:v>42587</c:v>
                </c:pt>
                <c:pt idx="8">
                  <c:v>42618</c:v>
                </c:pt>
                <c:pt idx="9">
                  <c:v>42649</c:v>
                </c:pt>
                <c:pt idx="10">
                  <c:v>42680</c:v>
                </c:pt>
                <c:pt idx="11">
                  <c:v>42711</c:v>
                </c:pt>
              </c:numCache>
            </c:numRef>
          </c:cat>
          <c:val>
            <c:numRef>
              <c:f>'8. P&amp;L and Cashflow'!$D$60:$O$60</c:f>
              <c:numCache>
                <c:formatCode>_("$"* #,##0_);_("$"* \(#,##0\);_("$"* "-"??_);_(@_)</c:formatCode>
                <c:ptCount val="12"/>
                <c:pt idx="0">
                  <c:v>-847.04287698412713</c:v>
                </c:pt>
                <c:pt idx="1">
                  <c:v>140.53342209169625</c:v>
                </c:pt>
                <c:pt idx="2">
                  <c:v>127.65508653702545</c:v>
                </c:pt>
                <c:pt idx="3">
                  <c:v>135.47121774075842</c:v>
                </c:pt>
                <c:pt idx="4">
                  <c:v>136.51256775329784</c:v>
                </c:pt>
                <c:pt idx="5">
                  <c:v>137.55955841173852</c:v>
                </c:pt>
                <c:pt idx="6">
                  <c:v>138.6122202695791</c:v>
                </c:pt>
                <c:pt idx="7">
                  <c:v>139.67058404581627</c:v>
                </c:pt>
                <c:pt idx="8">
                  <c:v>140.73468062584143</c:v>
                </c:pt>
                <c:pt idx="9">
                  <c:v>141.80454106234171</c:v>
                </c:pt>
                <c:pt idx="10">
                  <c:v>142.88019657620637</c:v>
                </c:pt>
                <c:pt idx="11">
                  <c:v>143.96167855743781</c:v>
                </c:pt>
              </c:numCache>
            </c:numRef>
          </c:val>
          <c:extLst>
            <c:ext xmlns:c14="http://schemas.microsoft.com/office/drawing/2007/8/2/chart" uri="{6F2FDCE9-48DA-4B69-8628-5D25D57E5C99}">
              <c14:invertSolidFillFmt>
                <c14:spPr xmlns:c14="http://schemas.microsoft.com/office/drawing/2007/8/2/chart">
                  <a:solidFill>
                    <a:srgbClr val="FF0000"/>
                  </a:solidFill>
                </c14:spPr>
              </c14:invertSolidFillFmt>
            </c:ext>
            <c:ext xmlns:c16="http://schemas.microsoft.com/office/drawing/2014/chart" uri="{C3380CC4-5D6E-409C-BE32-E72D297353CC}">
              <c16:uniqueId val="{00000000-A6D4-4446-BE08-51796FA8992B}"/>
            </c:ext>
          </c:extLst>
        </c:ser>
        <c:dLbls>
          <c:showLegendKey val="0"/>
          <c:showVal val="0"/>
          <c:showCatName val="0"/>
          <c:showSerName val="0"/>
          <c:showPercent val="0"/>
          <c:showBubbleSize val="0"/>
        </c:dLbls>
        <c:gapWidth val="150"/>
        <c:axId val="102404480"/>
        <c:axId val="102406016"/>
      </c:barChart>
      <c:dateAx>
        <c:axId val="102404480"/>
        <c:scaling>
          <c:orientation val="minMax"/>
        </c:scaling>
        <c:delete val="0"/>
        <c:axPos val="b"/>
        <c:numFmt formatCode="mmm" sourceLinked="1"/>
        <c:majorTickMark val="out"/>
        <c:minorTickMark val="none"/>
        <c:tickLblPos val="nextTo"/>
        <c:crossAx val="102406016"/>
        <c:crosses val="autoZero"/>
        <c:auto val="1"/>
        <c:lblOffset val="100"/>
        <c:baseTimeUnit val="months"/>
      </c:dateAx>
      <c:valAx>
        <c:axId val="102406016"/>
        <c:scaling>
          <c:orientation val="minMax"/>
        </c:scaling>
        <c:delete val="0"/>
        <c:axPos val="l"/>
        <c:majorGridlines/>
        <c:numFmt formatCode="_(&quot;$&quot;* #,##0_);_(&quot;$&quot;* \(#,##0\);_(&quot;$&quot;* &quot;-&quot;??_);_(@_)" sourceLinked="1"/>
        <c:majorTickMark val="out"/>
        <c:minorTickMark val="none"/>
        <c:tickLblPos val="nextTo"/>
        <c:crossAx val="102404480"/>
        <c:crosses val="autoZero"/>
        <c:crossBetween val="between"/>
      </c:valAx>
    </c:plotArea>
    <c:plotVisOnly val="1"/>
    <c:dispBlanksAs val="gap"/>
    <c:showDLblsOverMax val="0"/>
  </c:chart>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Annual Net Profit</a:t>
            </a:r>
          </a:p>
        </c:rich>
      </c:tx>
      <c:overlay val="0"/>
    </c:title>
    <c:autoTitleDeleted val="0"/>
    <c:plotArea>
      <c:layout/>
      <c:barChart>
        <c:barDir val="col"/>
        <c:grouping val="clustered"/>
        <c:varyColors val="0"/>
        <c:ser>
          <c:idx val="1"/>
          <c:order val="0"/>
          <c:tx>
            <c:v>Annual Profit and Loss</c:v>
          </c:tx>
          <c:spPr>
            <a:solidFill>
              <a:srgbClr val="4F6228"/>
            </a:solidFill>
          </c:spPr>
          <c:invertIfNegative val="1"/>
          <c:cat>
            <c:numRef>
              <c:f>('1. Sales Forecast'!$C$54,'1. Sales Forecast'!$D$54,'1. Sales Forecast'!$E$54,'1. Sales Forecast'!$F$54,'1. Sales Forecast'!$G$54)</c:f>
              <c:numCache>
                <c:formatCode>General</c:formatCode>
                <c:ptCount val="5"/>
                <c:pt idx="0">
                  <c:v>2016</c:v>
                </c:pt>
                <c:pt idx="1">
                  <c:v>2017</c:v>
                </c:pt>
                <c:pt idx="2">
                  <c:v>2018</c:v>
                </c:pt>
                <c:pt idx="3">
                  <c:v>2019</c:v>
                </c:pt>
                <c:pt idx="4">
                  <c:v>2020</c:v>
                </c:pt>
              </c:numCache>
            </c:numRef>
          </c:cat>
          <c:val>
            <c:numRef>
              <c:f>('8. P&amp;L and Cashflow'!$P$3,'8. P&amp;L and Cashflow'!$AC$3,'8. P&amp;L and Cashflow'!$AD$3,'8. P&amp;L and Cashflow'!$AE$3,'8. P&amp;L and Cashflow'!$AF$3)</c:f>
              <c:numCache>
                <c:formatCode>_("$"* #,##0_);_("$"* \(#,##0\);_("$"* "-"??_);_(@_)</c:formatCode>
                <c:ptCount val="5"/>
                <c:pt idx="0">
                  <c:v>678.35287668761396</c:v>
                </c:pt>
                <c:pt idx="1">
                  <c:v>3969.1797012149314</c:v>
                </c:pt>
                <c:pt idx="2">
                  <c:v>6771.7989257317786</c:v>
                </c:pt>
                <c:pt idx="3">
                  <c:v>9747.2156047619119</c:v>
                </c:pt>
                <c:pt idx="4">
                  <c:v>12971.34507976191</c:v>
                </c:pt>
              </c:numCache>
            </c:numRef>
          </c:val>
          <c:extLst>
            <c:ext xmlns:c14="http://schemas.microsoft.com/office/drawing/2007/8/2/chart" uri="{6F2FDCE9-48DA-4B69-8628-5D25D57E5C99}">
              <c14:invertSolidFillFmt>
                <c14:spPr xmlns:c14="http://schemas.microsoft.com/office/drawing/2007/8/2/chart">
                  <a:solidFill>
                    <a:srgbClr val="FF0000"/>
                  </a:solidFill>
                </c14:spPr>
              </c14:invertSolidFillFmt>
            </c:ext>
            <c:ext xmlns:c16="http://schemas.microsoft.com/office/drawing/2014/chart" uri="{C3380CC4-5D6E-409C-BE32-E72D297353CC}">
              <c16:uniqueId val="{00000000-071C-4228-9FE6-B4FCECCF0B40}"/>
            </c:ext>
          </c:extLst>
        </c:ser>
        <c:dLbls>
          <c:showLegendKey val="0"/>
          <c:showVal val="0"/>
          <c:showCatName val="0"/>
          <c:showSerName val="0"/>
          <c:showPercent val="0"/>
          <c:showBubbleSize val="0"/>
        </c:dLbls>
        <c:gapWidth val="150"/>
        <c:axId val="102430208"/>
        <c:axId val="102431744"/>
      </c:barChart>
      <c:catAx>
        <c:axId val="102430208"/>
        <c:scaling>
          <c:orientation val="minMax"/>
        </c:scaling>
        <c:delete val="0"/>
        <c:axPos val="b"/>
        <c:numFmt formatCode="General" sourceLinked="1"/>
        <c:majorTickMark val="out"/>
        <c:minorTickMark val="none"/>
        <c:tickLblPos val="nextTo"/>
        <c:crossAx val="102431744"/>
        <c:crosses val="autoZero"/>
        <c:auto val="1"/>
        <c:lblAlgn val="ctr"/>
        <c:lblOffset val="100"/>
        <c:noMultiLvlLbl val="0"/>
      </c:catAx>
      <c:valAx>
        <c:axId val="102431744"/>
        <c:scaling>
          <c:orientation val="minMax"/>
        </c:scaling>
        <c:delete val="0"/>
        <c:axPos val="l"/>
        <c:majorGridlines/>
        <c:numFmt formatCode="_(&quot;$&quot;* #,##0_);_(&quot;$&quot;* \(#,##0\);_(&quot;$&quot;* &quot;-&quot;??_);_(@_)" sourceLinked="1"/>
        <c:majorTickMark val="out"/>
        <c:minorTickMark val="none"/>
        <c:tickLblPos val="nextTo"/>
        <c:crossAx val="10243020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476250</xdr:colOff>
          <xdr:row>2</xdr:row>
          <xdr:rowOff>0</xdr:rowOff>
        </xdr:from>
        <xdr:to>
          <xdr:col>6</xdr:col>
          <xdr:colOff>723900</xdr:colOff>
          <xdr:row>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1295400</xdr:colOff>
      <xdr:row>0</xdr:row>
      <xdr:rowOff>38100</xdr:rowOff>
    </xdr:from>
    <xdr:ext cx="3047501" cy="264560"/>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95400" y="38100"/>
          <a:ext cx="3047501" cy="264560"/>
        </a:xfrm>
        <a:prstGeom prst="rect">
          <a:avLst/>
        </a:prstGeom>
        <a:solidFill>
          <a:srgbClr val="FFFF00"/>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IMPORTANT:</a:t>
          </a:r>
          <a:r>
            <a:rPr lang="en-US" sz="1100"/>
            <a:t> Only Change </a:t>
          </a:r>
          <a:r>
            <a:rPr lang="en-US" sz="1100" b="1">
              <a:solidFill>
                <a:srgbClr val="0000FF"/>
              </a:solidFill>
            </a:rPr>
            <a:t>BLUE</a:t>
          </a:r>
          <a:r>
            <a:rPr lang="en-US" sz="1100"/>
            <a:t> text boxes below</a:t>
          </a:r>
        </a:p>
      </xdr:txBody>
    </xdr:sp>
    <xdr:clientData fPrintsWithSheet="0"/>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723900</xdr:colOff>
          <xdr:row>0</xdr:row>
          <xdr:rowOff>95250</xdr:rowOff>
        </xdr:from>
        <xdr:to>
          <xdr:col>3</xdr:col>
          <xdr:colOff>1590675</xdr:colOff>
          <xdr:row>2</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xdr:row>
          <xdr:rowOff>19050</xdr:rowOff>
        </xdr:from>
        <xdr:to>
          <xdr:col>1</xdr:col>
          <xdr:colOff>552450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133350</xdr:rowOff>
        </xdr:from>
        <xdr:to>
          <xdr:col>0</xdr:col>
          <xdr:colOff>1009650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22860</xdr:colOff>
      <xdr:row>36</xdr:row>
      <xdr:rowOff>7620</xdr:rowOff>
    </xdr:from>
    <xdr:to>
      <xdr:col>12</xdr:col>
      <xdr:colOff>0</xdr:colOff>
      <xdr:row>60</xdr:row>
      <xdr:rowOff>45720</xdr:rowOff>
    </xdr:to>
    <xdr:graphicFrame macro="">
      <xdr:nvGraphicFramePr>
        <xdr:cNvPr id="1025" name="Chart 1">
          <a:extLst>
            <a:ext uri="{FF2B5EF4-FFF2-40B4-BE49-F238E27FC236}">
              <a16:creationId xmlns:a16="http://schemas.microsoft.com/office/drawing/2014/main" id="{00000000-0008-0000-0700-00000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9</xdr:col>
          <xdr:colOff>457200</xdr:colOff>
          <xdr:row>0</xdr:row>
          <xdr:rowOff>57150</xdr:rowOff>
        </xdr:from>
        <xdr:to>
          <xdr:col>11</xdr:col>
          <xdr:colOff>257175</xdr:colOff>
          <xdr:row>3</xdr:row>
          <xdr:rowOff>76200</xdr:rowOff>
        </xdr:to>
        <xdr:sp macro="" textlink="">
          <xdr:nvSpPr>
            <xdr:cNvPr id="2" name="Button 1" hidden="1">
              <a:extLst>
                <a:ext uri="{63B3BB69-23CF-44E3-9099-C40C66FF867C}">
                  <a14:compatExt spid="_x0000_s1025"/>
                </a:ext>
                <a:ext uri="{FF2B5EF4-FFF2-40B4-BE49-F238E27FC236}">
                  <a16:creationId xmlns:a16="http://schemas.microsoft.com/office/drawing/2014/main" id="{00000000-0008-0000-07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38100</xdr:colOff>
          <xdr:row>1</xdr:row>
          <xdr:rowOff>104775</xdr:rowOff>
        </xdr:from>
        <xdr:to>
          <xdr:col>6</xdr:col>
          <xdr:colOff>285750</xdr:colOff>
          <xdr:row>3</xdr:row>
          <xdr:rowOff>95250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0</xdr:col>
      <xdr:colOff>53010</xdr:colOff>
      <xdr:row>1</xdr:row>
      <xdr:rowOff>28489</xdr:rowOff>
    </xdr:from>
    <xdr:to>
      <xdr:col>1</xdr:col>
      <xdr:colOff>278296</xdr:colOff>
      <xdr:row>4</xdr:row>
      <xdr:rowOff>4458</xdr:rowOff>
    </xdr:to>
    <xdr:sp macro="[0]!printpl" textlink="">
      <xdr:nvSpPr>
        <xdr:cNvPr id="2" name="TextBox 1">
          <a:extLst>
            <a:ext uri="{FF2B5EF4-FFF2-40B4-BE49-F238E27FC236}">
              <a16:creationId xmlns:a16="http://schemas.microsoft.com/office/drawing/2014/main" id="{00000000-0008-0000-0900-000002000000}"/>
            </a:ext>
          </a:extLst>
        </xdr:cNvPr>
        <xdr:cNvSpPr txBox="1"/>
      </xdr:nvSpPr>
      <xdr:spPr>
        <a:xfrm>
          <a:off x="53010" y="187515"/>
          <a:ext cx="616225" cy="468465"/>
        </a:xfrm>
        <a:prstGeom prst="rect">
          <a:avLst/>
        </a:prstGeom>
        <a:solidFill>
          <a:schemeClr val="tx2">
            <a:lumMod val="40000"/>
            <a:lumOff val="60000"/>
          </a:schemeClr>
        </a:solidFill>
        <a:ln w="31750" cmpd="sng">
          <a:solidFill>
            <a:schemeClr val="accent6">
              <a:lumMod val="7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rgbClr val="FFFF00"/>
              </a:solidFill>
            </a:rPr>
            <a:t>Print</a:t>
          </a:r>
          <a:br>
            <a:rPr lang="en-US" sz="1000" b="1">
              <a:solidFill>
                <a:srgbClr val="FFFF00"/>
              </a:solidFill>
            </a:rPr>
          </a:br>
          <a:r>
            <a:rPr lang="en-US" sz="1000" b="1">
              <a:solidFill>
                <a:srgbClr val="FFFF00"/>
              </a:solidFill>
            </a:rPr>
            <a:t>P&amp;L</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0</xdr:col>
      <xdr:colOff>114300</xdr:colOff>
      <xdr:row>1</xdr:row>
      <xdr:rowOff>22860</xdr:rowOff>
    </xdr:from>
    <xdr:to>
      <xdr:col>10</xdr:col>
      <xdr:colOff>358140</xdr:colOff>
      <xdr:row>24</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129540</xdr:colOff>
      <xdr:row>27</xdr:row>
      <xdr:rowOff>106680</xdr:rowOff>
    </xdr:from>
    <xdr:to>
      <xdr:col>10</xdr:col>
      <xdr:colOff>388620</xdr:colOff>
      <xdr:row>53</xdr:row>
      <xdr:rowOff>99060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91440</xdr:colOff>
      <xdr:row>54</xdr:row>
      <xdr:rowOff>38100</xdr:rowOff>
    </xdr:from>
    <xdr:to>
      <xdr:col>10</xdr:col>
      <xdr:colOff>358140</xdr:colOff>
      <xdr:row>70</xdr:row>
      <xdr:rowOff>99060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30</xdr:row>
      <xdr:rowOff>0</xdr:rowOff>
    </xdr:from>
    <xdr:to>
      <xdr:col>19</xdr:col>
      <xdr:colOff>304800</xdr:colOff>
      <xdr:row>46</xdr:row>
      <xdr:rowOff>60960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30480</xdr:colOff>
      <xdr:row>0</xdr:row>
      <xdr:rowOff>76200</xdr:rowOff>
    </xdr:from>
    <xdr:to>
      <xdr:col>5</xdr:col>
      <xdr:colOff>175260</xdr:colOff>
      <xdr:row>16</xdr:row>
      <xdr:rowOff>22860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586740</xdr:colOff>
      <xdr:row>1</xdr:row>
      <xdr:rowOff>53340</xdr:rowOff>
    </xdr:from>
    <xdr:to>
      <xdr:col>9</xdr:col>
      <xdr:colOff>708660</xdr:colOff>
      <xdr:row>18</xdr:row>
      <xdr:rowOff>76200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4</xdr:col>
      <xdr:colOff>220980</xdr:colOff>
      <xdr:row>0</xdr:row>
      <xdr:rowOff>22860</xdr:rowOff>
    </xdr:from>
    <xdr:to>
      <xdr:col>5</xdr:col>
      <xdr:colOff>335280</xdr:colOff>
      <xdr:row>6</xdr:row>
      <xdr:rowOff>137160</xdr:rowOff>
    </xdr:to>
    <xdr:sp macro="[0]!printpl" textlink="">
      <xdr:nvSpPr>
        <xdr:cNvPr id="2" name="TextBox 1">
          <a:extLst>
            <a:ext uri="{FF2B5EF4-FFF2-40B4-BE49-F238E27FC236}">
              <a16:creationId xmlns:a16="http://schemas.microsoft.com/office/drawing/2014/main" id="{00000000-0008-0000-0C00-000002000000}"/>
            </a:ext>
          </a:extLst>
        </xdr:cNvPr>
        <xdr:cNvSpPr txBox="1"/>
      </xdr:nvSpPr>
      <xdr:spPr>
        <a:xfrm>
          <a:off x="4838700" y="22860"/>
          <a:ext cx="853440" cy="449580"/>
        </a:xfrm>
        <a:prstGeom prst="rect">
          <a:avLst/>
        </a:prstGeom>
        <a:solidFill>
          <a:schemeClr val="accent1">
            <a:lumMod val="40000"/>
            <a:lumOff val="60000"/>
          </a:schemeClr>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t"/>
        <a:lstStyle/>
        <a:p>
          <a:pPr algn="ctr"/>
          <a:r>
            <a:rPr lang="en-US" sz="1100"/>
            <a:t>Print</a:t>
          </a:r>
          <a:r>
            <a:rPr lang="en-US" sz="1100" baseline="0"/>
            <a:t> Balance Sheet</a:t>
          </a:r>
          <a:endParaRPr 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sian%20Market\Financials\Asian%20International%20Market%20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Versions"/>
      <sheetName val="Notes"/>
      <sheetName val="P&amp;L"/>
      <sheetName val="Cash Flow"/>
      <sheetName val="Balance"/>
      <sheetName val="Sources Uses"/>
      <sheetName val="Personnel"/>
      <sheetName val="Sales Forecast"/>
      <sheetName val="Equipment List"/>
      <sheetName val="Facility"/>
      <sheetName val="Financials"/>
      <sheetName val="Break-even"/>
      <sheetName val="Market"/>
      <sheetName val="Assumptions"/>
      <sheetName val="Start-up"/>
      <sheetName val="Funding"/>
      <sheetName val="Loan Assumptions"/>
      <sheetName val="Past"/>
      <sheetName val="Sources and Uses"/>
      <sheetName val="Inventory Detail"/>
      <sheetName val="Payment Detail"/>
      <sheetName val="Receivables Detail"/>
      <sheetName val="Milestones"/>
      <sheetName val="Long term"/>
      <sheetName val="Investment Analysis"/>
      <sheetName val="Use of Funds"/>
      <sheetName val="Payback"/>
      <sheetName val="Investment Offering"/>
      <sheetName val="Benchmarks"/>
      <sheetName val="Ratios"/>
      <sheetName val="Personal Net Worth"/>
      <sheetName val="Personal Net Worth (2)"/>
      <sheetName val="Logistics"/>
      <sheetName val="userdefinedinfo"/>
    </sheetNames>
    <sheetDataSet>
      <sheetData sheetId="0"/>
      <sheetData sheetId="1"/>
      <sheetData sheetId="2"/>
      <sheetData sheetId="3">
        <row r="36">
          <cell r="A36" t="str">
            <v>Depreciation</v>
          </cell>
          <cell r="B36">
            <v>15</v>
          </cell>
          <cell r="C36">
            <v>1025</v>
          </cell>
          <cell r="D36">
            <v>1025</v>
          </cell>
          <cell r="E36">
            <v>1025</v>
          </cell>
          <cell r="F36">
            <v>1025</v>
          </cell>
          <cell r="G36">
            <v>1025</v>
          </cell>
          <cell r="H36">
            <v>1025</v>
          </cell>
          <cell r="I36">
            <v>1025</v>
          </cell>
          <cell r="J36">
            <v>1025</v>
          </cell>
          <cell r="K36">
            <v>1025</v>
          </cell>
          <cell r="L36">
            <v>1025</v>
          </cell>
          <cell r="M36">
            <v>1025</v>
          </cell>
          <cell r="N36">
            <v>1025</v>
          </cell>
          <cell r="O36">
            <v>12300</v>
          </cell>
          <cell r="P36">
            <v>15</v>
          </cell>
          <cell r="Q36">
            <v>1025</v>
          </cell>
          <cell r="R36">
            <v>1025</v>
          </cell>
          <cell r="S36">
            <v>1025</v>
          </cell>
          <cell r="T36">
            <v>1025</v>
          </cell>
          <cell r="U36">
            <v>1025</v>
          </cell>
          <cell r="V36">
            <v>1025</v>
          </cell>
          <cell r="W36">
            <v>1025</v>
          </cell>
          <cell r="X36">
            <v>1025</v>
          </cell>
          <cell r="Y36">
            <v>1025</v>
          </cell>
          <cell r="Z36">
            <v>1025</v>
          </cell>
          <cell r="AA36">
            <v>1025</v>
          </cell>
          <cell r="AB36">
            <v>1025</v>
          </cell>
          <cell r="AC36">
            <v>12300</v>
          </cell>
          <cell r="AD36">
            <v>0</v>
          </cell>
          <cell r="AE36">
            <v>12300</v>
          </cell>
          <cell r="AF36">
            <v>12300</v>
          </cell>
          <cell r="AG36">
            <v>12300</v>
          </cell>
        </row>
        <row r="94">
          <cell r="A94" t="str">
            <v>Net Profit</v>
          </cell>
          <cell r="C94">
            <v>2904.7351666666673</v>
          </cell>
          <cell r="D94">
            <v>-2177.73305975515</v>
          </cell>
          <cell r="E94">
            <v>-2629.3722903673206</v>
          </cell>
          <cell r="F94">
            <v>-3174.7206586078901</v>
          </cell>
          <cell r="G94">
            <v>-2536.7842856322368</v>
          </cell>
          <cell r="H94">
            <v>-3081.545280230288</v>
          </cell>
          <cell r="I94">
            <v>-2443.0177387441126</v>
          </cell>
          <cell r="J94">
            <v>-2474.8544116506673</v>
          </cell>
          <cell r="K94">
            <v>-3082.0533701447584</v>
          </cell>
          <cell r="L94">
            <v>-2521.7913393877498</v>
          </cell>
          <cell r="M94">
            <v>-3144.2170317554355</v>
          </cell>
          <cell r="N94">
            <v>-2567.5111467527222</v>
          </cell>
          <cell r="O94">
            <v>-26928.865446361669</v>
          </cell>
          <cell r="Q94">
            <v>11480.008295739844</v>
          </cell>
          <cell r="R94">
            <v>8971.2230822108431</v>
          </cell>
          <cell r="S94">
            <v>11576.287434682126</v>
          </cell>
          <cell r="T94">
            <v>10985.69433494296</v>
          </cell>
          <cell r="U94">
            <v>11673.796777877571</v>
          </cell>
          <cell r="V94">
            <v>11083.82477155334</v>
          </cell>
          <cell r="W94">
            <v>11769.653802984274</v>
          </cell>
          <cell r="X94">
            <v>11816.210318081487</v>
          </cell>
          <cell r="Y94">
            <v>11223.499624641569</v>
          </cell>
          <cell r="Z94">
            <v>11909.10596473232</v>
          </cell>
          <cell r="AA94">
            <v>11316.262515918062</v>
          </cell>
          <cell r="AB94">
            <v>12001.746392465173</v>
          </cell>
          <cell r="AC94">
            <v>135807.31331582958</v>
          </cell>
          <cell r="AD94">
            <v>2131.3822382151548</v>
          </cell>
          <cell r="AE94">
            <v>131516.59288787126</v>
          </cell>
          <cell r="AF94">
            <v>170069.05974528193</v>
          </cell>
          <cell r="AG94">
            <v>211575.47363304309</v>
          </cell>
        </row>
      </sheetData>
      <sheetData sheetId="4">
        <row r="13">
          <cell r="A13" t="str">
            <v>Sales Tax, VAT, HST/GST Received</v>
          </cell>
          <cell r="B13">
            <v>5.6000000000000001E-2</v>
          </cell>
          <cell r="C13">
            <v>2956.8</v>
          </cell>
          <cell r="D13">
            <v>2464</v>
          </cell>
          <cell r="E13">
            <v>2464.0000000000005</v>
          </cell>
          <cell r="F13">
            <v>2408</v>
          </cell>
          <cell r="G13">
            <v>2464.0000000000005</v>
          </cell>
          <cell r="H13">
            <v>2408</v>
          </cell>
          <cell r="I13">
            <v>2464.0000000000005</v>
          </cell>
          <cell r="J13">
            <v>2464.0000000000005</v>
          </cell>
          <cell r="K13">
            <v>2408</v>
          </cell>
          <cell r="L13">
            <v>2464.0000000000005</v>
          </cell>
          <cell r="M13">
            <v>2408</v>
          </cell>
          <cell r="N13">
            <v>2464.0000000000005</v>
          </cell>
          <cell r="O13">
            <v>29836.800000000003</v>
          </cell>
          <cell r="Q13">
            <v>2956.8</v>
          </cell>
          <cell r="R13">
            <v>2688</v>
          </cell>
          <cell r="S13">
            <v>2956.8</v>
          </cell>
          <cell r="T13">
            <v>2889.6</v>
          </cell>
          <cell r="U13">
            <v>2956.8</v>
          </cell>
          <cell r="V13">
            <v>2889.6</v>
          </cell>
          <cell r="W13">
            <v>2956.8</v>
          </cell>
          <cell r="X13">
            <v>2956.8</v>
          </cell>
          <cell r="Y13">
            <v>2889.6</v>
          </cell>
          <cell r="Z13">
            <v>2956.8</v>
          </cell>
          <cell r="AA13">
            <v>2889.6</v>
          </cell>
          <cell r="AB13">
            <v>2956.8</v>
          </cell>
          <cell r="AC13">
            <v>34943.999999999993</v>
          </cell>
          <cell r="AD13">
            <v>0</v>
          </cell>
          <cell r="AE13">
            <v>40185.599999999999</v>
          </cell>
          <cell r="AF13">
            <v>44204.160000000003</v>
          </cell>
          <cell r="AG13">
            <v>48624.576000000008</v>
          </cell>
        </row>
        <row r="14">
          <cell r="A14" t="str">
            <v>New Current Borrowing</v>
          </cell>
          <cell r="C14">
            <v>0</v>
          </cell>
          <cell r="D14">
            <v>0</v>
          </cell>
          <cell r="E14">
            <v>0</v>
          </cell>
          <cell r="F14">
            <v>0</v>
          </cell>
          <cell r="G14">
            <v>0</v>
          </cell>
          <cell r="H14">
            <v>0</v>
          </cell>
          <cell r="I14">
            <v>0</v>
          </cell>
          <cell r="J14">
            <v>10000</v>
          </cell>
          <cell r="K14">
            <v>8000</v>
          </cell>
          <cell r="L14">
            <v>10000</v>
          </cell>
          <cell r="M14">
            <v>10000</v>
          </cell>
          <cell r="N14">
            <v>8000</v>
          </cell>
          <cell r="O14">
            <v>46000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A15" t="str">
            <v>New Other Liabilities (interest-free)</v>
          </cell>
          <cell r="C15">
            <v>0</v>
          </cell>
          <cell r="D15">
            <v>0</v>
          </cell>
          <cell r="E15">
            <v>0</v>
          </cell>
          <cell r="F15">
            <v>0</v>
          </cell>
          <cell r="G15">
            <v>0</v>
          </cell>
          <cell r="H15">
            <v>0</v>
          </cell>
          <cell r="I15">
            <v>0</v>
          </cell>
          <cell r="J15">
            <v>0</v>
          </cell>
          <cell r="K15">
            <v>0</v>
          </cell>
          <cell r="L15">
            <v>0</v>
          </cell>
          <cell r="M15">
            <v>0</v>
          </cell>
          <cell r="N15">
            <v>0</v>
          </cell>
          <cell r="O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row>
        <row r="16">
          <cell r="A16" t="str">
            <v>New Long-term Liabilities</v>
          </cell>
          <cell r="B16"/>
          <cell r="C16">
            <v>0</v>
          </cell>
          <cell r="D16">
            <v>0</v>
          </cell>
          <cell r="E16">
            <v>0</v>
          </cell>
          <cell r="F16">
            <v>0</v>
          </cell>
          <cell r="G16">
            <v>0</v>
          </cell>
          <cell r="H16">
            <v>0</v>
          </cell>
          <cell r="I16">
            <v>0</v>
          </cell>
          <cell r="J16">
            <v>0</v>
          </cell>
          <cell r="K16">
            <v>0</v>
          </cell>
          <cell r="L16">
            <v>0</v>
          </cell>
          <cell r="M16">
            <v>0</v>
          </cell>
          <cell r="N16">
            <v>0</v>
          </cell>
          <cell r="O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row>
        <row r="17">
          <cell r="A17" t="str">
            <v>Sales of Other Current Assets</v>
          </cell>
          <cell r="B17"/>
          <cell r="C17">
            <v>0</v>
          </cell>
          <cell r="D17">
            <v>0</v>
          </cell>
          <cell r="E17">
            <v>0</v>
          </cell>
          <cell r="F17">
            <v>0</v>
          </cell>
          <cell r="G17">
            <v>0</v>
          </cell>
          <cell r="H17">
            <v>0</v>
          </cell>
          <cell r="I17">
            <v>0</v>
          </cell>
          <cell r="J17">
            <v>0</v>
          </cell>
          <cell r="K17">
            <v>0</v>
          </cell>
          <cell r="L17">
            <v>0</v>
          </cell>
          <cell r="M17">
            <v>0</v>
          </cell>
          <cell r="N17">
            <v>0</v>
          </cell>
          <cell r="O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A18" t="str">
            <v>Sales of Long-term Assets</v>
          </cell>
          <cell r="B18"/>
          <cell r="C18">
            <v>0</v>
          </cell>
          <cell r="D18">
            <v>0</v>
          </cell>
          <cell r="E18">
            <v>0</v>
          </cell>
          <cell r="F18">
            <v>0</v>
          </cell>
          <cell r="G18">
            <v>0</v>
          </cell>
          <cell r="H18">
            <v>0</v>
          </cell>
          <cell r="I18">
            <v>0</v>
          </cell>
          <cell r="J18">
            <v>0</v>
          </cell>
          <cell r="K18">
            <v>0</v>
          </cell>
          <cell r="L18">
            <v>0</v>
          </cell>
          <cell r="M18">
            <v>0</v>
          </cell>
          <cell r="N18">
            <v>0</v>
          </cell>
          <cell r="O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row>
        <row r="19">
          <cell r="A19" t="str">
            <v>New Investment Received</v>
          </cell>
          <cell r="B19"/>
          <cell r="C19">
            <v>0</v>
          </cell>
          <cell r="D19">
            <v>0</v>
          </cell>
          <cell r="E19">
            <v>0</v>
          </cell>
          <cell r="F19">
            <v>0</v>
          </cell>
          <cell r="G19">
            <v>2000</v>
          </cell>
          <cell r="H19">
            <v>0</v>
          </cell>
          <cell r="I19">
            <v>0</v>
          </cell>
          <cell r="J19">
            <v>0</v>
          </cell>
          <cell r="K19">
            <v>0</v>
          </cell>
          <cell r="L19">
            <v>0</v>
          </cell>
          <cell r="M19">
            <v>0</v>
          </cell>
          <cell r="N19">
            <v>0</v>
          </cell>
          <cell r="O19">
            <v>2000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row>
        <row r="31">
          <cell r="A31" t="str">
            <v>Sales Tax, VAT, HST/GST Paid Out</v>
          </cell>
          <cell r="C31">
            <v>2956.8</v>
          </cell>
          <cell r="D31">
            <v>2464</v>
          </cell>
          <cell r="E31">
            <v>2464.0000000000005</v>
          </cell>
          <cell r="F31">
            <v>2408</v>
          </cell>
          <cell r="G31">
            <v>2464.0000000000005</v>
          </cell>
          <cell r="H31">
            <v>2408</v>
          </cell>
          <cell r="I31">
            <v>2464.0000000000005</v>
          </cell>
          <cell r="J31">
            <v>2464.0000000000005</v>
          </cell>
          <cell r="K31">
            <v>2408</v>
          </cell>
          <cell r="L31">
            <v>2464.0000000000005</v>
          </cell>
          <cell r="M31">
            <v>2408</v>
          </cell>
          <cell r="N31">
            <v>2464.0000000000005</v>
          </cell>
          <cell r="O31">
            <v>29836.800000000003</v>
          </cell>
          <cell r="Q31">
            <v>2956.8</v>
          </cell>
          <cell r="R31">
            <v>2688</v>
          </cell>
          <cell r="S31">
            <v>2956.8</v>
          </cell>
          <cell r="T31">
            <v>2889.6</v>
          </cell>
          <cell r="U31">
            <v>2956.8</v>
          </cell>
          <cell r="V31">
            <v>2889.6</v>
          </cell>
          <cell r="W31">
            <v>2956.8</v>
          </cell>
          <cell r="X31">
            <v>2956.8</v>
          </cell>
          <cell r="Y31">
            <v>2889.6</v>
          </cell>
          <cell r="Z31">
            <v>2956.8</v>
          </cell>
          <cell r="AA31">
            <v>2889.6</v>
          </cell>
          <cell r="AB31">
            <v>2956.8</v>
          </cell>
          <cell r="AC31">
            <v>34943.999999999993</v>
          </cell>
          <cell r="AD31">
            <v>0</v>
          </cell>
          <cell r="AE31">
            <v>40185.599999999999</v>
          </cell>
          <cell r="AF31">
            <v>44204.160000000003</v>
          </cell>
          <cell r="AG31">
            <v>48624.576000000008</v>
          </cell>
        </row>
        <row r="32">
          <cell r="A32" t="str">
            <v>Principal Repayment of Current Borrowing</v>
          </cell>
          <cell r="C32">
            <v>0</v>
          </cell>
          <cell r="D32">
            <v>0</v>
          </cell>
          <cell r="E32">
            <v>0</v>
          </cell>
          <cell r="F32">
            <v>0</v>
          </cell>
          <cell r="G32">
            <v>0</v>
          </cell>
          <cell r="H32">
            <v>0</v>
          </cell>
          <cell r="I32">
            <v>0</v>
          </cell>
          <cell r="J32">
            <v>0</v>
          </cell>
          <cell r="K32">
            <v>0</v>
          </cell>
          <cell r="L32">
            <v>0</v>
          </cell>
          <cell r="M32">
            <v>0</v>
          </cell>
          <cell r="N32">
            <v>0</v>
          </cell>
          <cell r="O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row>
        <row r="33">
          <cell r="A33" t="str">
            <v>Other Liabilities Principal Repayment</v>
          </cell>
          <cell r="C33">
            <v>0</v>
          </cell>
          <cell r="D33">
            <v>0</v>
          </cell>
          <cell r="E33">
            <v>0</v>
          </cell>
          <cell r="F33">
            <v>0</v>
          </cell>
          <cell r="G33">
            <v>0</v>
          </cell>
          <cell r="H33">
            <v>0</v>
          </cell>
          <cell r="I33">
            <v>0</v>
          </cell>
          <cell r="J33">
            <v>0</v>
          </cell>
          <cell r="K33">
            <v>0</v>
          </cell>
          <cell r="L33">
            <v>0</v>
          </cell>
          <cell r="M33">
            <v>0</v>
          </cell>
          <cell r="N33">
            <v>0</v>
          </cell>
          <cell r="O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row>
        <row r="34">
          <cell r="A34" t="str">
            <v>Long-term Liabilities Principal Repayment</v>
          </cell>
          <cell r="C34">
            <v>7309.4320073532317</v>
          </cell>
          <cell r="D34">
            <v>7354.9997809314063</v>
          </cell>
          <cell r="E34">
            <v>7400.856550319264</v>
          </cell>
          <cell r="F34">
            <v>7447.0041820786646</v>
          </cell>
          <cell r="G34">
            <v>7493.4445550543478</v>
          </cell>
          <cell r="H34">
            <v>7540.1795604562676</v>
          </cell>
          <cell r="I34">
            <v>7587.2111019424729</v>
          </cell>
          <cell r="J34">
            <v>7634.5410957025842</v>
          </cell>
          <cell r="K34">
            <v>7682.171470541798</v>
          </cell>
          <cell r="L34">
            <v>7730.1041679655027</v>
          </cell>
          <cell r="M34">
            <v>7778.3411422644531</v>
          </cell>
          <cell r="N34">
            <v>7826.8843606005285</v>
          </cell>
          <cell r="O34">
            <v>90785.169975210505</v>
          </cell>
          <cell r="Q34">
            <v>7668.4052133685946</v>
          </cell>
          <cell r="R34">
            <v>7716.3919998395886</v>
          </cell>
          <cell r="S34">
            <v>7764.6843523108773</v>
          </cell>
          <cell r="T34">
            <v>7813.2842525717069</v>
          </cell>
          <cell r="U34">
            <v>7862.1936955063229</v>
          </cell>
          <cell r="V34">
            <v>7524.9434458244887</v>
          </cell>
          <cell r="W34">
            <v>7521.7949296512061</v>
          </cell>
          <cell r="X34">
            <v>7519.3966396042661</v>
          </cell>
          <cell r="Y34">
            <v>7517.7400544392622</v>
          </cell>
          <cell r="Z34">
            <v>7516.8168176670206</v>
          </cell>
          <cell r="AA34">
            <v>7516.6187349374777</v>
          </cell>
          <cell r="AB34">
            <v>7517.1377714679002</v>
          </cell>
          <cell r="AC34">
            <v>91459.40790718871</v>
          </cell>
          <cell r="AD34">
            <v>0</v>
          </cell>
          <cell r="AE34">
            <v>87372.729858914885</v>
          </cell>
          <cell r="AF34">
            <v>88113.310001424936</v>
          </cell>
          <cell r="AG34">
            <v>90425.031625607036</v>
          </cell>
        </row>
        <row r="35">
          <cell r="A35" t="str">
            <v>Purchase Other Current Assets</v>
          </cell>
          <cell r="C35">
            <v>0</v>
          </cell>
          <cell r="D35">
            <v>0</v>
          </cell>
          <cell r="E35">
            <v>0</v>
          </cell>
          <cell r="F35">
            <v>0</v>
          </cell>
          <cell r="G35">
            <v>0</v>
          </cell>
          <cell r="H35">
            <v>0</v>
          </cell>
          <cell r="I35">
            <v>0</v>
          </cell>
          <cell r="J35">
            <v>0</v>
          </cell>
          <cell r="K35">
            <v>0</v>
          </cell>
          <cell r="L35">
            <v>0</v>
          </cell>
          <cell r="M35">
            <v>0</v>
          </cell>
          <cell r="N35">
            <v>0</v>
          </cell>
          <cell r="O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row>
        <row r="36">
          <cell r="A36" t="str">
            <v>Purchase Long-term Assets</v>
          </cell>
          <cell r="C36">
            <v>0</v>
          </cell>
          <cell r="D36">
            <v>0</v>
          </cell>
          <cell r="E36">
            <v>0</v>
          </cell>
          <cell r="F36">
            <v>0</v>
          </cell>
          <cell r="G36">
            <v>0</v>
          </cell>
          <cell r="H36">
            <v>0</v>
          </cell>
          <cell r="I36">
            <v>0</v>
          </cell>
          <cell r="J36">
            <v>0</v>
          </cell>
          <cell r="K36">
            <v>0</v>
          </cell>
          <cell r="L36">
            <v>0</v>
          </cell>
          <cell r="M36">
            <v>0</v>
          </cell>
          <cell r="N36">
            <v>0</v>
          </cell>
          <cell r="O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row>
        <row r="37">
          <cell r="A37" t="str">
            <v>Distributions(est. S Corp Taxes)</v>
          </cell>
          <cell r="B37"/>
          <cell r="C37">
            <v>0</v>
          </cell>
          <cell r="D37">
            <v>0</v>
          </cell>
          <cell r="E37">
            <v>0</v>
          </cell>
          <cell r="F37">
            <v>0</v>
          </cell>
          <cell r="G37">
            <v>0</v>
          </cell>
          <cell r="H37">
            <v>0</v>
          </cell>
          <cell r="I37">
            <v>0</v>
          </cell>
          <cell r="J37">
            <v>0</v>
          </cell>
          <cell r="K37">
            <v>0</v>
          </cell>
          <cell r="L37">
            <v>0</v>
          </cell>
          <cell r="M37">
            <v>0</v>
          </cell>
          <cell r="N37">
            <v>0</v>
          </cell>
          <cell r="O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row>
      </sheetData>
      <sheetData sheetId="5"/>
      <sheetData sheetId="6"/>
      <sheetData sheetId="7"/>
      <sheetData sheetId="8"/>
      <sheetData sheetId="9"/>
      <sheetData sheetId="10"/>
      <sheetData sheetId="11"/>
      <sheetData sheetId="12"/>
      <sheetData sheetId="13"/>
      <sheetData sheetId="14"/>
      <sheetData sheetId="15">
        <row r="19">
          <cell r="B19">
            <v>0</v>
          </cell>
        </row>
        <row r="20">
          <cell r="B20">
            <v>0</v>
          </cell>
        </row>
        <row r="21">
          <cell r="B21">
            <v>1625150</v>
          </cell>
        </row>
      </sheetData>
      <sheetData sheetId="16">
        <row r="11">
          <cell r="B11">
            <v>0</v>
          </cell>
        </row>
        <row r="18">
          <cell r="B18">
            <v>1168</v>
          </cell>
        </row>
        <row r="19">
          <cell r="B19">
            <v>1334715</v>
          </cell>
        </row>
        <row r="21">
          <cell r="B21">
            <v>0</v>
          </cell>
        </row>
        <row r="30">
          <cell r="B30">
            <v>289267</v>
          </cell>
        </row>
      </sheetData>
      <sheetData sheetId="17"/>
      <sheetData sheetId="18">
        <row r="14">
          <cell r="D14">
            <v>35000</v>
          </cell>
        </row>
        <row r="15">
          <cell r="D15">
            <v>0</v>
          </cell>
        </row>
        <row r="16">
          <cell r="D16">
            <v>60000</v>
          </cell>
        </row>
        <row r="17">
          <cell r="D17">
            <v>0</v>
          </cell>
        </row>
        <row r="21">
          <cell r="D21">
            <v>184500</v>
          </cell>
        </row>
        <row r="22">
          <cell r="D22">
            <v>125450</v>
          </cell>
        </row>
        <row r="28">
          <cell r="D28">
            <v>0</v>
          </cell>
        </row>
        <row r="29">
          <cell r="D29">
            <v>370</v>
          </cell>
        </row>
        <row r="30">
          <cell r="D30">
            <v>0</v>
          </cell>
        </row>
        <row r="33">
          <cell r="D33">
            <v>0</v>
          </cell>
        </row>
        <row r="36">
          <cell r="D36">
            <v>47000</v>
          </cell>
        </row>
        <row r="38">
          <cell r="D38">
            <v>70000</v>
          </cell>
        </row>
      </sheetData>
      <sheetData sheetId="19"/>
      <sheetData sheetId="20">
        <row r="11">
          <cell r="A11" t="str">
            <v>Ending Inventory Balance</v>
          </cell>
          <cell r="C11">
            <v>118002.5</v>
          </cell>
          <cell r="D11">
            <v>99005</v>
          </cell>
          <cell r="E11">
            <v>97812.000000000015</v>
          </cell>
          <cell r="F11">
            <v>95589</v>
          </cell>
          <cell r="G11">
            <v>97812.000000000015</v>
          </cell>
          <cell r="H11">
            <v>95589</v>
          </cell>
          <cell r="I11">
            <v>97812.000000000015</v>
          </cell>
          <cell r="J11">
            <v>97812.000000000015</v>
          </cell>
          <cell r="K11">
            <v>95589</v>
          </cell>
          <cell r="L11">
            <v>97812.000000000015</v>
          </cell>
          <cell r="M11">
            <v>95589</v>
          </cell>
          <cell r="N11">
            <v>97812.000000000015</v>
          </cell>
          <cell r="O11">
            <v>97812.000000000015</v>
          </cell>
          <cell r="Q11">
            <v>114202</v>
          </cell>
          <cell r="R11">
            <v>103820</v>
          </cell>
          <cell r="S11">
            <v>114202</v>
          </cell>
          <cell r="T11">
            <v>111606.5</v>
          </cell>
          <cell r="U11">
            <v>114202</v>
          </cell>
          <cell r="V11">
            <v>111606.5</v>
          </cell>
          <cell r="W11">
            <v>114202</v>
          </cell>
          <cell r="X11">
            <v>114202</v>
          </cell>
          <cell r="Y11">
            <v>111606.5</v>
          </cell>
          <cell r="Z11">
            <v>114202</v>
          </cell>
          <cell r="AA11">
            <v>111606.5</v>
          </cell>
          <cell r="AB11">
            <v>114202</v>
          </cell>
          <cell r="AC11">
            <v>114202</v>
          </cell>
          <cell r="AD11">
            <v>97812.000000000015</v>
          </cell>
          <cell r="AE11">
            <v>131332.30000000005</v>
          </cell>
          <cell r="AF11">
            <v>144465.53000000003</v>
          </cell>
          <cell r="AG11">
            <v>158912.0830000001</v>
          </cell>
        </row>
      </sheetData>
      <sheetData sheetId="21"/>
      <sheetData sheetId="22">
        <row r="11">
          <cell r="A11" t="str">
            <v>Ending Receivables Balance</v>
          </cell>
          <cell r="C11">
            <v>0</v>
          </cell>
          <cell r="D11">
            <v>0</v>
          </cell>
          <cell r="E11">
            <v>0</v>
          </cell>
          <cell r="F11">
            <v>0</v>
          </cell>
          <cell r="G11">
            <v>0</v>
          </cell>
          <cell r="H11">
            <v>0</v>
          </cell>
          <cell r="I11">
            <v>0</v>
          </cell>
          <cell r="J11">
            <v>0</v>
          </cell>
          <cell r="K11">
            <v>0</v>
          </cell>
          <cell r="L11">
            <v>0</v>
          </cell>
          <cell r="M11">
            <v>0</v>
          </cell>
          <cell r="N11">
            <v>0</v>
          </cell>
          <cell r="O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row>
      </sheetData>
      <sheetData sheetId="23"/>
      <sheetData sheetId="24"/>
      <sheetData sheetId="25"/>
      <sheetData sheetId="26"/>
      <sheetData sheetId="27"/>
      <sheetData sheetId="28"/>
      <sheetData sheetId="29"/>
      <sheetData sheetId="30"/>
      <sheetData sheetId="31"/>
      <sheetData sheetId="32"/>
      <sheetData sheetId="33">
        <row r="12">
          <cell r="B12" t="b">
            <v>0</v>
          </cell>
        </row>
        <row r="14">
          <cell r="B14" t="b">
            <v>0</v>
          </cell>
        </row>
        <row r="15">
          <cell r="B15" t="b">
            <v>1</v>
          </cell>
        </row>
        <row r="16">
          <cell r="B16" t="b">
            <v>1</v>
          </cell>
        </row>
        <row r="17">
          <cell r="B17" t="b">
            <v>1</v>
          </cell>
        </row>
        <row r="19">
          <cell r="B19">
            <v>1</v>
          </cell>
        </row>
        <row r="20">
          <cell r="B20">
            <v>2012</v>
          </cell>
        </row>
        <row r="30">
          <cell r="B30">
            <v>2</v>
          </cell>
        </row>
      </sheetData>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www.wcrb.org/WCRB/classcode/main.asp"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L60"/>
  <sheetViews>
    <sheetView workbookViewId="0">
      <selection activeCell="A2" sqref="A2"/>
    </sheetView>
  </sheetViews>
  <sheetFormatPr defaultRowHeight="12.75"/>
  <cols>
    <col min="1" max="1" width="37.42578125" customWidth="1"/>
    <col min="2" max="2" width="13" customWidth="1"/>
    <col min="3" max="3" width="15" customWidth="1"/>
    <col min="4" max="4" width="12.85546875" customWidth="1"/>
    <col min="5" max="5" width="15.140625" customWidth="1"/>
    <col min="6" max="6" width="13.7109375" customWidth="1"/>
    <col min="7" max="7" width="16.42578125" hidden="1" customWidth="1"/>
    <col min="9" max="9" width="13.7109375" customWidth="1"/>
    <col min="257" max="257" width="36.28515625" customWidth="1"/>
    <col min="258" max="258" width="24.7109375" customWidth="1"/>
    <col min="259" max="259" width="26.28515625" customWidth="1"/>
    <col min="260" max="260" width="22.85546875" customWidth="1"/>
    <col min="513" max="513" width="36.28515625" customWidth="1"/>
    <col min="514" max="514" width="24.7109375" customWidth="1"/>
    <col min="515" max="515" width="26.28515625" customWidth="1"/>
    <col min="516" max="516" width="22.85546875" customWidth="1"/>
    <col min="769" max="769" width="36.28515625" customWidth="1"/>
    <col min="770" max="770" width="24.7109375" customWidth="1"/>
    <col min="771" max="771" width="26.28515625" customWidth="1"/>
    <col min="772" max="772" width="22.85546875" customWidth="1"/>
    <col min="1025" max="1025" width="36.28515625" customWidth="1"/>
    <col min="1026" max="1026" width="24.7109375" customWidth="1"/>
    <col min="1027" max="1027" width="26.28515625" customWidth="1"/>
    <col min="1028" max="1028" width="22.85546875" customWidth="1"/>
    <col min="1281" max="1281" width="36.28515625" customWidth="1"/>
    <col min="1282" max="1282" width="24.7109375" customWidth="1"/>
    <col min="1283" max="1283" width="26.28515625" customWidth="1"/>
    <col min="1284" max="1284" width="22.85546875" customWidth="1"/>
    <col min="1537" max="1537" width="36.28515625" customWidth="1"/>
    <col min="1538" max="1538" width="24.7109375" customWidth="1"/>
    <col min="1539" max="1539" width="26.28515625" customWidth="1"/>
    <col min="1540" max="1540" width="22.85546875" customWidth="1"/>
    <col min="1793" max="1793" width="36.28515625" customWidth="1"/>
    <col min="1794" max="1794" width="24.7109375" customWidth="1"/>
    <col min="1795" max="1795" width="26.28515625" customWidth="1"/>
    <col min="1796" max="1796" width="22.85546875" customWidth="1"/>
    <col min="2049" max="2049" width="36.28515625" customWidth="1"/>
    <col min="2050" max="2050" width="24.7109375" customWidth="1"/>
    <col min="2051" max="2051" width="26.28515625" customWidth="1"/>
    <col min="2052" max="2052" width="22.85546875" customWidth="1"/>
    <col min="2305" max="2305" width="36.28515625" customWidth="1"/>
    <col min="2306" max="2306" width="24.7109375" customWidth="1"/>
    <col min="2307" max="2307" width="26.28515625" customWidth="1"/>
    <col min="2308" max="2308" width="22.85546875" customWidth="1"/>
    <col min="2561" max="2561" width="36.28515625" customWidth="1"/>
    <col min="2562" max="2562" width="24.7109375" customWidth="1"/>
    <col min="2563" max="2563" width="26.28515625" customWidth="1"/>
    <col min="2564" max="2564" width="22.85546875" customWidth="1"/>
    <col min="2817" max="2817" width="36.28515625" customWidth="1"/>
    <col min="2818" max="2818" width="24.7109375" customWidth="1"/>
    <col min="2819" max="2819" width="26.28515625" customWidth="1"/>
    <col min="2820" max="2820" width="22.85546875" customWidth="1"/>
    <col min="3073" max="3073" width="36.28515625" customWidth="1"/>
    <col min="3074" max="3074" width="24.7109375" customWidth="1"/>
    <col min="3075" max="3075" width="26.28515625" customWidth="1"/>
    <col min="3076" max="3076" width="22.85546875" customWidth="1"/>
    <col min="3329" max="3329" width="36.28515625" customWidth="1"/>
    <col min="3330" max="3330" width="24.7109375" customWidth="1"/>
    <col min="3331" max="3331" width="26.28515625" customWidth="1"/>
    <col min="3332" max="3332" width="22.85546875" customWidth="1"/>
    <col min="3585" max="3585" width="36.28515625" customWidth="1"/>
    <col min="3586" max="3586" width="24.7109375" customWidth="1"/>
    <col min="3587" max="3587" width="26.28515625" customWidth="1"/>
    <col min="3588" max="3588" width="22.85546875" customWidth="1"/>
    <col min="3841" max="3841" width="36.28515625" customWidth="1"/>
    <col min="3842" max="3842" width="24.7109375" customWidth="1"/>
    <col min="3843" max="3843" width="26.28515625" customWidth="1"/>
    <col min="3844" max="3844" width="22.85546875" customWidth="1"/>
    <col min="4097" max="4097" width="36.28515625" customWidth="1"/>
    <col min="4098" max="4098" width="24.7109375" customWidth="1"/>
    <col min="4099" max="4099" width="26.28515625" customWidth="1"/>
    <col min="4100" max="4100" width="22.85546875" customWidth="1"/>
    <col min="4353" max="4353" width="36.28515625" customWidth="1"/>
    <col min="4354" max="4354" width="24.7109375" customWidth="1"/>
    <col min="4355" max="4355" width="26.28515625" customWidth="1"/>
    <col min="4356" max="4356" width="22.85546875" customWidth="1"/>
    <col min="4609" max="4609" width="36.28515625" customWidth="1"/>
    <col min="4610" max="4610" width="24.7109375" customWidth="1"/>
    <col min="4611" max="4611" width="26.28515625" customWidth="1"/>
    <col min="4612" max="4612" width="22.85546875" customWidth="1"/>
    <col min="4865" max="4865" width="36.28515625" customWidth="1"/>
    <col min="4866" max="4866" width="24.7109375" customWidth="1"/>
    <col min="4867" max="4867" width="26.28515625" customWidth="1"/>
    <col min="4868" max="4868" width="22.85546875" customWidth="1"/>
    <col min="5121" max="5121" width="36.28515625" customWidth="1"/>
    <col min="5122" max="5122" width="24.7109375" customWidth="1"/>
    <col min="5123" max="5123" width="26.28515625" customWidth="1"/>
    <col min="5124" max="5124" width="22.85546875" customWidth="1"/>
    <col min="5377" max="5377" width="36.28515625" customWidth="1"/>
    <col min="5378" max="5378" width="24.7109375" customWidth="1"/>
    <col min="5379" max="5379" width="26.28515625" customWidth="1"/>
    <col min="5380" max="5380" width="22.85546875" customWidth="1"/>
    <col min="5633" max="5633" width="36.28515625" customWidth="1"/>
    <col min="5634" max="5634" width="24.7109375" customWidth="1"/>
    <col min="5635" max="5635" width="26.28515625" customWidth="1"/>
    <col min="5636" max="5636" width="22.85546875" customWidth="1"/>
    <col min="5889" max="5889" width="36.28515625" customWidth="1"/>
    <col min="5890" max="5890" width="24.7109375" customWidth="1"/>
    <col min="5891" max="5891" width="26.28515625" customWidth="1"/>
    <col min="5892" max="5892" width="22.85546875" customWidth="1"/>
    <col min="6145" max="6145" width="36.28515625" customWidth="1"/>
    <col min="6146" max="6146" width="24.7109375" customWidth="1"/>
    <col min="6147" max="6147" width="26.28515625" customWidth="1"/>
    <col min="6148" max="6148" width="22.85546875" customWidth="1"/>
    <col min="6401" max="6401" width="36.28515625" customWidth="1"/>
    <col min="6402" max="6402" width="24.7109375" customWidth="1"/>
    <col min="6403" max="6403" width="26.28515625" customWidth="1"/>
    <col min="6404" max="6404" width="22.85546875" customWidth="1"/>
    <col min="6657" max="6657" width="36.28515625" customWidth="1"/>
    <col min="6658" max="6658" width="24.7109375" customWidth="1"/>
    <col min="6659" max="6659" width="26.28515625" customWidth="1"/>
    <col min="6660" max="6660" width="22.85546875" customWidth="1"/>
    <col min="6913" max="6913" width="36.28515625" customWidth="1"/>
    <col min="6914" max="6914" width="24.7109375" customWidth="1"/>
    <col min="6915" max="6915" width="26.28515625" customWidth="1"/>
    <col min="6916" max="6916" width="22.85546875" customWidth="1"/>
    <col min="7169" max="7169" width="36.28515625" customWidth="1"/>
    <col min="7170" max="7170" width="24.7109375" customWidth="1"/>
    <col min="7171" max="7171" width="26.28515625" customWidth="1"/>
    <col min="7172" max="7172" width="22.85546875" customWidth="1"/>
    <col min="7425" max="7425" width="36.28515625" customWidth="1"/>
    <col min="7426" max="7426" width="24.7109375" customWidth="1"/>
    <col min="7427" max="7427" width="26.28515625" customWidth="1"/>
    <col min="7428" max="7428" width="22.85546875" customWidth="1"/>
    <col min="7681" max="7681" width="36.28515625" customWidth="1"/>
    <col min="7682" max="7682" width="24.7109375" customWidth="1"/>
    <col min="7683" max="7683" width="26.28515625" customWidth="1"/>
    <col min="7684" max="7684" width="22.85546875" customWidth="1"/>
    <col min="7937" max="7937" width="36.28515625" customWidth="1"/>
    <col min="7938" max="7938" width="24.7109375" customWidth="1"/>
    <col min="7939" max="7939" width="26.28515625" customWidth="1"/>
    <col min="7940" max="7940" width="22.85546875" customWidth="1"/>
    <col min="8193" max="8193" width="36.28515625" customWidth="1"/>
    <col min="8194" max="8194" width="24.7109375" customWidth="1"/>
    <col min="8195" max="8195" width="26.28515625" customWidth="1"/>
    <col min="8196" max="8196" width="22.85546875" customWidth="1"/>
    <col min="8449" max="8449" width="36.28515625" customWidth="1"/>
    <col min="8450" max="8450" width="24.7109375" customWidth="1"/>
    <col min="8451" max="8451" width="26.28515625" customWidth="1"/>
    <col min="8452" max="8452" width="22.85546875" customWidth="1"/>
    <col min="8705" max="8705" width="36.28515625" customWidth="1"/>
    <col min="8706" max="8706" width="24.7109375" customWidth="1"/>
    <col min="8707" max="8707" width="26.28515625" customWidth="1"/>
    <col min="8708" max="8708" width="22.85546875" customWidth="1"/>
    <col min="8961" max="8961" width="36.28515625" customWidth="1"/>
    <col min="8962" max="8962" width="24.7109375" customWidth="1"/>
    <col min="8963" max="8963" width="26.28515625" customWidth="1"/>
    <col min="8964" max="8964" width="22.85546875" customWidth="1"/>
    <col min="9217" max="9217" width="36.28515625" customWidth="1"/>
    <col min="9218" max="9218" width="24.7109375" customWidth="1"/>
    <col min="9219" max="9219" width="26.28515625" customWidth="1"/>
    <col min="9220" max="9220" width="22.85546875" customWidth="1"/>
    <col min="9473" max="9473" width="36.28515625" customWidth="1"/>
    <col min="9474" max="9474" width="24.7109375" customWidth="1"/>
    <col min="9475" max="9475" width="26.28515625" customWidth="1"/>
    <col min="9476" max="9476" width="22.85546875" customWidth="1"/>
    <col min="9729" max="9729" width="36.28515625" customWidth="1"/>
    <col min="9730" max="9730" width="24.7109375" customWidth="1"/>
    <col min="9731" max="9731" width="26.28515625" customWidth="1"/>
    <col min="9732" max="9732" width="22.85546875" customWidth="1"/>
    <col min="9985" max="9985" width="36.28515625" customWidth="1"/>
    <col min="9986" max="9986" width="24.7109375" customWidth="1"/>
    <col min="9987" max="9987" width="26.28515625" customWidth="1"/>
    <col min="9988" max="9988" width="22.85546875" customWidth="1"/>
    <col min="10241" max="10241" width="36.28515625" customWidth="1"/>
    <col min="10242" max="10242" width="24.7109375" customWidth="1"/>
    <col min="10243" max="10243" width="26.28515625" customWidth="1"/>
    <col min="10244" max="10244" width="22.85546875" customWidth="1"/>
    <col min="10497" max="10497" width="36.28515625" customWidth="1"/>
    <col min="10498" max="10498" width="24.7109375" customWidth="1"/>
    <col min="10499" max="10499" width="26.28515625" customWidth="1"/>
    <col min="10500" max="10500" width="22.85546875" customWidth="1"/>
    <col min="10753" max="10753" width="36.28515625" customWidth="1"/>
    <col min="10754" max="10754" width="24.7109375" customWidth="1"/>
    <col min="10755" max="10755" width="26.28515625" customWidth="1"/>
    <col min="10756" max="10756" width="22.85546875" customWidth="1"/>
    <col min="11009" max="11009" width="36.28515625" customWidth="1"/>
    <col min="11010" max="11010" width="24.7109375" customWidth="1"/>
    <col min="11011" max="11011" width="26.28515625" customWidth="1"/>
    <col min="11012" max="11012" width="22.85546875" customWidth="1"/>
    <col min="11265" max="11265" width="36.28515625" customWidth="1"/>
    <col min="11266" max="11266" width="24.7109375" customWidth="1"/>
    <col min="11267" max="11267" width="26.28515625" customWidth="1"/>
    <col min="11268" max="11268" width="22.85546875" customWidth="1"/>
    <col min="11521" max="11521" width="36.28515625" customWidth="1"/>
    <col min="11522" max="11522" width="24.7109375" customWidth="1"/>
    <col min="11523" max="11523" width="26.28515625" customWidth="1"/>
    <col min="11524" max="11524" width="22.85546875" customWidth="1"/>
    <col min="11777" max="11777" width="36.28515625" customWidth="1"/>
    <col min="11778" max="11778" width="24.7109375" customWidth="1"/>
    <col min="11779" max="11779" width="26.28515625" customWidth="1"/>
    <col min="11780" max="11780" width="22.85546875" customWidth="1"/>
    <col min="12033" max="12033" width="36.28515625" customWidth="1"/>
    <col min="12034" max="12034" width="24.7109375" customWidth="1"/>
    <col min="12035" max="12035" width="26.28515625" customWidth="1"/>
    <col min="12036" max="12036" width="22.85546875" customWidth="1"/>
    <col min="12289" max="12289" width="36.28515625" customWidth="1"/>
    <col min="12290" max="12290" width="24.7109375" customWidth="1"/>
    <col min="12291" max="12291" width="26.28515625" customWidth="1"/>
    <col min="12292" max="12292" width="22.85546875" customWidth="1"/>
    <col min="12545" max="12545" width="36.28515625" customWidth="1"/>
    <col min="12546" max="12546" width="24.7109375" customWidth="1"/>
    <col min="12547" max="12547" width="26.28515625" customWidth="1"/>
    <col min="12548" max="12548" width="22.85546875" customWidth="1"/>
    <col min="12801" max="12801" width="36.28515625" customWidth="1"/>
    <col min="12802" max="12802" width="24.7109375" customWidth="1"/>
    <col min="12803" max="12803" width="26.28515625" customWidth="1"/>
    <col min="12804" max="12804" width="22.85546875" customWidth="1"/>
    <col min="13057" max="13057" width="36.28515625" customWidth="1"/>
    <col min="13058" max="13058" width="24.7109375" customWidth="1"/>
    <col min="13059" max="13059" width="26.28515625" customWidth="1"/>
    <col min="13060" max="13060" width="22.85546875" customWidth="1"/>
    <col min="13313" max="13313" width="36.28515625" customWidth="1"/>
    <col min="13314" max="13314" width="24.7109375" customWidth="1"/>
    <col min="13315" max="13315" width="26.28515625" customWidth="1"/>
    <col min="13316" max="13316" width="22.85546875" customWidth="1"/>
    <col min="13569" max="13569" width="36.28515625" customWidth="1"/>
    <col min="13570" max="13570" width="24.7109375" customWidth="1"/>
    <col min="13571" max="13571" width="26.28515625" customWidth="1"/>
    <col min="13572" max="13572" width="22.85546875" customWidth="1"/>
    <col min="13825" max="13825" width="36.28515625" customWidth="1"/>
    <col min="13826" max="13826" width="24.7109375" customWidth="1"/>
    <col min="13827" max="13827" width="26.28515625" customWidth="1"/>
    <col min="13828" max="13828" width="22.85546875" customWidth="1"/>
    <col min="14081" max="14081" width="36.28515625" customWidth="1"/>
    <col min="14082" max="14082" width="24.7109375" customWidth="1"/>
    <col min="14083" max="14083" width="26.28515625" customWidth="1"/>
    <col min="14084" max="14084" width="22.85546875" customWidth="1"/>
    <col min="14337" max="14337" width="36.28515625" customWidth="1"/>
    <col min="14338" max="14338" width="24.7109375" customWidth="1"/>
    <col min="14339" max="14339" width="26.28515625" customWidth="1"/>
    <col min="14340" max="14340" width="22.85546875" customWidth="1"/>
    <col min="14593" max="14593" width="36.28515625" customWidth="1"/>
    <col min="14594" max="14594" width="24.7109375" customWidth="1"/>
    <col min="14595" max="14595" width="26.28515625" customWidth="1"/>
    <col min="14596" max="14596" width="22.85546875" customWidth="1"/>
    <col min="14849" max="14849" width="36.28515625" customWidth="1"/>
    <col min="14850" max="14850" width="24.7109375" customWidth="1"/>
    <col min="14851" max="14851" width="26.28515625" customWidth="1"/>
    <col min="14852" max="14852" width="22.85546875" customWidth="1"/>
    <col min="15105" max="15105" width="36.28515625" customWidth="1"/>
    <col min="15106" max="15106" width="24.7109375" customWidth="1"/>
    <col min="15107" max="15107" width="26.28515625" customWidth="1"/>
    <col min="15108" max="15108" width="22.85546875" customWidth="1"/>
    <col min="15361" max="15361" width="36.28515625" customWidth="1"/>
    <col min="15362" max="15362" width="24.7109375" customWidth="1"/>
    <col min="15363" max="15363" width="26.28515625" customWidth="1"/>
    <col min="15364" max="15364" width="22.85546875" customWidth="1"/>
    <col min="15617" max="15617" width="36.28515625" customWidth="1"/>
    <col min="15618" max="15618" width="24.7109375" customWidth="1"/>
    <col min="15619" max="15619" width="26.28515625" customWidth="1"/>
    <col min="15620" max="15620" width="22.85546875" customWidth="1"/>
    <col min="15873" max="15873" width="36.28515625" customWidth="1"/>
    <col min="15874" max="15874" width="24.7109375" customWidth="1"/>
    <col min="15875" max="15875" width="26.28515625" customWidth="1"/>
    <col min="15876" max="15876" width="22.85546875" customWidth="1"/>
    <col min="16129" max="16129" width="36.28515625" customWidth="1"/>
    <col min="16130" max="16130" width="24.7109375" customWidth="1"/>
    <col min="16131" max="16131" width="26.28515625" customWidth="1"/>
    <col min="16132" max="16132" width="22.85546875" customWidth="1"/>
  </cols>
  <sheetData>
    <row r="1" spans="1:12" ht="15.75" customHeight="1" thickBot="1">
      <c r="A1" s="362" t="s">
        <v>324</v>
      </c>
      <c r="B1" s="271"/>
      <c r="C1" s="285"/>
      <c r="D1" s="248"/>
      <c r="E1" s="40">
        <f>SUM(E6:E60)</f>
        <v>444.17521367521363</v>
      </c>
      <c r="F1" s="40">
        <f>SUM(F6:F60)</f>
        <v>1791.2592592592591</v>
      </c>
      <c r="G1" s="40">
        <f>SUM(G6:G60)</f>
        <v>21495.111111111109</v>
      </c>
      <c r="I1" s="677" t="s">
        <v>261</v>
      </c>
      <c r="J1" s="678"/>
      <c r="K1" s="678"/>
      <c r="L1" s="386">
        <f>SUM(J6:J12)*52+SUM(K6:K12)*12+SUM(L6:L12)</f>
        <v>0</v>
      </c>
    </row>
    <row r="2" spans="1:12" ht="13.15" customHeight="1" thickBot="1">
      <c r="A2" s="363"/>
      <c r="I2" s="387"/>
      <c r="J2" s="387"/>
      <c r="K2" s="387"/>
      <c r="L2" s="387"/>
    </row>
    <row r="3" spans="1:12" ht="13.15" customHeight="1">
      <c r="A3" s="364"/>
      <c r="B3" s="685" t="s">
        <v>119</v>
      </c>
      <c r="C3" s="686"/>
      <c r="D3" s="687"/>
      <c r="E3" s="691" t="s">
        <v>119</v>
      </c>
      <c r="F3" s="692"/>
      <c r="G3" s="693"/>
      <c r="I3" s="387"/>
      <c r="J3" s="679" t="s">
        <v>262</v>
      </c>
      <c r="K3" s="680"/>
      <c r="L3" s="681"/>
    </row>
    <row r="4" spans="1:12" ht="13.15" customHeight="1">
      <c r="A4" s="365"/>
      <c r="B4" s="688" t="s">
        <v>120</v>
      </c>
      <c r="C4" s="689"/>
      <c r="D4" s="690"/>
      <c r="E4" s="694" t="s">
        <v>120</v>
      </c>
      <c r="F4" s="695"/>
      <c r="G4" s="696"/>
      <c r="I4" s="387"/>
      <c r="J4" s="682" t="s">
        <v>263</v>
      </c>
      <c r="K4" s="683"/>
      <c r="L4" s="684"/>
    </row>
    <row r="5" spans="1:12" ht="16.5" thickBot="1">
      <c r="A5" s="366" t="s">
        <v>202</v>
      </c>
      <c r="B5" s="367" t="s">
        <v>42</v>
      </c>
      <c r="C5" s="368" t="s">
        <v>40</v>
      </c>
      <c r="D5" s="368" t="s">
        <v>41</v>
      </c>
      <c r="E5" s="372" t="s">
        <v>42</v>
      </c>
      <c r="F5" s="373" t="s">
        <v>40</v>
      </c>
      <c r="G5" s="373" t="s">
        <v>41</v>
      </c>
      <c r="I5" s="388" t="s">
        <v>264</v>
      </c>
      <c r="J5" s="389" t="s">
        <v>42</v>
      </c>
      <c r="K5" s="390" t="s">
        <v>40</v>
      </c>
      <c r="L5" s="391" t="s">
        <v>41</v>
      </c>
    </row>
    <row r="6" spans="1:12" ht="15.75">
      <c r="A6" s="369" t="s">
        <v>203</v>
      </c>
      <c r="B6" s="111"/>
      <c r="C6" s="111">
        <v>525</v>
      </c>
      <c r="D6" s="111"/>
      <c r="E6" s="374">
        <f>B6+C6/4+D6/52</f>
        <v>131.25</v>
      </c>
      <c r="F6" s="153">
        <f>B6*4+C6+D6/12</f>
        <v>525</v>
      </c>
      <c r="G6" s="153">
        <f>B6*52+C6*12+D6</f>
        <v>6300</v>
      </c>
      <c r="I6" s="392" t="s">
        <v>265</v>
      </c>
      <c r="J6" s="370"/>
      <c r="K6" s="393"/>
      <c r="L6" s="394"/>
    </row>
    <row r="7" spans="1:12" ht="15.75">
      <c r="A7" s="369" t="s">
        <v>204</v>
      </c>
      <c r="B7" s="111"/>
      <c r="C7" s="111"/>
      <c r="D7" s="111"/>
      <c r="E7" s="374">
        <f t="shared" ref="E7:E60" si="0">B7+C7/4+D7/52</f>
        <v>0</v>
      </c>
      <c r="F7" s="153">
        <f t="shared" ref="F7:F60" si="1">B7*4+C7+D7/12</f>
        <v>0</v>
      </c>
      <c r="G7" s="153">
        <f t="shared" ref="G7:G60" si="2">B7*52+C7*12+D7</f>
        <v>0</v>
      </c>
      <c r="I7" s="392"/>
      <c r="J7" s="370"/>
      <c r="K7" s="393"/>
      <c r="L7" s="394"/>
    </row>
    <row r="8" spans="1:12" ht="15.75">
      <c r="A8" s="369" t="s">
        <v>205</v>
      </c>
      <c r="B8" s="111"/>
      <c r="C8" s="111"/>
      <c r="D8" s="111"/>
      <c r="E8" s="374">
        <f t="shared" si="0"/>
        <v>0</v>
      </c>
      <c r="F8" s="153">
        <f t="shared" si="1"/>
        <v>0</v>
      </c>
      <c r="G8" s="153">
        <f t="shared" si="2"/>
        <v>0</v>
      </c>
      <c r="I8" s="392"/>
      <c r="J8" s="370"/>
      <c r="K8" s="393"/>
      <c r="L8" s="394"/>
    </row>
    <row r="9" spans="1:12" ht="15.75">
      <c r="A9" s="369" t="s">
        <v>206</v>
      </c>
      <c r="B9" s="111"/>
      <c r="C9" s="111"/>
      <c r="D9" s="111"/>
      <c r="E9" s="374">
        <f t="shared" si="0"/>
        <v>0</v>
      </c>
      <c r="F9" s="153">
        <f t="shared" si="1"/>
        <v>0</v>
      </c>
      <c r="G9" s="153">
        <f t="shared" si="2"/>
        <v>0</v>
      </c>
      <c r="I9" s="392"/>
      <c r="J9" s="370"/>
      <c r="K9" s="393"/>
      <c r="L9" s="394"/>
    </row>
    <row r="10" spans="1:12" ht="31.5">
      <c r="A10" s="369" t="s">
        <v>207</v>
      </c>
      <c r="B10" s="111"/>
      <c r="C10" s="111">
        <v>10</v>
      </c>
      <c r="D10" s="111"/>
      <c r="E10" s="374">
        <f t="shared" si="0"/>
        <v>2.5</v>
      </c>
      <c r="F10" s="153">
        <f t="shared" si="1"/>
        <v>10</v>
      </c>
      <c r="G10" s="153">
        <f t="shared" si="2"/>
        <v>120</v>
      </c>
      <c r="I10" s="392"/>
      <c r="J10" s="370"/>
      <c r="K10" s="393"/>
      <c r="L10" s="394"/>
    </row>
    <row r="11" spans="1:12" ht="16.899999999999999" customHeight="1">
      <c r="A11" s="369" t="s">
        <v>208</v>
      </c>
      <c r="B11" s="111"/>
      <c r="C11" s="111"/>
      <c r="D11" s="111"/>
      <c r="E11" s="374">
        <f t="shared" si="0"/>
        <v>0</v>
      </c>
      <c r="F11" s="153">
        <f t="shared" si="1"/>
        <v>0</v>
      </c>
      <c r="G11" s="153">
        <f t="shared" si="2"/>
        <v>0</v>
      </c>
      <c r="I11" s="392"/>
      <c r="J11" s="370"/>
      <c r="K11" s="393"/>
      <c r="L11" s="394"/>
    </row>
    <row r="12" spans="1:12" ht="16.5" thickBot="1">
      <c r="A12" s="369" t="s">
        <v>209</v>
      </c>
      <c r="B12" s="111"/>
      <c r="C12" s="111"/>
      <c r="D12" s="111">
        <v>300</v>
      </c>
      <c r="E12" s="374">
        <f t="shared" si="0"/>
        <v>5.7692307692307692</v>
      </c>
      <c r="F12" s="153">
        <f t="shared" si="1"/>
        <v>25</v>
      </c>
      <c r="G12" s="153">
        <f t="shared" si="2"/>
        <v>300</v>
      </c>
      <c r="I12" s="392"/>
      <c r="J12" s="395"/>
      <c r="K12" s="292"/>
      <c r="L12" s="396"/>
    </row>
    <row r="13" spans="1:12" ht="16.899999999999999" customHeight="1">
      <c r="A13" s="369" t="s">
        <v>210</v>
      </c>
      <c r="B13" s="111"/>
      <c r="C13" s="111"/>
      <c r="D13" s="111"/>
      <c r="E13" s="374">
        <f t="shared" si="0"/>
        <v>0</v>
      </c>
      <c r="F13" s="153">
        <f t="shared" si="1"/>
        <v>0</v>
      </c>
      <c r="G13" s="153">
        <f t="shared" si="2"/>
        <v>0</v>
      </c>
    </row>
    <row r="14" spans="1:12" ht="16.5">
      <c r="A14" s="361"/>
      <c r="B14" s="111"/>
      <c r="C14" s="111"/>
      <c r="D14" s="111"/>
      <c r="E14" s="374">
        <f t="shared" si="0"/>
        <v>0</v>
      </c>
      <c r="F14" s="153">
        <f t="shared" si="1"/>
        <v>0</v>
      </c>
      <c r="G14" s="153">
        <f t="shared" si="2"/>
        <v>0</v>
      </c>
    </row>
    <row r="15" spans="1:12" ht="16.5">
      <c r="A15" s="360" t="s">
        <v>211</v>
      </c>
      <c r="B15" s="111"/>
      <c r="C15" s="111"/>
      <c r="D15" s="111"/>
      <c r="E15" s="374">
        <f t="shared" si="0"/>
        <v>0</v>
      </c>
      <c r="F15" s="153">
        <f t="shared" si="1"/>
        <v>0</v>
      </c>
      <c r="G15" s="153">
        <f t="shared" si="2"/>
        <v>0</v>
      </c>
    </row>
    <row r="16" spans="1:12" ht="16.5">
      <c r="A16" s="361" t="s">
        <v>212</v>
      </c>
      <c r="B16" s="111"/>
      <c r="C16" s="111">
        <v>268</v>
      </c>
      <c r="D16" s="111"/>
      <c r="E16" s="374">
        <f t="shared" si="0"/>
        <v>67</v>
      </c>
      <c r="F16" s="153">
        <f t="shared" si="1"/>
        <v>268</v>
      </c>
      <c r="G16" s="153">
        <f t="shared" si="2"/>
        <v>3216</v>
      </c>
    </row>
    <row r="17" spans="1:7" ht="16.5">
      <c r="A17" s="361" t="s">
        <v>213</v>
      </c>
      <c r="B17" s="111"/>
      <c r="C17" s="111"/>
      <c r="D17" s="111"/>
      <c r="E17" s="374">
        <f t="shared" si="0"/>
        <v>0</v>
      </c>
      <c r="F17" s="153">
        <f t="shared" si="1"/>
        <v>0</v>
      </c>
      <c r="G17" s="153">
        <f t="shared" si="2"/>
        <v>0</v>
      </c>
    </row>
    <row r="18" spans="1:7" ht="16.5">
      <c r="A18" s="361" t="s">
        <v>214</v>
      </c>
      <c r="B18" s="111"/>
      <c r="C18" s="111"/>
      <c r="D18" s="111"/>
      <c r="E18" s="374">
        <f t="shared" si="0"/>
        <v>0</v>
      </c>
      <c r="F18" s="153">
        <f t="shared" si="1"/>
        <v>0</v>
      </c>
      <c r="G18" s="153">
        <f t="shared" si="2"/>
        <v>0</v>
      </c>
    </row>
    <row r="19" spans="1:7" ht="16.5">
      <c r="A19" s="361" t="s">
        <v>215</v>
      </c>
      <c r="B19" s="111"/>
      <c r="C19" s="111"/>
      <c r="D19" s="111">
        <f>10000/45*3.65</f>
        <v>811.11111111111109</v>
      </c>
      <c r="E19" s="374">
        <f t="shared" si="0"/>
        <v>15.598290598290598</v>
      </c>
      <c r="F19" s="153">
        <f t="shared" si="1"/>
        <v>67.592592592592595</v>
      </c>
      <c r="G19" s="153">
        <f t="shared" si="2"/>
        <v>811.11111111111109</v>
      </c>
    </row>
    <row r="20" spans="1:7" ht="16.5">
      <c r="A20" s="361" t="s">
        <v>209</v>
      </c>
      <c r="B20" s="111"/>
      <c r="C20" s="111"/>
      <c r="D20" s="111">
        <v>800</v>
      </c>
      <c r="E20" s="374">
        <f t="shared" si="0"/>
        <v>15.384615384615385</v>
      </c>
      <c r="F20" s="153">
        <f t="shared" si="1"/>
        <v>66.666666666666671</v>
      </c>
      <c r="G20" s="153">
        <f t="shared" si="2"/>
        <v>800</v>
      </c>
    </row>
    <row r="21" spans="1:7" ht="16.5">
      <c r="A21" s="361" t="s">
        <v>216</v>
      </c>
      <c r="B21" s="111"/>
      <c r="C21" s="111"/>
      <c r="D21" s="111">
        <v>110</v>
      </c>
      <c r="E21" s="374">
        <f t="shared" si="0"/>
        <v>2.1153846153846154</v>
      </c>
      <c r="F21" s="153">
        <f t="shared" si="1"/>
        <v>9.1666666666666661</v>
      </c>
      <c r="G21" s="153">
        <f t="shared" si="2"/>
        <v>110</v>
      </c>
    </row>
    <row r="22" spans="1:7" ht="16.5">
      <c r="A22" s="361" t="s">
        <v>217</v>
      </c>
      <c r="B22" s="111"/>
      <c r="C22" s="111"/>
      <c r="D22" s="111"/>
      <c r="E22" s="374">
        <f t="shared" si="0"/>
        <v>0</v>
      </c>
      <c r="F22" s="153">
        <f t="shared" si="1"/>
        <v>0</v>
      </c>
      <c r="G22" s="153">
        <f t="shared" si="2"/>
        <v>0</v>
      </c>
    </row>
    <row r="23" spans="1:7" ht="16.5">
      <c r="A23" s="361"/>
      <c r="B23" s="111"/>
      <c r="C23" s="111"/>
      <c r="D23" s="111"/>
      <c r="E23" s="374">
        <f t="shared" si="0"/>
        <v>0</v>
      </c>
      <c r="F23" s="153">
        <f t="shared" si="1"/>
        <v>0</v>
      </c>
      <c r="G23" s="153">
        <f t="shared" si="2"/>
        <v>0</v>
      </c>
    </row>
    <row r="24" spans="1:7" ht="16.5">
      <c r="A24" s="360" t="s">
        <v>8</v>
      </c>
      <c r="B24" s="111"/>
      <c r="C24" s="111"/>
      <c r="D24" s="111"/>
      <c r="E24" s="374">
        <f t="shared" si="0"/>
        <v>0</v>
      </c>
      <c r="F24" s="153">
        <f t="shared" si="1"/>
        <v>0</v>
      </c>
      <c r="G24" s="153">
        <f t="shared" si="2"/>
        <v>0</v>
      </c>
    </row>
    <row r="25" spans="1:7" ht="16.5">
      <c r="A25" s="361" t="s">
        <v>218</v>
      </c>
      <c r="B25" s="111"/>
      <c r="C25" s="111">
        <v>55</v>
      </c>
      <c r="D25" s="111"/>
      <c r="E25" s="374">
        <f t="shared" si="0"/>
        <v>13.75</v>
      </c>
      <c r="F25" s="153">
        <f t="shared" si="1"/>
        <v>55</v>
      </c>
      <c r="G25" s="153">
        <f t="shared" si="2"/>
        <v>660</v>
      </c>
    </row>
    <row r="26" spans="1:7" ht="16.5">
      <c r="A26" s="361" t="s">
        <v>219</v>
      </c>
      <c r="B26" s="111"/>
      <c r="C26" s="111">
        <v>134</v>
      </c>
      <c r="D26" s="111"/>
      <c r="E26" s="374">
        <f t="shared" si="0"/>
        <v>33.5</v>
      </c>
      <c r="F26" s="153">
        <f t="shared" si="1"/>
        <v>134</v>
      </c>
      <c r="G26" s="153">
        <f t="shared" si="2"/>
        <v>1608</v>
      </c>
    </row>
    <row r="27" spans="1:7" ht="16.5">
      <c r="A27" s="361" t="s">
        <v>220</v>
      </c>
      <c r="B27" s="111"/>
      <c r="C27" s="111"/>
      <c r="D27" s="111"/>
      <c r="E27" s="374">
        <f t="shared" si="0"/>
        <v>0</v>
      </c>
      <c r="F27" s="153">
        <f t="shared" si="1"/>
        <v>0</v>
      </c>
      <c r="G27" s="153">
        <f t="shared" si="2"/>
        <v>0</v>
      </c>
    </row>
    <row r="28" spans="1:7" ht="16.5">
      <c r="A28" s="361" t="s">
        <v>221</v>
      </c>
      <c r="B28" s="111"/>
      <c r="C28" s="111"/>
      <c r="D28" s="111"/>
      <c r="E28" s="374">
        <f t="shared" si="0"/>
        <v>0</v>
      </c>
      <c r="F28" s="153">
        <f t="shared" si="1"/>
        <v>0</v>
      </c>
      <c r="G28" s="153">
        <f t="shared" si="2"/>
        <v>0</v>
      </c>
    </row>
    <row r="29" spans="1:7" ht="16.5">
      <c r="A29" s="361" t="s">
        <v>222</v>
      </c>
      <c r="B29" s="111"/>
      <c r="C29" s="111"/>
      <c r="D29" s="111"/>
      <c r="E29" s="374">
        <f t="shared" si="0"/>
        <v>0</v>
      </c>
      <c r="F29" s="153">
        <f t="shared" si="1"/>
        <v>0</v>
      </c>
      <c r="G29" s="153">
        <f t="shared" si="2"/>
        <v>0</v>
      </c>
    </row>
    <row r="30" spans="1:7" ht="16.5">
      <c r="A30" s="361"/>
      <c r="B30" s="111"/>
      <c r="C30" s="111"/>
      <c r="D30" s="111"/>
      <c r="E30" s="374">
        <f t="shared" si="0"/>
        <v>0</v>
      </c>
      <c r="F30" s="153">
        <f t="shared" si="1"/>
        <v>0</v>
      </c>
      <c r="G30" s="153">
        <f t="shared" si="2"/>
        <v>0</v>
      </c>
    </row>
    <row r="31" spans="1:7" ht="16.5">
      <c r="A31" s="360" t="s">
        <v>223</v>
      </c>
      <c r="B31" s="111"/>
      <c r="C31" s="111"/>
      <c r="D31" s="111"/>
      <c r="E31" s="374">
        <f t="shared" si="0"/>
        <v>0</v>
      </c>
      <c r="F31" s="153">
        <f t="shared" si="1"/>
        <v>0</v>
      </c>
      <c r="G31" s="153">
        <f t="shared" si="2"/>
        <v>0</v>
      </c>
    </row>
    <row r="32" spans="1:7" ht="16.5">
      <c r="A32" s="361" t="s">
        <v>224</v>
      </c>
      <c r="B32" s="111"/>
      <c r="C32" s="111">
        <v>250</v>
      </c>
      <c r="D32" s="111"/>
      <c r="E32" s="374">
        <f t="shared" si="0"/>
        <v>62.5</v>
      </c>
      <c r="F32" s="153">
        <f t="shared" si="1"/>
        <v>250</v>
      </c>
      <c r="G32" s="153">
        <f t="shared" si="2"/>
        <v>3000</v>
      </c>
    </row>
    <row r="33" spans="1:7" ht="16.5">
      <c r="A33" s="361" t="s">
        <v>225</v>
      </c>
      <c r="B33" s="111"/>
      <c r="C33" s="111"/>
      <c r="D33" s="111"/>
      <c r="E33" s="374">
        <f t="shared" si="0"/>
        <v>0</v>
      </c>
      <c r="F33" s="153">
        <f t="shared" si="1"/>
        <v>0</v>
      </c>
      <c r="G33" s="153">
        <f t="shared" si="2"/>
        <v>0</v>
      </c>
    </row>
    <row r="34" spans="1:7" ht="16.5">
      <c r="A34" s="361" t="s">
        <v>226</v>
      </c>
      <c r="B34" s="111"/>
      <c r="C34" s="111">
        <v>100</v>
      </c>
      <c r="D34" s="111"/>
      <c r="E34" s="374">
        <f t="shared" si="0"/>
        <v>25</v>
      </c>
      <c r="F34" s="153">
        <f t="shared" si="1"/>
        <v>100</v>
      </c>
      <c r="G34" s="153">
        <f t="shared" si="2"/>
        <v>1200</v>
      </c>
    </row>
    <row r="35" spans="1:7" ht="16.5">
      <c r="A35" s="361" t="s">
        <v>227</v>
      </c>
      <c r="B35" s="111"/>
      <c r="C35" s="111"/>
      <c r="D35" s="111"/>
      <c r="E35" s="374">
        <f t="shared" si="0"/>
        <v>0</v>
      </c>
      <c r="F35" s="153">
        <f t="shared" si="1"/>
        <v>0</v>
      </c>
      <c r="G35" s="153">
        <f t="shared" si="2"/>
        <v>0</v>
      </c>
    </row>
    <row r="36" spans="1:7" ht="16.5">
      <c r="A36" s="361" t="s">
        <v>228</v>
      </c>
      <c r="B36" s="111"/>
      <c r="C36" s="111"/>
      <c r="D36" s="111"/>
      <c r="E36" s="374">
        <f t="shared" si="0"/>
        <v>0</v>
      </c>
      <c r="F36" s="153">
        <f t="shared" si="1"/>
        <v>0</v>
      </c>
      <c r="G36" s="153">
        <f t="shared" si="2"/>
        <v>0</v>
      </c>
    </row>
    <row r="37" spans="1:7" ht="16.5">
      <c r="A37" s="361" t="s">
        <v>229</v>
      </c>
      <c r="B37" s="111"/>
      <c r="C37" s="111"/>
      <c r="D37" s="111">
        <v>100</v>
      </c>
      <c r="E37" s="374">
        <f t="shared" si="0"/>
        <v>1.9230769230769231</v>
      </c>
      <c r="F37" s="153">
        <f t="shared" si="1"/>
        <v>8.3333333333333339</v>
      </c>
      <c r="G37" s="153">
        <f t="shared" si="2"/>
        <v>100</v>
      </c>
    </row>
    <row r="38" spans="1:7" ht="16.5">
      <c r="A38" s="361" t="s">
        <v>230</v>
      </c>
      <c r="B38" s="111"/>
      <c r="C38" s="111"/>
      <c r="D38" s="111"/>
      <c r="E38" s="374">
        <f t="shared" si="0"/>
        <v>0</v>
      </c>
      <c r="F38" s="153">
        <f t="shared" si="1"/>
        <v>0</v>
      </c>
      <c r="G38" s="153">
        <f t="shared" si="2"/>
        <v>0</v>
      </c>
    </row>
    <row r="39" spans="1:7" ht="33">
      <c r="A39" s="361" t="s">
        <v>231</v>
      </c>
      <c r="B39" s="111"/>
      <c r="C39" s="111"/>
      <c r="D39" s="111"/>
      <c r="E39" s="374">
        <f t="shared" si="0"/>
        <v>0</v>
      </c>
      <c r="F39" s="153">
        <f t="shared" si="1"/>
        <v>0</v>
      </c>
      <c r="G39" s="153">
        <f t="shared" si="2"/>
        <v>0</v>
      </c>
    </row>
    <row r="40" spans="1:7" ht="16.5">
      <c r="A40" s="361" t="s">
        <v>232</v>
      </c>
      <c r="B40" s="111"/>
      <c r="C40" s="111">
        <v>100</v>
      </c>
      <c r="D40" s="111"/>
      <c r="E40" s="374">
        <f t="shared" si="0"/>
        <v>25</v>
      </c>
      <c r="F40" s="153">
        <f t="shared" si="1"/>
        <v>100</v>
      </c>
      <c r="G40" s="153">
        <f t="shared" si="2"/>
        <v>1200</v>
      </c>
    </row>
    <row r="41" spans="1:7" ht="16.5">
      <c r="A41" s="361" t="s">
        <v>233</v>
      </c>
      <c r="B41" s="111"/>
      <c r="C41" s="111"/>
      <c r="D41" s="111"/>
      <c r="E41" s="374">
        <f t="shared" si="0"/>
        <v>0</v>
      </c>
      <c r="F41" s="153">
        <f t="shared" si="1"/>
        <v>0</v>
      </c>
      <c r="G41" s="153">
        <f t="shared" si="2"/>
        <v>0</v>
      </c>
    </row>
    <row r="42" spans="1:7" ht="16.5">
      <c r="A42" s="361" t="s">
        <v>234</v>
      </c>
      <c r="B42" s="111"/>
      <c r="C42" s="111">
        <v>75</v>
      </c>
      <c r="D42" s="111"/>
      <c r="E42" s="374">
        <f t="shared" si="0"/>
        <v>18.75</v>
      </c>
      <c r="F42" s="153">
        <f t="shared" si="1"/>
        <v>75</v>
      </c>
      <c r="G42" s="153">
        <f t="shared" si="2"/>
        <v>900</v>
      </c>
    </row>
    <row r="43" spans="1:7" ht="16.5">
      <c r="A43" s="361" t="s">
        <v>235</v>
      </c>
      <c r="B43" s="111"/>
      <c r="C43" s="111"/>
      <c r="D43" s="111"/>
      <c r="E43" s="374">
        <f t="shared" si="0"/>
        <v>0</v>
      </c>
      <c r="F43" s="153">
        <f t="shared" si="1"/>
        <v>0</v>
      </c>
      <c r="G43" s="153">
        <f t="shared" si="2"/>
        <v>0</v>
      </c>
    </row>
    <row r="44" spans="1:7" ht="16.5">
      <c r="A44" s="361" t="s">
        <v>236</v>
      </c>
      <c r="B44" s="111"/>
      <c r="C44" s="111"/>
      <c r="D44" s="111"/>
      <c r="E44" s="374">
        <f t="shared" si="0"/>
        <v>0</v>
      </c>
      <c r="F44" s="153">
        <f t="shared" si="1"/>
        <v>0</v>
      </c>
      <c r="G44" s="153">
        <f t="shared" si="2"/>
        <v>0</v>
      </c>
    </row>
    <row r="45" spans="1:7" ht="16.5">
      <c r="A45" s="361" t="s">
        <v>237</v>
      </c>
      <c r="B45" s="111"/>
      <c r="C45" s="111"/>
      <c r="D45" s="111"/>
      <c r="E45" s="374">
        <f t="shared" si="0"/>
        <v>0</v>
      </c>
      <c r="F45" s="153">
        <f t="shared" si="1"/>
        <v>0</v>
      </c>
      <c r="G45" s="153">
        <f t="shared" si="2"/>
        <v>0</v>
      </c>
    </row>
    <row r="46" spans="1:7" ht="16.5">
      <c r="A46" s="361" t="s">
        <v>238</v>
      </c>
      <c r="B46" s="111"/>
      <c r="C46" s="111"/>
      <c r="D46" s="111">
        <v>150</v>
      </c>
      <c r="E46" s="374">
        <f t="shared" si="0"/>
        <v>2.8846153846153846</v>
      </c>
      <c r="F46" s="153">
        <f t="shared" si="1"/>
        <v>12.5</v>
      </c>
      <c r="G46" s="153">
        <f t="shared" si="2"/>
        <v>150</v>
      </c>
    </row>
    <row r="47" spans="1:7" ht="16.5">
      <c r="A47" s="361" t="s">
        <v>239</v>
      </c>
      <c r="B47" s="111"/>
      <c r="C47" s="111"/>
      <c r="D47" s="111"/>
      <c r="E47" s="374">
        <f t="shared" si="0"/>
        <v>0</v>
      </c>
      <c r="F47" s="153">
        <f t="shared" si="1"/>
        <v>0</v>
      </c>
      <c r="G47" s="153">
        <f t="shared" si="2"/>
        <v>0</v>
      </c>
    </row>
    <row r="48" spans="1:7" ht="16.5">
      <c r="A48" s="361" t="s">
        <v>240</v>
      </c>
      <c r="B48" s="111"/>
      <c r="C48" s="111"/>
      <c r="D48" s="111"/>
      <c r="E48" s="374">
        <f t="shared" si="0"/>
        <v>0</v>
      </c>
      <c r="F48" s="153">
        <f t="shared" si="1"/>
        <v>0</v>
      </c>
      <c r="G48" s="153">
        <f t="shared" si="2"/>
        <v>0</v>
      </c>
    </row>
    <row r="49" spans="1:7" ht="16.5">
      <c r="A49" s="361" t="s">
        <v>241</v>
      </c>
      <c r="B49" s="111"/>
      <c r="C49" s="111">
        <v>85</v>
      </c>
      <c r="D49" s="111"/>
      <c r="E49" s="374">
        <f t="shared" si="0"/>
        <v>21.25</v>
      </c>
      <c r="F49" s="153">
        <f t="shared" si="1"/>
        <v>85</v>
      </c>
      <c r="G49" s="153">
        <f t="shared" si="2"/>
        <v>1020</v>
      </c>
    </row>
    <row r="50" spans="1:7" ht="16.5">
      <c r="A50" s="361" t="s">
        <v>223</v>
      </c>
      <c r="B50" s="111"/>
      <c r="C50" s="111"/>
      <c r="D50" s="111"/>
      <c r="E50" s="374">
        <f t="shared" si="0"/>
        <v>0</v>
      </c>
      <c r="F50" s="153">
        <f t="shared" si="1"/>
        <v>0</v>
      </c>
      <c r="G50" s="153">
        <f t="shared" si="2"/>
        <v>0</v>
      </c>
    </row>
    <row r="51" spans="1:7" ht="16.5">
      <c r="A51" s="361" t="s">
        <v>242</v>
      </c>
      <c r="B51" s="111"/>
      <c r="C51" s="111"/>
      <c r="D51" s="111"/>
      <c r="E51" s="374">
        <f t="shared" si="0"/>
        <v>0</v>
      </c>
      <c r="F51" s="153">
        <f t="shared" si="1"/>
        <v>0</v>
      </c>
      <c r="G51" s="153">
        <f t="shared" si="2"/>
        <v>0</v>
      </c>
    </row>
    <row r="52" spans="1:7" ht="16.5">
      <c r="A52" s="361" t="s">
        <v>243</v>
      </c>
      <c r="B52" s="111"/>
      <c r="C52" s="111"/>
      <c r="D52" s="111"/>
      <c r="E52" s="374">
        <f t="shared" si="0"/>
        <v>0</v>
      </c>
      <c r="F52" s="153">
        <f t="shared" si="1"/>
        <v>0</v>
      </c>
      <c r="G52" s="153">
        <f t="shared" si="2"/>
        <v>0</v>
      </c>
    </row>
    <row r="53" spans="1:7" ht="16.5">
      <c r="A53" s="361" t="s">
        <v>244</v>
      </c>
      <c r="B53" s="111"/>
      <c r="C53" s="111"/>
      <c r="D53" s="111"/>
      <c r="E53" s="374">
        <f t="shared" si="0"/>
        <v>0</v>
      </c>
      <c r="F53" s="153">
        <f t="shared" si="1"/>
        <v>0</v>
      </c>
      <c r="G53" s="153">
        <f t="shared" si="2"/>
        <v>0</v>
      </c>
    </row>
    <row r="54" spans="1:7" ht="33.6" customHeight="1">
      <c r="A54" s="361" t="s">
        <v>245</v>
      </c>
      <c r="B54" s="111"/>
      <c r="C54" s="111"/>
      <c r="D54" s="111"/>
      <c r="E54" s="374">
        <f t="shared" si="0"/>
        <v>0</v>
      </c>
      <c r="F54" s="153">
        <f t="shared" si="1"/>
        <v>0</v>
      </c>
      <c r="G54" s="153">
        <f t="shared" si="2"/>
        <v>0</v>
      </c>
    </row>
    <row r="55" spans="1:7" ht="16.5">
      <c r="A55" s="361" t="s">
        <v>246</v>
      </c>
      <c r="B55" s="111"/>
      <c r="C55" s="111"/>
      <c r="D55" s="111"/>
      <c r="E55" s="374">
        <f t="shared" si="0"/>
        <v>0</v>
      </c>
      <c r="F55" s="153">
        <f t="shared" si="1"/>
        <v>0</v>
      </c>
      <c r="G55" s="153">
        <f t="shared" si="2"/>
        <v>0</v>
      </c>
    </row>
    <row r="56" spans="1:7" ht="16.5">
      <c r="A56" s="361" t="s">
        <v>247</v>
      </c>
      <c r="B56" s="111"/>
      <c r="C56" s="111"/>
      <c r="D56" s="111"/>
      <c r="E56" s="374">
        <f t="shared" si="0"/>
        <v>0</v>
      </c>
      <c r="F56" s="153">
        <f t="shared" si="1"/>
        <v>0</v>
      </c>
      <c r="G56" s="153">
        <f t="shared" si="2"/>
        <v>0</v>
      </c>
    </row>
    <row r="57" spans="1:7" ht="16.5">
      <c r="A57" s="361"/>
      <c r="B57" s="111"/>
      <c r="C57" s="111"/>
      <c r="D57" s="111"/>
      <c r="E57" s="374">
        <f t="shared" si="0"/>
        <v>0</v>
      </c>
      <c r="F57" s="153">
        <f t="shared" si="1"/>
        <v>0</v>
      </c>
      <c r="G57" s="153">
        <f t="shared" si="2"/>
        <v>0</v>
      </c>
    </row>
    <row r="58" spans="1:7" ht="16.5">
      <c r="A58" s="361"/>
      <c r="B58" s="111"/>
      <c r="C58" s="111"/>
      <c r="D58" s="111"/>
      <c r="E58" s="374"/>
      <c r="F58" s="153"/>
      <c r="G58" s="153">
        <f t="shared" si="2"/>
        <v>0</v>
      </c>
    </row>
    <row r="59" spans="1:7" ht="16.5">
      <c r="A59" s="376"/>
      <c r="B59" s="377"/>
      <c r="C59" s="377"/>
      <c r="D59" s="377"/>
      <c r="E59" s="374">
        <f t="shared" si="0"/>
        <v>0</v>
      </c>
      <c r="F59" s="153">
        <f t="shared" si="1"/>
        <v>0</v>
      </c>
      <c r="G59" s="153">
        <f t="shared" si="2"/>
        <v>0</v>
      </c>
    </row>
    <row r="60" spans="1:7" ht="16.5">
      <c r="A60" s="378"/>
      <c r="B60" s="379"/>
      <c r="C60" s="379"/>
      <c r="D60" s="379"/>
      <c r="E60" s="375">
        <f t="shared" si="0"/>
        <v>0</v>
      </c>
      <c r="F60" s="153">
        <f t="shared" si="1"/>
        <v>0</v>
      </c>
      <c r="G60" s="153">
        <f t="shared" si="2"/>
        <v>0</v>
      </c>
    </row>
  </sheetData>
  <mergeCells count="7">
    <mergeCell ref="I1:K1"/>
    <mergeCell ref="J3:L3"/>
    <mergeCell ref="J4:L4"/>
    <mergeCell ref="B3:D3"/>
    <mergeCell ref="B4:D4"/>
    <mergeCell ref="E3:G3"/>
    <mergeCell ref="E4:G4"/>
  </mergeCells>
  <pageMargins left="0.28000000000000003" right="0.24" top="0.45" bottom="0.41" header="0.3" footer="0.3"/>
  <pageSetup scale="60"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1"/>
  <sheetViews>
    <sheetView showGridLines="0" tabSelected="1" zoomScaleNormal="100" workbookViewId="0">
      <selection activeCell="D17" sqref="D17"/>
    </sheetView>
  </sheetViews>
  <sheetFormatPr defaultColWidth="0" defaultRowHeight="12.75" customHeight="1"/>
  <cols>
    <col min="1" max="1" width="14.7109375" customWidth="1"/>
    <col min="2" max="2" width="5.7109375" customWidth="1"/>
    <col min="3" max="3" width="23.7109375" customWidth="1"/>
    <col min="4" max="6" width="18.7109375" customWidth="1"/>
    <col min="7" max="16384" width="18.7109375" hidden="1"/>
  </cols>
  <sheetData>
    <row r="1" spans="1:6" ht="12.75" customHeight="1">
      <c r="A1" s="2" t="s">
        <v>147</v>
      </c>
      <c r="E1" s="699" t="str">
        <f>D11</f>
        <v>ACME 5 Year</v>
      </c>
      <c r="F1" s="699"/>
    </row>
    <row r="2" spans="1:6" ht="12.75" customHeight="1">
      <c r="A2" s="10"/>
    </row>
    <row r="3" spans="1:6" ht="12.75" customHeight="1">
      <c r="A3" s="10" t="s">
        <v>148</v>
      </c>
    </row>
    <row r="4" spans="1:6" ht="12.75" customHeight="1" thickBot="1">
      <c r="A4" s="10"/>
    </row>
    <row r="5" spans="1:6" ht="12.75" customHeight="1">
      <c r="B5" s="265" t="s">
        <v>153</v>
      </c>
      <c r="C5" s="266"/>
      <c r="D5" s="266"/>
      <c r="E5" s="266"/>
      <c r="F5" s="267"/>
    </row>
    <row r="6" spans="1:6" ht="12.75" customHeight="1" thickBot="1">
      <c r="B6" s="268" t="s">
        <v>149</v>
      </c>
      <c r="C6" s="269"/>
      <c r="D6" s="269"/>
      <c r="E6" s="269"/>
      <c r="F6" s="270"/>
    </row>
    <row r="7" spans="1:6" s="181" customFormat="1" ht="12.75" customHeight="1">
      <c r="A7" s="259"/>
    </row>
    <row r="8" spans="1:6" ht="7.9" customHeight="1">
      <c r="A8" s="260"/>
      <c r="B8" s="261"/>
      <c r="C8" s="261"/>
      <c r="D8" s="261"/>
      <c r="E8" s="261"/>
      <c r="F8" s="261"/>
    </row>
    <row r="9" spans="1:6" ht="12.75" customHeight="1">
      <c r="A9" s="248" t="s">
        <v>150</v>
      </c>
    </row>
    <row r="10" spans="1:6" ht="12.75" customHeight="1">
      <c r="A10" s="10"/>
      <c r="B10" s="251"/>
    </row>
    <row r="11" spans="1:6" ht="12.75" customHeight="1">
      <c r="B11" s="251"/>
      <c r="C11" s="253" t="s">
        <v>111</v>
      </c>
      <c r="D11" s="697" t="s">
        <v>272</v>
      </c>
      <c r="E11" s="698"/>
    </row>
    <row r="12" spans="1:6" ht="12.75" customHeight="1">
      <c r="A12" s="44"/>
      <c r="B12" s="251"/>
      <c r="C12" s="252"/>
      <c r="D12" s="252"/>
    </row>
    <row r="13" spans="1:6" ht="7.9" customHeight="1">
      <c r="A13" s="262"/>
      <c r="B13" s="263"/>
      <c r="C13" s="264"/>
      <c r="D13" s="264"/>
      <c r="E13" s="261"/>
      <c r="F13" s="261"/>
    </row>
    <row r="14" spans="1:6" ht="12.75" customHeight="1">
      <c r="A14" s="95" t="s">
        <v>151</v>
      </c>
      <c r="B14" s="251"/>
      <c r="C14" s="252"/>
      <c r="D14" s="252"/>
    </row>
    <row r="15" spans="1:6">
      <c r="C15" s="2"/>
    </row>
    <row r="16" spans="1:6" s="25" customFormat="1">
      <c r="C16" s="253" t="s">
        <v>56</v>
      </c>
      <c r="D16" s="254">
        <v>2016</v>
      </c>
      <c r="E16"/>
    </row>
    <row r="17" spans="1:6" s="25" customFormat="1">
      <c r="C17" s="253" t="s">
        <v>57</v>
      </c>
      <c r="D17" s="255">
        <v>1</v>
      </c>
      <c r="E17" s="256" t="str">
        <f>TEXT(DATE(+D16,+D17,1),"MMM")</f>
        <v>Jan</v>
      </c>
    </row>
    <row r="18" spans="1:6" s="25" customFormat="1"/>
    <row r="19" spans="1:6" s="25" customFormat="1" ht="7.9" customHeight="1">
      <c r="A19" s="132"/>
      <c r="B19" s="132"/>
      <c r="C19" s="132"/>
      <c r="D19" s="132"/>
      <c r="E19" s="132"/>
      <c r="F19" s="132"/>
    </row>
    <row r="20" spans="1:6" s="25" customFormat="1">
      <c r="A20" s="95" t="s">
        <v>152</v>
      </c>
    </row>
    <row r="21" spans="1:6" ht="12.75" customHeight="1">
      <c r="E21" s="25"/>
    </row>
    <row r="22" spans="1:6" ht="12.75" customHeight="1">
      <c r="C22" s="258" t="s">
        <v>28</v>
      </c>
      <c r="D22" s="257">
        <v>0.15</v>
      </c>
      <c r="E22" s="25"/>
    </row>
    <row r="23" spans="1:6" ht="12.75" customHeight="1">
      <c r="E23" s="25"/>
    </row>
    <row r="24" spans="1:6" s="25" customFormat="1" ht="7.9" customHeight="1">
      <c r="A24" s="132"/>
      <c r="B24" s="132"/>
      <c r="C24" s="132"/>
      <c r="D24" s="132"/>
      <c r="E24" s="132"/>
      <c r="F24" s="132"/>
    </row>
    <row r="25" spans="1:6" ht="12.75" customHeight="1">
      <c r="A25" s="95" t="s">
        <v>154</v>
      </c>
      <c r="B25" s="25"/>
      <c r="C25" s="25"/>
    </row>
    <row r="26" spans="1:6" ht="12.75" customHeight="1">
      <c r="A26" s="25"/>
      <c r="B26" s="25"/>
      <c r="C26" s="25"/>
    </row>
    <row r="27" spans="1:6" ht="12.75" customHeight="1" thickBot="1">
      <c r="A27" s="25"/>
      <c r="B27" s="332" t="s">
        <v>173</v>
      </c>
      <c r="C27" s="332" t="s">
        <v>174</v>
      </c>
      <c r="D27" s="333" t="s">
        <v>66</v>
      </c>
      <c r="E27" s="41"/>
      <c r="F27" s="41"/>
    </row>
    <row r="28" spans="1:6" ht="12.75" customHeight="1">
      <c r="A28" s="25"/>
      <c r="B28" s="331">
        <v>0</v>
      </c>
      <c r="C28" s="327" t="s">
        <v>175</v>
      </c>
      <c r="D28" s="106" t="s">
        <v>176</v>
      </c>
      <c r="E28" s="246"/>
      <c r="F28" s="246"/>
    </row>
    <row r="29" spans="1:6" ht="12.75" customHeight="1">
      <c r="B29" s="334">
        <v>1</v>
      </c>
      <c r="C29" s="335" t="s">
        <v>177</v>
      </c>
      <c r="D29" s="335" t="s">
        <v>178</v>
      </c>
      <c r="E29" s="336"/>
      <c r="F29" s="336"/>
    </row>
    <row r="30" spans="1:6" ht="12.75" customHeight="1">
      <c r="B30" s="330">
        <v>2</v>
      </c>
      <c r="C30" s="328" t="s">
        <v>179</v>
      </c>
      <c r="D30" s="328" t="s">
        <v>180</v>
      </c>
      <c r="E30" s="329"/>
      <c r="F30" s="329"/>
    </row>
    <row r="31" spans="1:6" ht="12.75" customHeight="1">
      <c r="B31" s="334">
        <v>3</v>
      </c>
      <c r="C31" s="335" t="s">
        <v>181</v>
      </c>
      <c r="D31" s="335" t="s">
        <v>182</v>
      </c>
      <c r="E31" s="336"/>
      <c r="F31" s="336"/>
    </row>
    <row r="32" spans="1:6" ht="12.75" customHeight="1">
      <c r="B32" s="330">
        <v>4</v>
      </c>
      <c r="C32" s="328" t="s">
        <v>183</v>
      </c>
      <c r="D32" s="328" t="s">
        <v>184</v>
      </c>
      <c r="E32" s="329"/>
      <c r="F32" s="329"/>
    </row>
    <row r="33" spans="1:6" ht="12.75" customHeight="1">
      <c r="B33" s="334">
        <v>5</v>
      </c>
      <c r="C33" s="335" t="s">
        <v>185</v>
      </c>
      <c r="D33" s="335" t="s">
        <v>186</v>
      </c>
      <c r="E33" s="336"/>
      <c r="F33" s="336"/>
    </row>
    <row r="34" spans="1:6" ht="12.75" customHeight="1">
      <c r="B34" s="330">
        <v>6</v>
      </c>
      <c r="C34" s="328" t="s">
        <v>187</v>
      </c>
      <c r="D34" s="328" t="s">
        <v>188</v>
      </c>
      <c r="E34" s="329"/>
      <c r="F34" s="329"/>
    </row>
    <row r="35" spans="1:6" ht="12.75" customHeight="1">
      <c r="B35" s="334">
        <v>7</v>
      </c>
      <c r="C35" s="335" t="s">
        <v>189</v>
      </c>
      <c r="D35" s="335" t="s">
        <v>190</v>
      </c>
      <c r="E35" s="336"/>
      <c r="F35" s="336"/>
    </row>
    <row r="36" spans="1:6" ht="12.75" customHeight="1">
      <c r="B36" s="330">
        <v>8</v>
      </c>
      <c r="C36" s="328" t="s">
        <v>336</v>
      </c>
      <c r="D36" s="328" t="s">
        <v>337</v>
      </c>
      <c r="E36" s="329"/>
      <c r="F36" s="329"/>
    </row>
    <row r="37" spans="1:6" ht="12.75" customHeight="1">
      <c r="B37" s="334">
        <v>9</v>
      </c>
      <c r="C37" s="335" t="s">
        <v>191</v>
      </c>
      <c r="D37" s="335" t="s">
        <v>194</v>
      </c>
      <c r="E37" s="336"/>
      <c r="F37" s="336"/>
    </row>
    <row r="38" spans="1:6" ht="12.75" customHeight="1">
      <c r="B38" s="330">
        <v>10</v>
      </c>
      <c r="C38" s="328" t="s">
        <v>192</v>
      </c>
      <c r="D38" s="328" t="s">
        <v>193</v>
      </c>
      <c r="E38" s="329"/>
      <c r="F38" s="329"/>
    </row>
    <row r="39" spans="1:6" ht="12.75" customHeight="1">
      <c r="B39" s="334">
        <v>11</v>
      </c>
      <c r="C39" s="335" t="s">
        <v>332</v>
      </c>
      <c r="D39" s="335" t="s">
        <v>333</v>
      </c>
      <c r="E39" s="336"/>
      <c r="F39" s="336"/>
    </row>
    <row r="40" spans="1:6" ht="12.75" customHeight="1">
      <c r="B40" s="330">
        <v>12</v>
      </c>
      <c r="C40" s="328" t="s">
        <v>195</v>
      </c>
      <c r="D40" s="328" t="s">
        <v>196</v>
      </c>
      <c r="E40" s="329"/>
      <c r="F40" s="329"/>
    </row>
    <row r="41" spans="1:6" ht="12.75" customHeight="1">
      <c r="A41" s="10" t="s">
        <v>330</v>
      </c>
      <c r="B41" s="334"/>
      <c r="C41" s="335" t="s">
        <v>334</v>
      </c>
      <c r="D41" s="335" t="s">
        <v>335</v>
      </c>
      <c r="E41" s="336"/>
      <c r="F41" s="336"/>
    </row>
  </sheetData>
  <mergeCells count="2">
    <mergeCell ref="D11:E11"/>
    <mergeCell ref="E1:F1"/>
  </mergeCells>
  <phoneticPr fontId="2" type="noConversion"/>
  <pageMargins left="0.24" right="0.25" top="0.55000000000000004" bottom="0.51" header="0.24" footer="0.24"/>
  <pageSetup orientation="portrait" r:id="rId1"/>
  <headerFooter alignWithMargins="0">
    <oddHeader>&amp;LTab 0: Basic Info&amp;CRapid Business Plan</oddHeader>
    <oddFooter>&amp;LDate Printed: &amp;D&amp;CHeartland Information Research, Inc&amp;R1 of 9</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G75"/>
  <sheetViews>
    <sheetView showGridLines="0" zoomScaleNormal="100" workbookViewId="0">
      <selection activeCell="B55" sqref="B55"/>
    </sheetView>
  </sheetViews>
  <sheetFormatPr defaultColWidth="0" defaultRowHeight="12.75" customHeight="1"/>
  <cols>
    <col min="1" max="1" width="20.7109375" style="25" customWidth="1"/>
    <col min="2" max="2" width="7.42578125" style="25" customWidth="1"/>
    <col min="3" max="7" width="12.7109375" style="25" customWidth="1"/>
    <col min="8" max="16384" width="18.7109375" style="25" hidden="1"/>
  </cols>
  <sheetData>
    <row r="1" spans="1:7">
      <c r="A1" s="165" t="s">
        <v>46</v>
      </c>
      <c r="B1" s="166"/>
      <c r="C1" s="166"/>
      <c r="D1" s="166"/>
      <c r="E1" s="703" t="str">
        <f>'0. Basic Info'!D11</f>
        <v>ACME 5 Year</v>
      </c>
      <c r="F1" s="703"/>
      <c r="G1" s="704"/>
    </row>
    <row r="2" spans="1:7">
      <c r="A2" s="176" t="s">
        <v>317</v>
      </c>
      <c r="B2" s="166"/>
      <c r="C2" s="166"/>
      <c r="D2" s="166"/>
      <c r="E2" s="166"/>
      <c r="F2" s="166"/>
      <c r="G2" s="183"/>
    </row>
    <row r="3" spans="1:7">
      <c r="A3" s="176" t="s">
        <v>155</v>
      </c>
      <c r="B3" s="166"/>
      <c r="C3" s="166"/>
      <c r="D3" s="166"/>
      <c r="E3" s="166"/>
      <c r="F3" s="166"/>
      <c r="G3" s="183"/>
    </row>
    <row r="4" spans="1:7">
      <c r="A4" s="10"/>
      <c r="B4"/>
      <c r="C4"/>
      <c r="D4"/>
      <c r="E4"/>
      <c r="F4"/>
      <c r="G4"/>
    </row>
    <row r="5" spans="1:7" ht="13.5" thickBot="1">
      <c r="A5" s="47" t="s">
        <v>316</v>
      </c>
      <c r="B5" s="48"/>
      <c r="C5" s="48" t="s">
        <v>47</v>
      </c>
      <c r="D5" s="520"/>
      <c r="E5" s="48" t="s">
        <v>1</v>
      </c>
      <c r="F5" s="48" t="s">
        <v>1</v>
      </c>
      <c r="G5" s="521"/>
    </row>
    <row r="6" spans="1:7">
      <c r="A6" s="109" t="s">
        <v>318</v>
      </c>
      <c r="B6" s="509"/>
      <c r="C6" s="510">
        <v>30</v>
      </c>
      <c r="D6" s="511"/>
      <c r="E6" s="512">
        <v>0.21</v>
      </c>
      <c r="F6" s="46">
        <f>E6*C6</f>
        <v>6.3</v>
      </c>
      <c r="G6" s="513"/>
    </row>
    <row r="7" spans="1:7">
      <c r="A7" s="109" t="s">
        <v>319</v>
      </c>
      <c r="B7" s="514"/>
      <c r="C7" s="515">
        <v>25</v>
      </c>
      <c r="D7" s="516"/>
      <c r="E7" s="110">
        <v>0.21</v>
      </c>
      <c r="F7" s="383">
        <f t="shared" ref="F7:F12" si="0">E7*C7</f>
        <v>5.25</v>
      </c>
      <c r="G7" s="517"/>
    </row>
    <row r="8" spans="1:7">
      <c r="A8" s="109" t="s">
        <v>320</v>
      </c>
      <c r="B8" s="518"/>
      <c r="C8" s="515">
        <v>15</v>
      </c>
      <c r="D8" s="516"/>
      <c r="E8" s="110">
        <v>0.21</v>
      </c>
      <c r="F8" s="383">
        <f t="shared" si="0"/>
        <v>3.15</v>
      </c>
      <c r="G8" s="517"/>
    </row>
    <row r="9" spans="1:7">
      <c r="A9" s="109" t="s">
        <v>321</v>
      </c>
      <c r="B9" s="518"/>
      <c r="C9" s="515">
        <v>10</v>
      </c>
      <c r="D9" s="519"/>
      <c r="E9" s="110">
        <v>0.21</v>
      </c>
      <c r="F9" s="383">
        <f t="shared" si="0"/>
        <v>2.1</v>
      </c>
      <c r="G9" s="517"/>
    </row>
    <row r="10" spans="1:7">
      <c r="A10" s="109" t="s">
        <v>322</v>
      </c>
      <c r="B10" s="518"/>
      <c r="C10" s="515"/>
      <c r="D10" s="516"/>
      <c r="E10" s="110"/>
      <c r="F10" s="383">
        <f t="shared" si="0"/>
        <v>0</v>
      </c>
      <c r="G10" s="517"/>
    </row>
    <row r="11" spans="1:7">
      <c r="A11" s="109" t="s">
        <v>323</v>
      </c>
      <c r="B11" s="518"/>
      <c r="C11" s="515"/>
      <c r="D11" s="516"/>
      <c r="E11" s="110"/>
      <c r="F11" s="383">
        <f t="shared" si="0"/>
        <v>0</v>
      </c>
      <c r="G11" s="517"/>
    </row>
    <row r="12" spans="1:7">
      <c r="A12" s="101" t="s">
        <v>9</v>
      </c>
      <c r="B12" s="518"/>
      <c r="C12" s="515"/>
      <c r="D12" s="516"/>
      <c r="E12" s="110"/>
      <c r="F12" s="383">
        <f t="shared" si="0"/>
        <v>0</v>
      </c>
      <c r="G12" s="517"/>
    </row>
    <row r="13" spans="1:7" ht="5.45" customHeight="1">
      <c r="A13" s="163"/>
      <c r="B13" s="163"/>
      <c r="C13" s="163"/>
      <c r="D13" s="163"/>
      <c r="E13" s="163"/>
      <c r="F13" s="164"/>
      <c r="G13" s="184"/>
    </row>
    <row r="14" spans="1:7">
      <c r="A14" s="165" t="s">
        <v>48</v>
      </c>
      <c r="B14" s="166"/>
      <c r="C14" s="166"/>
      <c r="D14" s="166"/>
      <c r="E14" s="166"/>
      <c r="F14" s="167"/>
      <c r="G14" s="183"/>
    </row>
    <row r="15" spans="1:7">
      <c r="A15" s="168" t="s">
        <v>156</v>
      </c>
      <c r="B15" s="166"/>
      <c r="C15" s="166"/>
      <c r="D15" s="166"/>
      <c r="E15" s="166"/>
      <c r="F15" s="166"/>
      <c r="G15" s="183"/>
    </row>
    <row r="16" spans="1:7" ht="25.15" customHeight="1" thickBot="1">
      <c r="A16"/>
      <c r="B16"/>
      <c r="C16" s="274" t="s">
        <v>273</v>
      </c>
      <c r="D16" s="278"/>
      <c r="E16" s="278"/>
      <c r="F16" s="278"/>
      <c r="G16" s="278"/>
    </row>
    <row r="17" spans="1:7" ht="13.5" thickBot="1">
      <c r="A17" s="7" t="str">
        <f t="shared" ref="A17:A24" si="1">A5</f>
        <v>Customer Type</v>
      </c>
      <c r="B17" s="384"/>
      <c r="C17" s="275">
        <f>'0. Basic Info'!D16</f>
        <v>2016</v>
      </c>
      <c r="D17" s="705" t="s">
        <v>115</v>
      </c>
      <c r="E17" s="706"/>
      <c r="F17" s="706"/>
      <c r="G17" s="707"/>
    </row>
    <row r="18" spans="1:7">
      <c r="A18" s="6" t="str">
        <f t="shared" si="1"/>
        <v>Customer Type 1</v>
      </c>
      <c r="B18" s="385"/>
      <c r="C18" s="522">
        <v>60</v>
      </c>
      <c r="D18" s="708" t="s">
        <v>116</v>
      </c>
      <c r="E18" s="709"/>
      <c r="F18" s="709"/>
      <c r="G18" s="710"/>
    </row>
    <row r="19" spans="1:7" ht="13.5" thickBot="1">
      <c r="A19" s="3" t="str">
        <f t="shared" si="1"/>
        <v>Customer Type 2</v>
      </c>
      <c r="B19" s="385"/>
      <c r="C19" s="523">
        <v>2</v>
      </c>
      <c r="D19" s="711" t="s">
        <v>157</v>
      </c>
      <c r="E19" s="712"/>
      <c r="F19" s="712"/>
      <c r="G19" s="713"/>
    </row>
    <row r="20" spans="1:7" ht="13.5" thickBot="1">
      <c r="A20" s="3" t="str">
        <f t="shared" si="1"/>
        <v>Customer Type 3</v>
      </c>
      <c r="B20" s="385"/>
      <c r="C20" s="523">
        <v>50</v>
      </c>
      <c r="D20" s="636"/>
      <c r="E20" s="637" t="s">
        <v>41</v>
      </c>
      <c r="F20" s="638" t="s">
        <v>40</v>
      </c>
      <c r="G20" s="639" t="s">
        <v>42</v>
      </c>
    </row>
    <row r="21" spans="1:7">
      <c r="A21" s="3" t="str">
        <f t="shared" si="1"/>
        <v>Customer Type 4</v>
      </c>
      <c r="B21" s="385"/>
      <c r="C21" s="523">
        <v>40</v>
      </c>
      <c r="D21" s="640" t="s">
        <v>117</v>
      </c>
      <c r="E21" s="641">
        <f>'8. P&amp;L and Cashflow'!C7</f>
        <v>34500</v>
      </c>
      <c r="F21" s="642">
        <f t="shared" ref="F21:F26" si="2">E21/12</f>
        <v>2875</v>
      </c>
      <c r="G21" s="643">
        <f>E21/52</f>
        <v>663.46153846153845</v>
      </c>
    </row>
    <row r="22" spans="1:7">
      <c r="A22" s="3" t="str">
        <f t="shared" si="1"/>
        <v>Customer Type 5</v>
      </c>
      <c r="B22" s="385"/>
      <c r="C22" s="523"/>
      <c r="D22" s="644" t="s">
        <v>1</v>
      </c>
      <c r="E22" s="645">
        <f>'8. P&amp;L and Cashflow'!C8</f>
        <v>7245</v>
      </c>
      <c r="F22" s="642">
        <f t="shared" si="2"/>
        <v>603.75</v>
      </c>
      <c r="G22" s="643">
        <f t="shared" ref="G22:G24" si="3">E22/52</f>
        <v>139.32692307692307</v>
      </c>
    </row>
    <row r="23" spans="1:7">
      <c r="A23" s="3" t="str">
        <f t="shared" si="1"/>
        <v>Customer Type 6</v>
      </c>
      <c r="B23" s="385"/>
      <c r="C23" s="523"/>
      <c r="D23" s="644" t="s">
        <v>69</v>
      </c>
      <c r="E23" s="645">
        <f>'8. P&amp;L and Cashflow'!C53</f>
        <v>25921.489523809523</v>
      </c>
      <c r="F23" s="642">
        <f t="shared" si="2"/>
        <v>2160.1241269841271</v>
      </c>
      <c r="G23" s="643">
        <f t="shared" si="3"/>
        <v>498.49018315018316</v>
      </c>
    </row>
    <row r="24" spans="1:7" ht="13.5" thickBot="1">
      <c r="A24" s="7" t="str">
        <f t="shared" si="1"/>
        <v>Other</v>
      </c>
      <c r="B24" s="28"/>
      <c r="C24" s="276"/>
      <c r="D24" s="646" t="s">
        <v>313</v>
      </c>
      <c r="E24" s="647">
        <f>'8. P&amp;L and Cashflow'!P57</f>
        <v>535.44826832269564</v>
      </c>
      <c r="F24" s="648">
        <f t="shared" si="2"/>
        <v>44.620689026891306</v>
      </c>
      <c r="G24" s="649">
        <f t="shared" si="3"/>
        <v>10.297082083128762</v>
      </c>
    </row>
    <row r="25" spans="1:7" ht="13.5" thickBot="1">
      <c r="A25" s="45" t="s">
        <v>49</v>
      </c>
      <c r="B25" s="6"/>
      <c r="C25" s="277">
        <f>SUM(C18:C24)</f>
        <v>152</v>
      </c>
      <c r="D25" s="650" t="s">
        <v>5</v>
      </c>
      <c r="E25" s="651">
        <f>'8. P&amp;L and Cashflow'!C60</f>
        <v>678.35287668761396</v>
      </c>
      <c r="F25" s="652">
        <f t="shared" si="2"/>
        <v>56.529406390634499</v>
      </c>
      <c r="G25" s="653">
        <f>E25/52</f>
        <v>13.04524762860796</v>
      </c>
    </row>
    <row r="26" spans="1:7" ht="14.45" customHeight="1" thickBot="1">
      <c r="A26"/>
      <c r="B26"/>
      <c r="C26"/>
      <c r="D26" s="654" t="s">
        <v>118</v>
      </c>
      <c r="E26" s="655">
        <f>(E23+E24)/(1-(E22/E21))</f>
        <v>33489.794673585086</v>
      </c>
      <c r="F26" s="656">
        <f t="shared" si="2"/>
        <v>2790.8162227987573</v>
      </c>
      <c r="G26" s="657">
        <f>E26/52</f>
        <v>644.03451295355933</v>
      </c>
    </row>
    <row r="27" spans="1:7">
      <c r="A27" s="2" t="s">
        <v>306</v>
      </c>
      <c r="B27" s="18"/>
      <c r="C27" s="18"/>
      <c r="D27" s="381"/>
      <c r="E27" s="450"/>
      <c r="F27" s="450"/>
      <c r="G27" s="382"/>
    </row>
    <row r="28" spans="1:7">
      <c r="A28" s="59" t="s">
        <v>266</v>
      </c>
      <c r="D28" s="175"/>
      <c r="E28" s="171"/>
      <c r="F28" s="171"/>
      <c r="G28" s="186"/>
    </row>
    <row r="29" spans="1:7">
      <c r="A29" s="10"/>
      <c r="B29"/>
      <c r="C29"/>
      <c r="D29"/>
      <c r="E29"/>
      <c r="F29"/>
      <c r="G29"/>
    </row>
    <row r="30" spans="1:7" ht="13.5" thickBot="1">
      <c r="A30" s="624" t="s">
        <v>267</v>
      </c>
      <c r="B30" s="7"/>
      <c r="C30" s="28">
        <f>C66</f>
        <v>2016</v>
      </c>
      <c r="D30" s="28">
        <f>C30+1</f>
        <v>2017</v>
      </c>
      <c r="E30" s="28">
        <f t="shared" ref="E30:G30" si="4">D30+1</f>
        <v>2018</v>
      </c>
      <c r="F30" s="28">
        <f t="shared" si="4"/>
        <v>2019</v>
      </c>
      <c r="G30" s="28">
        <f t="shared" si="4"/>
        <v>2020</v>
      </c>
    </row>
    <row r="31" spans="1:7">
      <c r="A31" s="6" t="str">
        <f t="shared" ref="A31:A37" si="5">A67</f>
        <v>Customer Type 1</v>
      </c>
      <c r="B31" s="6"/>
      <c r="C31" s="451"/>
      <c r="D31" s="452">
        <v>0.1</v>
      </c>
      <c r="E31" s="452">
        <v>0.1</v>
      </c>
      <c r="F31" s="452">
        <v>0.1</v>
      </c>
      <c r="G31" s="452">
        <v>0.1</v>
      </c>
    </row>
    <row r="32" spans="1:7">
      <c r="A32" s="6" t="str">
        <f t="shared" si="5"/>
        <v>Customer Type 2</v>
      </c>
      <c r="B32" s="3"/>
      <c r="C32" s="451"/>
      <c r="D32" s="453">
        <v>0.15</v>
      </c>
      <c r="E32" s="453">
        <v>0.15</v>
      </c>
      <c r="F32" s="453">
        <v>0.15</v>
      </c>
      <c r="G32" s="453">
        <v>0.15</v>
      </c>
    </row>
    <row r="33" spans="1:7">
      <c r="A33" s="6" t="str">
        <f t="shared" si="5"/>
        <v>Customer Type 3</v>
      </c>
      <c r="B33" s="3"/>
      <c r="C33" s="451"/>
      <c r="D33" s="453">
        <v>0.15</v>
      </c>
      <c r="E33" s="453">
        <v>0.15</v>
      </c>
      <c r="F33" s="453">
        <v>0.15</v>
      </c>
      <c r="G33" s="453">
        <v>0.15</v>
      </c>
    </row>
    <row r="34" spans="1:7">
      <c r="A34" s="6" t="str">
        <f t="shared" si="5"/>
        <v>Customer Type 4</v>
      </c>
      <c r="B34" s="3"/>
      <c r="C34" s="451"/>
      <c r="D34" s="453">
        <v>0.1</v>
      </c>
      <c r="E34" s="453">
        <v>0.1</v>
      </c>
      <c r="F34" s="453">
        <v>0.1</v>
      </c>
      <c r="G34" s="453">
        <v>0.1</v>
      </c>
    </row>
    <row r="35" spans="1:7">
      <c r="A35" s="6" t="str">
        <f t="shared" si="5"/>
        <v>Customer Type 5</v>
      </c>
      <c r="B35" s="3"/>
      <c r="C35" s="451"/>
      <c r="D35" s="453">
        <v>0.1</v>
      </c>
      <c r="E35" s="453">
        <v>0.1</v>
      </c>
      <c r="F35" s="453">
        <v>0.1</v>
      </c>
      <c r="G35" s="453">
        <v>0.1</v>
      </c>
    </row>
    <row r="36" spans="1:7">
      <c r="A36" s="6" t="str">
        <f t="shared" si="5"/>
        <v>Customer Type 6</v>
      </c>
      <c r="B36" s="3"/>
      <c r="C36" s="451"/>
      <c r="D36" s="453"/>
      <c r="E36" s="453"/>
      <c r="F36" s="453"/>
      <c r="G36" s="453"/>
    </row>
    <row r="37" spans="1:7" ht="13.5" thickBot="1">
      <c r="A37" s="6" t="str">
        <f t="shared" si="5"/>
        <v>Other</v>
      </c>
      <c r="B37" s="7"/>
      <c r="C37" s="454"/>
      <c r="D37" s="455"/>
      <c r="E37" s="455"/>
      <c r="F37" s="455"/>
      <c r="G37" s="455"/>
    </row>
    <row r="38" spans="1:7">
      <c r="A38" s="9"/>
      <c r="B38" s="9"/>
      <c r="C38" s="626"/>
      <c r="D38" s="627"/>
      <c r="E38" s="627"/>
      <c r="F38" s="627"/>
      <c r="G38" s="627"/>
    </row>
    <row r="39" spans="1:7">
      <c r="A39" s="2" t="s">
        <v>307</v>
      </c>
      <c r="B39"/>
      <c r="C39"/>
      <c r="D39" s="172"/>
      <c r="E39" s="167"/>
      <c r="F39" s="169"/>
      <c r="G39" s="183"/>
    </row>
    <row r="40" spans="1:7" ht="3.6" customHeight="1">
      <c r="A40" s="13"/>
      <c r="B40"/>
      <c r="C40" s="274" t="s">
        <v>50</v>
      </c>
      <c r="D40" s="173"/>
      <c r="E40" s="170"/>
      <c r="F40" s="170"/>
      <c r="G40" s="185"/>
    </row>
    <row r="41" spans="1:7" ht="13.5" thickBot="1">
      <c r="A41" s="7" t="str">
        <f t="shared" ref="A41:A48" si="6">A5</f>
        <v>Customer Type</v>
      </c>
      <c r="B41" s="7"/>
      <c r="C41" s="28">
        <f>C17</f>
        <v>2016</v>
      </c>
      <c r="D41" s="28">
        <f>C41+1</f>
        <v>2017</v>
      </c>
      <c r="E41" s="28">
        <f t="shared" ref="E41:G41" si="7">D41+1</f>
        <v>2018</v>
      </c>
      <c r="F41" s="28">
        <f t="shared" si="7"/>
        <v>2019</v>
      </c>
      <c r="G41" s="28">
        <f t="shared" si="7"/>
        <v>2020</v>
      </c>
    </row>
    <row r="42" spans="1:7">
      <c r="A42" s="6" t="str">
        <f t="shared" si="6"/>
        <v>Customer Type 1</v>
      </c>
      <c r="B42" s="6"/>
      <c r="C42" s="27">
        <f t="shared" ref="C42:C48" si="8">C18*12</f>
        <v>720</v>
      </c>
      <c r="D42" s="27">
        <f t="shared" ref="D42:G48" si="9">C42*(1+D31)</f>
        <v>792.00000000000011</v>
      </c>
      <c r="E42" s="27">
        <f t="shared" si="9"/>
        <v>871.20000000000016</v>
      </c>
      <c r="F42" s="27">
        <f t="shared" si="9"/>
        <v>958.32000000000028</v>
      </c>
      <c r="G42" s="27">
        <f t="shared" si="9"/>
        <v>1054.1520000000005</v>
      </c>
    </row>
    <row r="43" spans="1:7">
      <c r="A43" s="3" t="str">
        <f t="shared" si="6"/>
        <v>Customer Type 2</v>
      </c>
      <c r="B43" s="3"/>
      <c r="C43" s="27">
        <f t="shared" si="8"/>
        <v>24</v>
      </c>
      <c r="D43" s="27">
        <f t="shared" si="9"/>
        <v>27.599999999999998</v>
      </c>
      <c r="E43" s="27">
        <f t="shared" si="9"/>
        <v>31.739999999999995</v>
      </c>
      <c r="F43" s="27">
        <f t="shared" si="9"/>
        <v>36.500999999999991</v>
      </c>
      <c r="G43" s="27">
        <f t="shared" si="9"/>
        <v>41.976149999999983</v>
      </c>
    </row>
    <row r="44" spans="1:7">
      <c r="A44" s="3" t="str">
        <f t="shared" si="6"/>
        <v>Customer Type 3</v>
      </c>
      <c r="B44" s="3"/>
      <c r="C44" s="27">
        <f t="shared" si="8"/>
        <v>600</v>
      </c>
      <c r="D44" s="27">
        <f t="shared" si="9"/>
        <v>690</v>
      </c>
      <c r="E44" s="27">
        <f t="shared" si="9"/>
        <v>793.49999999999989</v>
      </c>
      <c r="F44" s="27">
        <f t="shared" si="9"/>
        <v>912.52499999999975</v>
      </c>
      <c r="G44" s="27">
        <f t="shared" si="9"/>
        <v>1049.4037499999997</v>
      </c>
    </row>
    <row r="45" spans="1:7">
      <c r="A45" s="3" t="str">
        <f t="shared" si="6"/>
        <v>Customer Type 4</v>
      </c>
      <c r="B45" s="3"/>
      <c r="C45" s="27">
        <f t="shared" si="8"/>
        <v>480</v>
      </c>
      <c r="D45" s="27">
        <f t="shared" si="9"/>
        <v>528</v>
      </c>
      <c r="E45" s="27">
        <f t="shared" si="9"/>
        <v>580.80000000000007</v>
      </c>
      <c r="F45" s="27">
        <f t="shared" si="9"/>
        <v>638.88000000000011</v>
      </c>
      <c r="G45" s="27">
        <f t="shared" si="9"/>
        <v>702.76800000000014</v>
      </c>
    </row>
    <row r="46" spans="1:7">
      <c r="A46" s="3" t="str">
        <f t="shared" si="6"/>
        <v>Customer Type 5</v>
      </c>
      <c r="B46" s="3"/>
      <c r="C46" s="27">
        <f t="shared" si="8"/>
        <v>0</v>
      </c>
      <c r="D46" s="27">
        <f t="shared" si="9"/>
        <v>0</v>
      </c>
      <c r="E46" s="27">
        <f t="shared" si="9"/>
        <v>0</v>
      </c>
      <c r="F46" s="27">
        <f t="shared" si="9"/>
        <v>0</v>
      </c>
      <c r="G46" s="27">
        <f t="shared" si="9"/>
        <v>0</v>
      </c>
    </row>
    <row r="47" spans="1:7">
      <c r="A47" s="3" t="str">
        <f t="shared" si="6"/>
        <v>Customer Type 6</v>
      </c>
      <c r="B47" s="3"/>
      <c r="C47" s="27">
        <f t="shared" si="8"/>
        <v>0</v>
      </c>
      <c r="D47" s="27">
        <f t="shared" si="9"/>
        <v>0</v>
      </c>
      <c r="E47" s="27">
        <f t="shared" si="9"/>
        <v>0</v>
      </c>
      <c r="F47" s="27">
        <f t="shared" si="9"/>
        <v>0</v>
      </c>
      <c r="G47" s="27">
        <f t="shared" si="9"/>
        <v>0</v>
      </c>
    </row>
    <row r="48" spans="1:7" ht="13.5" thickBot="1">
      <c r="A48" s="7" t="str">
        <f t="shared" si="6"/>
        <v>Other</v>
      </c>
      <c r="B48" s="7"/>
      <c r="C48" s="26">
        <f t="shared" si="8"/>
        <v>0</v>
      </c>
      <c r="D48" s="26">
        <f t="shared" si="9"/>
        <v>0</v>
      </c>
      <c r="E48" s="26">
        <f t="shared" si="9"/>
        <v>0</v>
      </c>
      <c r="F48" s="26">
        <f t="shared" si="9"/>
        <v>0</v>
      </c>
      <c r="G48" s="26">
        <f t="shared" si="9"/>
        <v>0</v>
      </c>
    </row>
    <row r="49" spans="1:7">
      <c r="A49" s="16" t="s">
        <v>15</v>
      </c>
      <c r="B49" s="6"/>
      <c r="C49" s="17">
        <f>SUM(C42:C48)</f>
        <v>1824</v>
      </c>
      <c r="D49" s="17">
        <f t="shared" ref="D49:G49" si="10">SUM(D42:D48)</f>
        <v>2037.6000000000001</v>
      </c>
      <c r="E49" s="17">
        <f t="shared" si="10"/>
        <v>2277.2400000000002</v>
      </c>
      <c r="F49" s="17">
        <f t="shared" si="10"/>
        <v>2546.2260000000001</v>
      </c>
      <c r="G49" s="17">
        <f t="shared" si="10"/>
        <v>2848.2999</v>
      </c>
    </row>
    <row r="50" spans="1:7">
      <c r="A50" s="32" t="s">
        <v>19</v>
      </c>
      <c r="B50" s="21"/>
      <c r="C50" s="24">
        <f>C49/52</f>
        <v>35.07692307692308</v>
      </c>
      <c r="D50" s="24">
        <f t="shared" ref="D50:G50" si="11">D49/52</f>
        <v>39.184615384615384</v>
      </c>
      <c r="E50" s="24">
        <f t="shared" si="11"/>
        <v>43.793076923076924</v>
      </c>
      <c r="F50" s="24">
        <f t="shared" si="11"/>
        <v>48.965884615384617</v>
      </c>
      <c r="G50" s="24">
        <f t="shared" si="11"/>
        <v>54.774998076923076</v>
      </c>
    </row>
    <row r="51" spans="1:7">
      <c r="A51" s="13"/>
      <c r="B51"/>
      <c r="C51" s="18"/>
      <c r="D51" s="174"/>
      <c r="E51" s="174"/>
      <c r="F51" s="174"/>
      <c r="G51" s="174"/>
    </row>
    <row r="52" spans="1:7">
      <c r="A52" s="2" t="s">
        <v>308</v>
      </c>
      <c r="B52"/>
      <c r="C52" s="18"/>
      <c r="D52" s="174"/>
      <c r="E52" s="174"/>
      <c r="F52" s="174"/>
      <c r="G52" s="174"/>
    </row>
    <row r="53" spans="1:7">
      <c r="A53"/>
      <c r="B53"/>
      <c r="C53" s="714" t="s">
        <v>29</v>
      </c>
      <c r="D53" s="715"/>
      <c r="E53" s="715"/>
      <c r="F53" s="715"/>
      <c r="G53" s="715"/>
    </row>
    <row r="54" spans="1:7" ht="23.45" customHeight="1" thickBot="1">
      <c r="A54" s="19" t="str">
        <f t="shared" ref="A54:A61" si="12">A17</f>
        <v>Customer Type</v>
      </c>
      <c r="B54" s="49" t="s">
        <v>51</v>
      </c>
      <c r="C54" s="4">
        <f>C17</f>
        <v>2016</v>
      </c>
      <c r="D54" s="28">
        <f>C41+1</f>
        <v>2017</v>
      </c>
      <c r="E54" s="28">
        <f t="shared" ref="E54:G54" si="13">D54+1</f>
        <v>2018</v>
      </c>
      <c r="F54" s="28">
        <f t="shared" si="13"/>
        <v>2019</v>
      </c>
      <c r="G54" s="28">
        <f t="shared" si="13"/>
        <v>2020</v>
      </c>
    </row>
    <row r="55" spans="1:7">
      <c r="A55" s="19" t="str">
        <f t="shared" si="12"/>
        <v>Customer Type 1</v>
      </c>
      <c r="B55" s="50">
        <f>C55/C$62</f>
        <v>0.6</v>
      </c>
      <c r="C55" s="5">
        <f t="shared" ref="C55:C61" si="14">C42*$C6</f>
        <v>21600</v>
      </c>
      <c r="D55" s="93">
        <f>(D31+1)*C55</f>
        <v>23760.000000000004</v>
      </c>
      <c r="E55" s="93">
        <f t="shared" ref="E55:G55" si="15">(E31+1)*D55</f>
        <v>26136.000000000007</v>
      </c>
      <c r="F55" s="93">
        <f t="shared" si="15"/>
        <v>28749.600000000009</v>
      </c>
      <c r="G55" s="93">
        <f t="shared" si="15"/>
        <v>31624.560000000012</v>
      </c>
    </row>
    <row r="56" spans="1:7">
      <c r="A56" s="19" t="str">
        <f t="shared" si="12"/>
        <v>Customer Type 2</v>
      </c>
      <c r="B56" s="50">
        <f t="shared" ref="B56:B61" si="16">C56/C$62</f>
        <v>1.6666666666666666E-2</v>
      </c>
      <c r="C56" s="5">
        <f t="shared" si="14"/>
        <v>600</v>
      </c>
      <c r="D56" s="93">
        <f t="shared" ref="D56:G56" si="17">(D32+1)*C56</f>
        <v>690</v>
      </c>
      <c r="E56" s="93">
        <f t="shared" si="17"/>
        <v>793.49999999999989</v>
      </c>
      <c r="F56" s="93">
        <f t="shared" si="17"/>
        <v>912.52499999999975</v>
      </c>
      <c r="G56" s="93">
        <f t="shared" si="17"/>
        <v>1049.4037499999997</v>
      </c>
    </row>
    <row r="57" spans="1:7">
      <c r="A57" s="19" t="str">
        <f t="shared" si="12"/>
        <v>Customer Type 3</v>
      </c>
      <c r="B57" s="50">
        <f t="shared" si="16"/>
        <v>0.25</v>
      </c>
      <c r="C57" s="5">
        <f t="shared" si="14"/>
        <v>9000</v>
      </c>
      <c r="D57" s="93">
        <f t="shared" ref="D57:G57" si="18">(D33+1)*C57</f>
        <v>10350</v>
      </c>
      <c r="E57" s="93">
        <f t="shared" si="18"/>
        <v>11902.499999999998</v>
      </c>
      <c r="F57" s="93">
        <f t="shared" si="18"/>
        <v>13687.874999999996</v>
      </c>
      <c r="G57" s="93">
        <f t="shared" si="18"/>
        <v>15741.056249999994</v>
      </c>
    </row>
    <row r="58" spans="1:7">
      <c r="A58" s="19" t="str">
        <f t="shared" si="12"/>
        <v>Customer Type 4</v>
      </c>
      <c r="B58" s="50">
        <f t="shared" si="16"/>
        <v>0.13333333333333333</v>
      </c>
      <c r="C58" s="5">
        <f t="shared" si="14"/>
        <v>4800</v>
      </c>
      <c r="D58" s="93">
        <f t="shared" ref="D58:G58" si="19">(D34+1)*C58</f>
        <v>5280</v>
      </c>
      <c r="E58" s="93">
        <f t="shared" si="19"/>
        <v>5808.0000000000009</v>
      </c>
      <c r="F58" s="93">
        <f t="shared" si="19"/>
        <v>6388.8000000000011</v>
      </c>
      <c r="G58" s="93">
        <f t="shared" si="19"/>
        <v>7027.6800000000021</v>
      </c>
    </row>
    <row r="59" spans="1:7">
      <c r="A59" s="19" t="str">
        <f t="shared" si="12"/>
        <v>Customer Type 5</v>
      </c>
      <c r="B59" s="50">
        <f t="shared" si="16"/>
        <v>0</v>
      </c>
      <c r="C59" s="5">
        <f t="shared" si="14"/>
        <v>0</v>
      </c>
      <c r="D59" s="93">
        <f t="shared" ref="D59:G59" si="20">(D35+1)*C59</f>
        <v>0</v>
      </c>
      <c r="E59" s="93">
        <f t="shared" si="20"/>
        <v>0</v>
      </c>
      <c r="F59" s="93">
        <f t="shared" si="20"/>
        <v>0</v>
      </c>
      <c r="G59" s="93">
        <f t="shared" si="20"/>
        <v>0</v>
      </c>
    </row>
    <row r="60" spans="1:7">
      <c r="A60" s="19" t="str">
        <f t="shared" si="12"/>
        <v>Customer Type 6</v>
      </c>
      <c r="B60" s="50">
        <f t="shared" si="16"/>
        <v>0</v>
      </c>
      <c r="C60" s="5">
        <f t="shared" si="14"/>
        <v>0</v>
      </c>
      <c r="D60" s="93">
        <f t="shared" ref="D60:G60" si="21">(D36+1)*C60</f>
        <v>0</v>
      </c>
      <c r="E60" s="93">
        <f t="shared" si="21"/>
        <v>0</v>
      </c>
      <c r="F60" s="93">
        <f t="shared" si="21"/>
        <v>0</v>
      </c>
      <c r="G60" s="93">
        <f t="shared" si="21"/>
        <v>0</v>
      </c>
    </row>
    <row r="61" spans="1:7" ht="13.5" thickBot="1">
      <c r="A61" s="20" t="str">
        <f t="shared" si="12"/>
        <v>Other</v>
      </c>
      <c r="B61" s="50">
        <f t="shared" si="16"/>
        <v>0</v>
      </c>
      <c r="C61" s="8">
        <f t="shared" si="14"/>
        <v>0</v>
      </c>
      <c r="D61" s="8">
        <f t="shared" ref="D61:G61" si="22">(D37+1)*C61</f>
        <v>0</v>
      </c>
      <c r="E61" s="8">
        <f t="shared" si="22"/>
        <v>0</v>
      </c>
      <c r="F61" s="8">
        <f t="shared" si="22"/>
        <v>0</v>
      </c>
      <c r="G61" s="8">
        <f t="shared" si="22"/>
        <v>0</v>
      </c>
    </row>
    <row r="62" spans="1:7">
      <c r="A62" s="53" t="s">
        <v>6</v>
      </c>
      <c r="B62" s="54">
        <f>SUM(B55:B61)</f>
        <v>1</v>
      </c>
      <c r="C62" s="55">
        <f>SUM(C55:C61)</f>
        <v>36000</v>
      </c>
      <c r="D62" s="55">
        <f t="shared" ref="D62:G62" si="23">SUM(D55:D61)</f>
        <v>40080</v>
      </c>
      <c r="E62" s="55">
        <f t="shared" si="23"/>
        <v>44640.000000000007</v>
      </c>
      <c r="F62" s="55">
        <f t="shared" si="23"/>
        <v>49738.80000000001</v>
      </c>
      <c r="G62" s="55">
        <f t="shared" si="23"/>
        <v>55442.700000000004</v>
      </c>
    </row>
    <row r="63" spans="1:7">
      <c r="A63" s="9"/>
      <c r="B63" s="52"/>
      <c r="C63" s="23"/>
      <c r="D63" s="174"/>
      <c r="E63" s="174"/>
      <c r="F63" s="174"/>
      <c r="G63" s="174"/>
    </row>
    <row r="64" spans="1:7" ht="12.75" customHeight="1">
      <c r="A64" s="2" t="s">
        <v>309</v>
      </c>
      <c r="B64"/>
      <c r="C64" s="18"/>
      <c r="D64" s="174"/>
      <c r="E64" s="174"/>
      <c r="F64" s="174"/>
      <c r="G64" s="174"/>
    </row>
    <row r="65" spans="1:7" ht="12.75" customHeight="1">
      <c r="A65" s="246"/>
      <c r="B65" s="247"/>
      <c r="C65" s="700" t="s">
        <v>52</v>
      </c>
      <c r="D65" s="701"/>
      <c r="E65" s="701"/>
      <c r="F65" s="701"/>
      <c r="G65" s="702"/>
    </row>
    <row r="66" spans="1:7" ht="12.75" customHeight="1">
      <c r="A66" s="19" t="str">
        <f t="shared" ref="A66:A73" si="24">A41</f>
        <v>Customer Type</v>
      </c>
      <c r="B66" s="50"/>
      <c r="C66" s="4">
        <f>C54</f>
        <v>2016</v>
      </c>
      <c r="D66" s="625">
        <f>C54+1</f>
        <v>2017</v>
      </c>
      <c r="E66" s="625">
        <f t="shared" ref="E66:G66" si="25">D66+1</f>
        <v>2018</v>
      </c>
      <c r="F66" s="625">
        <f t="shared" si="25"/>
        <v>2019</v>
      </c>
      <c r="G66" s="625">
        <f t="shared" si="25"/>
        <v>2020</v>
      </c>
    </row>
    <row r="67" spans="1:7" ht="12.75" customHeight="1">
      <c r="A67" s="19" t="str">
        <f t="shared" si="24"/>
        <v>Customer Type 1</v>
      </c>
      <c r="B67" s="50"/>
      <c r="C67" s="5">
        <f>C55*($E6)</f>
        <v>4536</v>
      </c>
      <c r="D67" s="5">
        <f t="shared" ref="D67:G67" si="26">D55*($E6)</f>
        <v>4989.6000000000004</v>
      </c>
      <c r="E67" s="5">
        <f t="shared" si="26"/>
        <v>5488.5600000000013</v>
      </c>
      <c r="F67" s="5">
        <f t="shared" si="26"/>
        <v>6037.416000000002</v>
      </c>
      <c r="G67" s="5">
        <f t="shared" si="26"/>
        <v>6641.1576000000023</v>
      </c>
    </row>
    <row r="68" spans="1:7" ht="12.75" customHeight="1">
      <c r="A68" s="19" t="str">
        <f t="shared" si="24"/>
        <v>Customer Type 2</v>
      </c>
      <c r="B68" s="50"/>
      <c r="C68" s="5">
        <f t="shared" ref="C68:G68" si="27">C56*($E7)</f>
        <v>126</v>
      </c>
      <c r="D68" s="5">
        <f t="shared" si="27"/>
        <v>144.9</v>
      </c>
      <c r="E68" s="5">
        <f t="shared" si="27"/>
        <v>166.63499999999996</v>
      </c>
      <c r="F68" s="5">
        <f t="shared" si="27"/>
        <v>191.63024999999993</v>
      </c>
      <c r="G68" s="5">
        <f t="shared" si="27"/>
        <v>220.37478749999994</v>
      </c>
    </row>
    <row r="69" spans="1:7" ht="12.75" customHeight="1">
      <c r="A69" s="19" t="str">
        <f t="shared" si="24"/>
        <v>Customer Type 3</v>
      </c>
      <c r="B69" s="50"/>
      <c r="C69" s="5">
        <f t="shared" ref="C69:G69" si="28">C57*($E8)</f>
        <v>1890</v>
      </c>
      <c r="D69" s="5">
        <f t="shared" si="28"/>
        <v>2173.5</v>
      </c>
      <c r="E69" s="5">
        <f t="shared" si="28"/>
        <v>2499.5249999999996</v>
      </c>
      <c r="F69" s="5">
        <f t="shared" si="28"/>
        <v>2874.4537499999992</v>
      </c>
      <c r="G69" s="5">
        <f t="shared" si="28"/>
        <v>3305.6218124999987</v>
      </c>
    </row>
    <row r="70" spans="1:7" ht="12.75" customHeight="1">
      <c r="A70" s="19" t="str">
        <f t="shared" si="24"/>
        <v>Customer Type 4</v>
      </c>
      <c r="B70" s="50"/>
      <c r="C70" s="5">
        <f t="shared" ref="C70:G70" si="29">C58*($E9)</f>
        <v>1008</v>
      </c>
      <c r="D70" s="5">
        <f t="shared" si="29"/>
        <v>1108.8</v>
      </c>
      <c r="E70" s="5">
        <f t="shared" si="29"/>
        <v>1219.68</v>
      </c>
      <c r="F70" s="5">
        <f t="shared" si="29"/>
        <v>1341.6480000000001</v>
      </c>
      <c r="G70" s="5">
        <f t="shared" si="29"/>
        <v>1475.8128000000004</v>
      </c>
    </row>
    <row r="71" spans="1:7" ht="12.75" customHeight="1">
      <c r="A71" s="19" t="str">
        <f t="shared" si="24"/>
        <v>Customer Type 5</v>
      </c>
      <c r="B71" s="50"/>
      <c r="C71" s="5">
        <f t="shared" ref="C71:G71" si="30">C59*($E10)</f>
        <v>0</v>
      </c>
      <c r="D71" s="5">
        <f t="shared" si="30"/>
        <v>0</v>
      </c>
      <c r="E71" s="5">
        <f t="shared" si="30"/>
        <v>0</v>
      </c>
      <c r="F71" s="5">
        <f t="shared" si="30"/>
        <v>0</v>
      </c>
      <c r="G71" s="5">
        <f t="shared" si="30"/>
        <v>0</v>
      </c>
    </row>
    <row r="72" spans="1:7" ht="12.75" customHeight="1">
      <c r="A72" s="19" t="str">
        <f t="shared" si="24"/>
        <v>Customer Type 6</v>
      </c>
      <c r="B72" s="50"/>
      <c r="C72" s="5">
        <f t="shared" ref="C72:G72" si="31">C60*($E11)</f>
        <v>0</v>
      </c>
      <c r="D72" s="5">
        <f t="shared" si="31"/>
        <v>0</v>
      </c>
      <c r="E72" s="5">
        <f t="shared" si="31"/>
        <v>0</v>
      </c>
      <c r="F72" s="5">
        <f t="shared" si="31"/>
        <v>0</v>
      </c>
      <c r="G72" s="5">
        <f t="shared" si="31"/>
        <v>0</v>
      </c>
    </row>
    <row r="73" spans="1:7" ht="12.75" customHeight="1" thickBot="1">
      <c r="A73" s="658" t="str">
        <f t="shared" si="24"/>
        <v>Other</v>
      </c>
      <c r="B73" s="51"/>
      <c r="C73" s="8">
        <f t="shared" ref="C73:G73" si="32">C61*($E12)</f>
        <v>0</v>
      </c>
      <c r="D73" s="8">
        <f t="shared" si="32"/>
        <v>0</v>
      </c>
      <c r="E73" s="8">
        <f t="shared" si="32"/>
        <v>0</v>
      </c>
      <c r="F73" s="8">
        <f t="shared" si="32"/>
        <v>0</v>
      </c>
      <c r="G73" s="8">
        <f t="shared" si="32"/>
        <v>0</v>
      </c>
    </row>
    <row r="74" spans="1:7" ht="12.75" customHeight="1">
      <c r="A74" s="187" t="s">
        <v>53</v>
      </c>
      <c r="B74" s="188"/>
      <c r="C74" s="55">
        <f t="shared" ref="C74:G74" si="33">SUM(C67:C73)</f>
        <v>7560</v>
      </c>
      <c r="D74" s="55">
        <f t="shared" si="33"/>
        <v>8416.7999999999993</v>
      </c>
      <c r="E74" s="55">
        <f t="shared" si="33"/>
        <v>9374.4000000000015</v>
      </c>
      <c r="F74" s="55">
        <f t="shared" si="33"/>
        <v>10445.148000000001</v>
      </c>
      <c r="G74" s="55">
        <f t="shared" si="33"/>
        <v>11642.967000000001</v>
      </c>
    </row>
    <row r="75" spans="1:7" ht="12.75" customHeight="1">
      <c r="C75" s="659">
        <f>C74/C62</f>
        <v>0.21</v>
      </c>
      <c r="D75" s="659">
        <f t="shared" ref="D75:G75" si="34">D74/D62</f>
        <v>0.21</v>
      </c>
      <c r="E75" s="659">
        <f t="shared" si="34"/>
        <v>0.21</v>
      </c>
      <c r="F75" s="659">
        <f t="shared" si="34"/>
        <v>0.20999999999999996</v>
      </c>
      <c r="G75" s="659">
        <f t="shared" si="34"/>
        <v>0.21</v>
      </c>
    </row>
  </sheetData>
  <mergeCells count="6">
    <mergeCell ref="C65:G65"/>
    <mergeCell ref="E1:G1"/>
    <mergeCell ref="D17:G17"/>
    <mergeCell ref="D18:G18"/>
    <mergeCell ref="D19:G19"/>
    <mergeCell ref="C53:G53"/>
  </mergeCells>
  <phoneticPr fontId="10" type="noConversion"/>
  <conditionalFormatting sqref="E25">
    <cfRule type="expression" dxfId="55" priority="3">
      <formula>$E$25&lt;0</formula>
    </cfRule>
    <cfRule type="expression" dxfId="54" priority="4">
      <formula>$E$25&gt;0</formula>
    </cfRule>
  </conditionalFormatting>
  <conditionalFormatting sqref="F25:G25">
    <cfRule type="expression" dxfId="53" priority="1">
      <formula>$E$25&lt;0</formula>
    </cfRule>
    <cfRule type="expression" dxfId="52" priority="2">
      <formula>$E$25&gt;0</formula>
    </cfRule>
  </conditionalFormatting>
  <printOptions horizontalCentered="1"/>
  <pageMargins left="0.25" right="0.53" top="0.43" bottom="0.4" header="0.19" footer="0.17"/>
  <pageSetup orientation="portrait" r:id="rId1"/>
  <headerFooter>
    <oddHeader xml:space="preserve">&amp;LTab 1: Sales Forecast&amp;CRapid Business Plan </oddHeader>
    <oddFooter>&amp;L&amp;D&amp;CHeartland Information Research, Inc&amp;R2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rintsales">
                <anchor>
                  <from>
                    <xdr:col>5</xdr:col>
                    <xdr:colOff>476250</xdr:colOff>
                    <xdr:row>2</xdr:row>
                    <xdr:rowOff>0</xdr:rowOff>
                  </from>
                  <to>
                    <xdr:col>6</xdr:col>
                    <xdr:colOff>723900</xdr:colOff>
                    <xdr:row>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4"/>
  <sheetViews>
    <sheetView showGridLines="0" zoomScaleNormal="100" workbookViewId="0">
      <pane ySplit="6" topLeftCell="A7" activePane="bottomLeft" state="frozenSplit"/>
      <selection pane="bottomLeft" activeCell="A7" sqref="A7"/>
    </sheetView>
  </sheetViews>
  <sheetFormatPr defaultRowHeight="12.75" zeroHeight="1"/>
  <cols>
    <col min="1" max="1" width="26.5703125" customWidth="1"/>
    <col min="2" max="2" width="8.42578125" customWidth="1"/>
    <col min="6" max="6" width="7" customWidth="1"/>
    <col min="7" max="7" width="11.28515625" style="461" customWidth="1"/>
    <col min="8" max="8" width="11.85546875" style="461" customWidth="1"/>
    <col min="9" max="11" width="9.140625" style="461"/>
    <col min="12" max="12" width="6.42578125" style="461" customWidth="1"/>
    <col min="13" max="24" width="0" hidden="1" customWidth="1"/>
    <col min="26" max="26" width="26.7109375" bestFit="1" customWidth="1"/>
  </cols>
  <sheetData>
    <row r="1" spans="1:31">
      <c r="A1" s="273" t="str">
        <f>'0. Basic Info'!D11</f>
        <v>ACME 5 Year</v>
      </c>
      <c r="B1" s="272"/>
      <c r="C1" s="283"/>
      <c r="D1" s="248" t="s">
        <v>197</v>
      </c>
      <c r="E1" s="285"/>
      <c r="F1" s="285"/>
      <c r="G1" s="285"/>
      <c r="H1"/>
      <c r="I1"/>
      <c r="J1" s="18"/>
      <c r="K1"/>
      <c r="L1" s="284">
        <f>'1. Sales Forecast'!E21</f>
        <v>34500</v>
      </c>
      <c r="M1" s="716" t="s">
        <v>171</v>
      </c>
      <c r="N1" s="717"/>
      <c r="O1" s="718"/>
      <c r="P1" s="719"/>
      <c r="Q1" s="720"/>
      <c r="R1" s="720"/>
      <c r="S1" s="720"/>
      <c r="T1" s="280"/>
      <c r="U1" s="280"/>
      <c r="V1" s="280"/>
      <c r="W1" s="280"/>
      <c r="X1" s="280"/>
    </row>
    <row r="2" spans="1:31" ht="13.5" thickBot="1">
      <c r="A2" s="271"/>
      <c r="B2" s="271"/>
      <c r="C2" s="285"/>
      <c r="D2" s="248"/>
      <c r="E2" s="285"/>
      <c r="F2" s="285"/>
      <c r="G2" s="285"/>
      <c r="H2"/>
      <c r="I2"/>
      <c r="J2"/>
      <c r="K2"/>
      <c r="L2" s="284"/>
      <c r="M2" s="337"/>
      <c r="N2" s="337"/>
      <c r="O2" s="337"/>
      <c r="P2" s="338"/>
      <c r="Q2" s="338"/>
      <c r="R2" s="338"/>
      <c r="S2" s="338"/>
      <c r="T2" s="280"/>
      <c r="U2" s="280"/>
      <c r="V2" s="280"/>
      <c r="W2" s="280"/>
      <c r="X2" s="280"/>
    </row>
    <row r="3" spans="1:31" ht="13.5" thickBot="1">
      <c r="B3" s="10" t="s">
        <v>271</v>
      </c>
      <c r="D3" s="507">
        <f>E3/4</f>
        <v>34.172413793103445</v>
      </c>
      <c r="E3" s="508">
        <f>C8/7.25</f>
        <v>136.68965517241378</v>
      </c>
      <c r="G3" s="721" t="s">
        <v>114</v>
      </c>
      <c r="H3" s="722"/>
      <c r="I3" s="722"/>
      <c r="J3" s="722"/>
      <c r="K3" s="722"/>
      <c r="L3" s="723"/>
      <c r="M3" s="280"/>
      <c r="N3" s="280"/>
      <c r="O3" s="280"/>
      <c r="P3" s="280"/>
      <c r="Q3" s="280"/>
      <c r="R3" s="280"/>
      <c r="S3" s="280"/>
      <c r="T3" s="280"/>
      <c r="U3" s="280"/>
      <c r="V3" s="280"/>
      <c r="W3" s="280"/>
      <c r="X3" s="280"/>
    </row>
    <row r="4" spans="1:31">
      <c r="A4" s="72"/>
      <c r="B4" s="731" t="s">
        <v>119</v>
      </c>
      <c r="C4" s="732"/>
      <c r="D4" s="733"/>
      <c r="E4" s="282" t="s">
        <v>121</v>
      </c>
      <c r="G4" s="462"/>
      <c r="H4" s="463"/>
      <c r="I4" s="729" t="s">
        <v>169</v>
      </c>
      <c r="J4" s="729"/>
      <c r="K4" s="729"/>
      <c r="L4" s="730"/>
      <c r="M4" s="281" t="s">
        <v>158</v>
      </c>
      <c r="N4" s="280"/>
      <c r="O4" s="280"/>
      <c r="P4" s="280"/>
      <c r="Q4" s="280"/>
      <c r="R4" s="280"/>
      <c r="S4" s="280"/>
      <c r="T4" s="280"/>
      <c r="U4" s="280"/>
      <c r="V4" s="280"/>
      <c r="W4" s="280"/>
      <c r="X4" s="280"/>
    </row>
    <row r="5" spans="1:31">
      <c r="A5" s="72"/>
      <c r="B5" s="734" t="s">
        <v>120</v>
      </c>
      <c r="C5" s="735"/>
      <c r="D5" s="736"/>
      <c r="E5" s="203" t="s">
        <v>44</v>
      </c>
      <c r="G5" s="462"/>
      <c r="H5" s="463"/>
      <c r="I5" s="464">
        <f>SUM(I7:I44)</f>
        <v>492.75576923076926</v>
      </c>
      <c r="J5" s="464">
        <f>SUM(J7:J44)</f>
        <v>2135.2750000000001</v>
      </c>
      <c r="K5" s="464">
        <f>SUM(K7:K44)</f>
        <v>25623.3</v>
      </c>
      <c r="L5" s="465">
        <f>SUM(L7:L44)</f>
        <v>0.74270434782608696</v>
      </c>
      <c r="M5" s="249" t="s">
        <v>159</v>
      </c>
      <c r="N5" s="250"/>
      <c r="O5" s="250"/>
      <c r="P5" s="250"/>
      <c r="Q5" s="250"/>
      <c r="R5" s="250"/>
      <c r="S5" s="250"/>
      <c r="T5" s="250"/>
      <c r="U5" s="250"/>
      <c r="V5" s="250"/>
      <c r="W5" s="250"/>
      <c r="X5" s="250"/>
      <c r="AA5" s="40">
        <f>SUM(AA7:AA44)</f>
        <v>25623.3</v>
      </c>
      <c r="AB5" s="40">
        <f t="shared" ref="AB5:AE5" si="0">SUM(AB7:AB44)</f>
        <v>26320.800000000003</v>
      </c>
      <c r="AC5" s="40">
        <f t="shared" si="0"/>
        <v>26890.800000000003</v>
      </c>
      <c r="AD5" s="40">
        <f t="shared" si="0"/>
        <v>27528.15</v>
      </c>
      <c r="AE5" s="40">
        <f t="shared" si="0"/>
        <v>28241.137500000001</v>
      </c>
    </row>
    <row r="6" spans="1:31" ht="13.5" thickBot="1">
      <c r="A6" s="224" t="s">
        <v>135</v>
      </c>
      <c r="B6" s="200" t="s">
        <v>42</v>
      </c>
      <c r="C6" s="201" t="s">
        <v>40</v>
      </c>
      <c r="D6" s="201" t="s">
        <v>41</v>
      </c>
      <c r="E6" s="202" t="s">
        <v>0</v>
      </c>
      <c r="G6" s="466" t="s">
        <v>170</v>
      </c>
      <c r="H6" s="467"/>
      <c r="I6" s="468" t="s">
        <v>42</v>
      </c>
      <c r="J6" s="468" t="s">
        <v>40</v>
      </c>
      <c r="K6" s="468" t="s">
        <v>41</v>
      </c>
      <c r="L6" s="469" t="s">
        <v>172</v>
      </c>
      <c r="M6" s="280"/>
      <c r="N6" s="280"/>
      <c r="O6" s="280"/>
      <c r="P6" s="280"/>
      <c r="Q6" s="280"/>
      <c r="R6" s="280"/>
      <c r="S6" s="280"/>
      <c r="T6" s="280"/>
      <c r="U6" s="280"/>
      <c r="V6" s="280"/>
      <c r="W6" s="280"/>
      <c r="X6" s="280"/>
      <c r="Z6" s="3"/>
      <c r="AA6" s="4">
        <f>'8. P&amp;L and Cashflow'!P2</f>
        <v>2016</v>
      </c>
      <c r="AB6" s="4">
        <f>'8. P&amp;L and Cashflow'!AC2</f>
        <v>2017</v>
      </c>
      <c r="AC6" s="4">
        <f>'8. P&amp;L and Cashflow'!AD2</f>
        <v>2018</v>
      </c>
      <c r="AD6" s="4">
        <f>'8. P&amp;L and Cashflow'!AE2</f>
        <v>2019</v>
      </c>
      <c r="AE6" s="4">
        <f>'8. P&amp;L and Cashflow'!AF2</f>
        <v>2020</v>
      </c>
    </row>
    <row r="7" spans="1:31">
      <c r="A7" s="209" t="s">
        <v>103</v>
      </c>
      <c r="B7" s="288"/>
      <c r="C7" s="289"/>
      <c r="D7" s="290"/>
      <c r="E7" s="287"/>
      <c r="G7" s="470" t="str">
        <f>IF(A7="","",A7)</f>
        <v>Worker Wages</v>
      </c>
      <c r="H7" s="471"/>
      <c r="I7" s="472">
        <f>K7/52</f>
        <v>0</v>
      </c>
      <c r="J7" s="472">
        <f>K7/12</f>
        <v>0</v>
      </c>
      <c r="K7" s="472">
        <f>C7*12+D7+B7*52+($E7*L$1)</f>
        <v>0</v>
      </c>
      <c r="L7" s="473">
        <f t="shared" ref="L7:L44" si="1">K7/$L$1</f>
        <v>0</v>
      </c>
      <c r="M7" s="280"/>
      <c r="N7" s="286" t="s">
        <v>160</v>
      </c>
      <c r="O7" s="286"/>
      <c r="P7" s="286"/>
      <c r="Q7" s="286"/>
      <c r="R7" s="286"/>
      <c r="S7" s="286"/>
      <c r="T7" s="280"/>
      <c r="U7" s="280"/>
      <c r="V7" s="280"/>
      <c r="W7" s="280"/>
      <c r="X7" s="280"/>
      <c r="Z7" s="3" t="str">
        <f t="shared" ref="Z7:Z44" si="2">G7</f>
        <v>Worker Wages</v>
      </c>
      <c r="AA7" s="40">
        <f t="shared" ref="AA7:AA44" si="3">K7</f>
        <v>0</v>
      </c>
      <c r="AB7" s="40">
        <f>'8. P&amp;L and Cashflow'!AC13</f>
        <v>0</v>
      </c>
      <c r="AC7" s="40">
        <f>'8. P&amp;L and Cashflow'!AD13</f>
        <v>0</v>
      </c>
      <c r="AD7" s="40">
        <f>'8. P&amp;L and Cashflow'!AE13</f>
        <v>0</v>
      </c>
      <c r="AE7" s="40">
        <f>'8. P&amp;L and Cashflow'!AF13</f>
        <v>0</v>
      </c>
    </row>
    <row r="8" spans="1:31" ht="13.5" thickBot="1">
      <c r="A8" s="42" t="s">
        <v>104</v>
      </c>
      <c r="B8" s="291"/>
      <c r="C8" s="292">
        <v>991</v>
      </c>
      <c r="D8" s="293"/>
      <c r="E8" s="294"/>
      <c r="G8" s="474" t="str">
        <f t="shared" ref="G8:G44" si="4">IF(A8="","",A8)</f>
        <v>Owner Pay</v>
      </c>
      <c r="H8" s="475" t="str">
        <f t="shared" ref="H8" si="5">IF(B8="","",B8)</f>
        <v/>
      </c>
      <c r="I8" s="472">
        <f t="shared" ref="I8:I44" si="6">K8/52</f>
        <v>228.69230769230768</v>
      </c>
      <c r="J8" s="472">
        <f t="shared" ref="J8:J44" si="7">K8/12</f>
        <v>991</v>
      </c>
      <c r="K8" s="472">
        <f>C8*12+D8+B8*52+($E8*L$1)</f>
        <v>11892</v>
      </c>
      <c r="L8" s="473">
        <f t="shared" si="1"/>
        <v>0.34469565217391307</v>
      </c>
      <c r="M8" s="280"/>
      <c r="N8" s="280"/>
      <c r="O8" s="280"/>
      <c r="P8" s="280"/>
      <c r="Q8" s="280"/>
      <c r="R8" s="280"/>
      <c r="S8" s="280"/>
      <c r="T8" s="280"/>
      <c r="U8" s="280"/>
      <c r="V8" s="280"/>
      <c r="W8" s="280"/>
      <c r="X8" s="280"/>
      <c r="Z8" s="3" t="str">
        <f t="shared" si="2"/>
        <v>Owner Pay</v>
      </c>
      <c r="AA8" s="40">
        <f t="shared" si="3"/>
        <v>11892</v>
      </c>
      <c r="AB8" s="40">
        <f>'8. P&amp;L and Cashflow'!AC14</f>
        <v>11892</v>
      </c>
      <c r="AC8" s="40">
        <f>'8. P&amp;L and Cashflow'!AD14</f>
        <v>11892</v>
      </c>
      <c r="AD8" s="40">
        <f>'8. P&amp;L and Cashflow'!AE14</f>
        <v>11892</v>
      </c>
      <c r="AE8" s="40">
        <f>'8. P&amp;L and Cashflow'!AF14</f>
        <v>11892</v>
      </c>
    </row>
    <row r="9" spans="1:31" ht="13.5" thickBot="1">
      <c r="A9" s="43">
        <v>0.15</v>
      </c>
      <c r="B9" s="98"/>
      <c r="C9" s="136"/>
      <c r="D9" s="97"/>
      <c r="E9" s="99"/>
      <c r="G9" s="724">
        <f t="shared" si="4"/>
        <v>0.15</v>
      </c>
      <c r="H9" s="725"/>
      <c r="I9" s="472">
        <f t="shared" si="6"/>
        <v>34.303846153846152</v>
      </c>
      <c r="J9" s="472">
        <f t="shared" si="7"/>
        <v>148.65</v>
      </c>
      <c r="K9" s="476">
        <f>G9*(K7+K8)</f>
        <v>1783.8</v>
      </c>
      <c r="L9" s="473">
        <f t="shared" si="1"/>
        <v>5.1704347826086954E-2</v>
      </c>
      <c r="M9" s="280"/>
      <c r="N9" s="280"/>
      <c r="O9" s="280" t="s">
        <v>161</v>
      </c>
      <c r="P9" s="280"/>
      <c r="Q9" s="280"/>
      <c r="R9" s="280"/>
      <c r="S9" s="280"/>
      <c r="T9" s="280"/>
      <c r="U9" s="280"/>
      <c r="V9" s="280"/>
      <c r="W9" s="280"/>
      <c r="X9" s="280"/>
      <c r="Z9" s="198">
        <f t="shared" si="2"/>
        <v>0.15</v>
      </c>
      <c r="AA9" s="40">
        <f t="shared" si="3"/>
        <v>1783.8</v>
      </c>
      <c r="AB9" s="40">
        <f>'8. P&amp;L and Cashflow'!AC15</f>
        <v>1783.8000000000004</v>
      </c>
      <c r="AC9" s="40">
        <f>'8. P&amp;L and Cashflow'!AD15</f>
        <v>1783.8</v>
      </c>
      <c r="AD9" s="40">
        <f>'8. P&amp;L and Cashflow'!AE15</f>
        <v>1783.8</v>
      </c>
      <c r="AE9" s="40">
        <f>'8. P&amp;L and Cashflow'!AF15</f>
        <v>1783.8</v>
      </c>
    </row>
    <row r="10" spans="1:31">
      <c r="A10" s="42" t="s">
        <v>12</v>
      </c>
      <c r="B10" s="726" t="s">
        <v>45</v>
      </c>
      <c r="C10" s="727"/>
      <c r="D10" s="728"/>
      <c r="E10" s="295">
        <v>3.03</v>
      </c>
      <c r="G10" s="470" t="str">
        <f t="shared" si="4"/>
        <v>Workers Comp</v>
      </c>
      <c r="H10" s="471"/>
      <c r="I10" s="472">
        <f t="shared" si="6"/>
        <v>0</v>
      </c>
      <c r="J10" s="472">
        <f t="shared" si="7"/>
        <v>0</v>
      </c>
      <c r="K10" s="476">
        <f>K7/100*E10</f>
        <v>0</v>
      </c>
      <c r="L10" s="473">
        <f t="shared" si="1"/>
        <v>0</v>
      </c>
      <c r="M10" s="280"/>
      <c r="N10" s="280"/>
      <c r="O10" s="280" t="s">
        <v>162</v>
      </c>
      <c r="P10" s="280"/>
      <c r="Q10" s="280"/>
      <c r="R10" s="280"/>
      <c r="S10" s="280"/>
      <c r="T10" s="280"/>
      <c r="U10" s="280"/>
      <c r="V10" s="280"/>
      <c r="W10" s="280"/>
      <c r="X10" s="280"/>
      <c r="Z10" s="3" t="str">
        <f t="shared" si="2"/>
        <v>Workers Comp</v>
      </c>
      <c r="AA10" s="40">
        <f t="shared" si="3"/>
        <v>0</v>
      </c>
      <c r="AB10" s="40">
        <f>'8. P&amp;L and Cashflow'!AC16</f>
        <v>0</v>
      </c>
      <c r="AC10" s="40">
        <f>'8. P&amp;L and Cashflow'!AD16</f>
        <v>0</v>
      </c>
      <c r="AD10" s="40">
        <f>'8. P&amp;L and Cashflow'!AE16</f>
        <v>0</v>
      </c>
      <c r="AE10" s="40">
        <f>'8. P&amp;L and Cashflow'!AF16</f>
        <v>0</v>
      </c>
    </row>
    <row r="11" spans="1:31">
      <c r="A11" s="103" t="s">
        <v>248</v>
      </c>
      <c r="B11" s="370"/>
      <c r="C11" s="111">
        <v>400</v>
      </c>
      <c r="D11" s="100"/>
      <c r="E11" s="102"/>
      <c r="G11" s="470" t="str">
        <f t="shared" si="4"/>
        <v>Rent</v>
      </c>
      <c r="H11" s="471"/>
      <c r="I11" s="472">
        <f t="shared" si="6"/>
        <v>92.307692307692307</v>
      </c>
      <c r="J11" s="472">
        <f t="shared" si="7"/>
        <v>400</v>
      </c>
      <c r="K11" s="476">
        <f t="shared" ref="K11:K44" si="8">C11*12+D11+B11*52+($E11*L$1)</f>
        <v>4800</v>
      </c>
      <c r="L11" s="473">
        <f t="shared" si="1"/>
        <v>0.1391304347826087</v>
      </c>
      <c r="M11" s="280"/>
      <c r="N11" s="280"/>
      <c r="O11" s="280" t="s">
        <v>163</v>
      </c>
      <c r="P11" s="280"/>
      <c r="Q11" s="280"/>
      <c r="R11" s="280"/>
      <c r="S11" s="280"/>
      <c r="T11" s="280"/>
      <c r="U11" s="280"/>
      <c r="V11" s="280"/>
      <c r="W11" s="280"/>
      <c r="X11" s="280"/>
      <c r="Z11" s="3" t="str">
        <f t="shared" si="2"/>
        <v>Rent</v>
      </c>
      <c r="AA11" s="40">
        <f t="shared" si="3"/>
        <v>4800</v>
      </c>
      <c r="AB11" s="40">
        <f>'8. P&amp;L and Cashflow'!AC17</f>
        <v>4800</v>
      </c>
      <c r="AC11" s="40">
        <f>'8. P&amp;L and Cashflow'!AD17</f>
        <v>4800</v>
      </c>
      <c r="AD11" s="40">
        <f>'8. P&amp;L and Cashflow'!AE17</f>
        <v>4800</v>
      </c>
      <c r="AE11" s="40">
        <f>'8. P&amp;L and Cashflow'!AF17</f>
        <v>4800</v>
      </c>
    </row>
    <row r="12" spans="1:31">
      <c r="A12" s="103" t="s">
        <v>254</v>
      </c>
      <c r="B12" s="370"/>
      <c r="C12" s="111">
        <v>150</v>
      </c>
      <c r="D12" s="111"/>
      <c r="E12" s="102"/>
      <c r="G12" s="470" t="str">
        <f t="shared" si="4"/>
        <v>Phone/Internet/Cell</v>
      </c>
      <c r="H12" s="471"/>
      <c r="I12" s="472">
        <f t="shared" si="6"/>
        <v>34.615384615384613</v>
      </c>
      <c r="J12" s="472">
        <f t="shared" si="7"/>
        <v>150</v>
      </c>
      <c r="K12" s="476">
        <f t="shared" si="8"/>
        <v>1800</v>
      </c>
      <c r="L12" s="473">
        <f t="shared" si="1"/>
        <v>5.2173913043478258E-2</v>
      </c>
      <c r="M12" s="280"/>
      <c r="N12" s="280"/>
      <c r="O12" s="280" t="s">
        <v>164</v>
      </c>
      <c r="P12" s="280"/>
      <c r="Q12" s="280"/>
      <c r="R12" s="280"/>
      <c r="S12" s="280"/>
      <c r="T12" s="280"/>
      <c r="U12" s="280"/>
      <c r="V12" s="280"/>
      <c r="W12" s="280"/>
      <c r="X12" s="280"/>
      <c r="Z12" s="3" t="str">
        <f t="shared" si="2"/>
        <v>Phone/Internet/Cell</v>
      </c>
      <c r="AA12" s="40">
        <f t="shared" si="3"/>
        <v>1800</v>
      </c>
      <c r="AB12" s="40">
        <f>'8. P&amp;L and Cashflow'!AC18</f>
        <v>1800</v>
      </c>
      <c r="AC12" s="40">
        <f>'8. P&amp;L and Cashflow'!AD18</f>
        <v>1800</v>
      </c>
      <c r="AD12" s="40">
        <f>'8. P&amp;L and Cashflow'!AE18</f>
        <v>1800</v>
      </c>
      <c r="AE12" s="40">
        <f>'8. P&amp;L and Cashflow'!AF18</f>
        <v>1800</v>
      </c>
    </row>
    <row r="13" spans="1:31">
      <c r="A13" s="103" t="s">
        <v>220</v>
      </c>
      <c r="B13" s="370"/>
      <c r="C13" s="111"/>
      <c r="D13" s="111"/>
      <c r="E13" s="102"/>
      <c r="G13" s="470" t="str">
        <f t="shared" si="4"/>
        <v>Electricity</v>
      </c>
      <c r="H13" s="471"/>
      <c r="I13" s="472">
        <f t="shared" si="6"/>
        <v>0</v>
      </c>
      <c r="J13" s="472">
        <f t="shared" si="7"/>
        <v>0</v>
      </c>
      <c r="K13" s="476">
        <f t="shared" si="8"/>
        <v>0</v>
      </c>
      <c r="L13" s="473">
        <f t="shared" si="1"/>
        <v>0</v>
      </c>
      <c r="M13" s="280"/>
      <c r="N13" s="249" t="s">
        <v>166</v>
      </c>
      <c r="O13" s="250"/>
      <c r="P13" s="250"/>
      <c r="Q13" s="250"/>
      <c r="R13" s="250"/>
      <c r="S13" s="250"/>
      <c r="T13" s="250"/>
      <c r="U13" s="250"/>
      <c r="V13" s="250"/>
      <c r="W13" s="250"/>
      <c r="X13" s="250"/>
      <c r="Z13" s="3" t="str">
        <f t="shared" si="2"/>
        <v>Electricity</v>
      </c>
      <c r="AA13" s="40">
        <f t="shared" si="3"/>
        <v>0</v>
      </c>
      <c r="AB13" s="40">
        <f>'8. P&amp;L and Cashflow'!AC19</f>
        <v>0</v>
      </c>
      <c r="AC13" s="40">
        <f>'8. P&amp;L and Cashflow'!AD19</f>
        <v>0</v>
      </c>
      <c r="AD13" s="40">
        <f>'8. P&amp;L and Cashflow'!AE19</f>
        <v>0</v>
      </c>
      <c r="AE13" s="40">
        <f>'8. P&amp;L and Cashflow'!AF19</f>
        <v>0</v>
      </c>
    </row>
    <row r="14" spans="1:31">
      <c r="A14" s="103" t="s">
        <v>255</v>
      </c>
      <c r="B14" s="370"/>
      <c r="C14" s="111"/>
      <c r="D14" s="111"/>
      <c r="E14" s="102"/>
      <c r="G14" s="470" t="str">
        <f t="shared" si="4"/>
        <v>Dumpster/Waste</v>
      </c>
      <c r="H14" s="471"/>
      <c r="I14" s="472">
        <f t="shared" si="6"/>
        <v>0</v>
      </c>
      <c r="J14" s="472">
        <f t="shared" si="7"/>
        <v>0</v>
      </c>
      <c r="K14" s="476">
        <f t="shared" si="8"/>
        <v>0</v>
      </c>
      <c r="L14" s="473">
        <f t="shared" si="1"/>
        <v>0</v>
      </c>
      <c r="M14" s="280"/>
      <c r="N14" s="281" t="s">
        <v>168</v>
      </c>
      <c r="O14" s="280"/>
      <c r="P14" s="280"/>
      <c r="Q14" s="280"/>
      <c r="R14" s="280"/>
      <c r="S14" s="280"/>
      <c r="T14" s="280"/>
      <c r="U14" s="280"/>
      <c r="V14" s="280"/>
      <c r="W14" s="280"/>
      <c r="X14" s="280"/>
      <c r="Z14" s="3" t="str">
        <f t="shared" si="2"/>
        <v>Dumpster/Waste</v>
      </c>
      <c r="AA14" s="40">
        <f t="shared" si="3"/>
        <v>0</v>
      </c>
      <c r="AB14" s="40">
        <f>'8. P&amp;L and Cashflow'!AC20</f>
        <v>0</v>
      </c>
      <c r="AC14" s="40">
        <f>'8. P&amp;L and Cashflow'!AD20</f>
        <v>0</v>
      </c>
      <c r="AD14" s="40">
        <f>'8. P&amp;L and Cashflow'!AE20</f>
        <v>0</v>
      </c>
      <c r="AE14" s="40">
        <f>'8. P&amp;L and Cashflow'!AF20</f>
        <v>0</v>
      </c>
    </row>
    <row r="15" spans="1:31">
      <c r="A15" s="103" t="s">
        <v>249</v>
      </c>
      <c r="B15" s="370"/>
      <c r="C15" s="111"/>
      <c r="D15" s="111">
        <v>500</v>
      </c>
      <c r="E15" s="102"/>
      <c r="G15" s="470" t="str">
        <f t="shared" si="4"/>
        <v>Liability Insurance</v>
      </c>
      <c r="H15" s="471"/>
      <c r="I15" s="472">
        <f t="shared" si="6"/>
        <v>9.615384615384615</v>
      </c>
      <c r="J15" s="472">
        <f t="shared" si="7"/>
        <v>41.666666666666664</v>
      </c>
      <c r="K15" s="476">
        <f t="shared" si="8"/>
        <v>500</v>
      </c>
      <c r="L15" s="473">
        <f t="shared" si="1"/>
        <v>1.4492753623188406E-2</v>
      </c>
      <c r="M15" s="280"/>
      <c r="N15" s="281"/>
      <c r="O15" s="280"/>
      <c r="P15" s="280"/>
      <c r="Q15" s="280"/>
      <c r="R15" s="280"/>
      <c r="S15" s="280"/>
      <c r="T15" s="280"/>
      <c r="U15" s="280"/>
      <c r="V15" s="280"/>
      <c r="W15" s="280"/>
      <c r="X15" s="280"/>
      <c r="Z15" s="3" t="str">
        <f t="shared" si="2"/>
        <v>Liability Insurance</v>
      </c>
      <c r="AA15" s="40">
        <f t="shared" si="3"/>
        <v>500</v>
      </c>
      <c r="AB15" s="40">
        <f>'8. P&amp;L and Cashflow'!AC21</f>
        <v>500.00000000000006</v>
      </c>
      <c r="AC15" s="40">
        <f>'8. P&amp;L and Cashflow'!AD21</f>
        <v>500</v>
      </c>
      <c r="AD15" s="40">
        <f>'8. P&amp;L and Cashflow'!AE21</f>
        <v>500</v>
      </c>
      <c r="AE15" s="40">
        <f>'8. P&amp;L and Cashflow'!AF21</f>
        <v>500</v>
      </c>
    </row>
    <row r="16" spans="1:31">
      <c r="A16" s="103"/>
      <c r="B16" s="370"/>
      <c r="C16" s="111"/>
      <c r="D16" s="111"/>
      <c r="E16" s="102"/>
      <c r="G16" s="470" t="str">
        <f t="shared" si="4"/>
        <v/>
      </c>
      <c r="H16" s="471"/>
      <c r="I16" s="472">
        <f t="shared" si="6"/>
        <v>0</v>
      </c>
      <c r="J16" s="472">
        <f t="shared" si="7"/>
        <v>0</v>
      </c>
      <c r="K16" s="476">
        <f t="shared" si="8"/>
        <v>0</v>
      </c>
      <c r="L16" s="473">
        <f t="shared" si="1"/>
        <v>0</v>
      </c>
      <c r="M16" s="280"/>
      <c r="N16" s="281" t="s">
        <v>167</v>
      </c>
      <c r="O16" s="280"/>
      <c r="P16" s="280"/>
      <c r="Q16" s="280"/>
      <c r="R16" s="280"/>
      <c r="S16" s="280"/>
      <c r="T16" s="280"/>
      <c r="U16" s="280"/>
      <c r="V16" s="280"/>
      <c r="W16" s="280"/>
      <c r="X16" s="280"/>
      <c r="Z16" s="3" t="str">
        <f t="shared" si="2"/>
        <v/>
      </c>
      <c r="AA16" s="40">
        <f t="shared" si="3"/>
        <v>0</v>
      </c>
      <c r="AB16" s="40">
        <f>'8. P&amp;L and Cashflow'!AC22</f>
        <v>0</v>
      </c>
      <c r="AC16" s="40">
        <f>'8. P&amp;L and Cashflow'!AD22</f>
        <v>0</v>
      </c>
      <c r="AD16" s="40">
        <f>'8. P&amp;L and Cashflow'!AE22</f>
        <v>0</v>
      </c>
      <c r="AE16" s="40">
        <f>'8. P&amp;L and Cashflow'!AF22</f>
        <v>0</v>
      </c>
    </row>
    <row r="17" spans="1:31">
      <c r="A17" s="103"/>
      <c r="B17" s="370"/>
      <c r="C17" s="111"/>
      <c r="D17" s="111"/>
      <c r="E17" s="102"/>
      <c r="G17" s="470" t="str">
        <f t="shared" si="4"/>
        <v/>
      </c>
      <c r="H17" s="471"/>
      <c r="I17" s="472">
        <f t="shared" si="6"/>
        <v>0</v>
      </c>
      <c r="J17" s="472">
        <f t="shared" si="7"/>
        <v>0</v>
      </c>
      <c r="K17" s="476">
        <f t="shared" si="8"/>
        <v>0</v>
      </c>
      <c r="L17" s="473">
        <f t="shared" si="1"/>
        <v>0</v>
      </c>
      <c r="M17" s="280"/>
      <c r="N17" s="280" t="s">
        <v>165</v>
      </c>
      <c r="O17" s="280"/>
      <c r="P17" s="280"/>
      <c r="Q17" s="280"/>
      <c r="R17" s="280"/>
      <c r="S17" s="280"/>
      <c r="T17" s="280"/>
      <c r="U17" s="280"/>
      <c r="V17" s="280"/>
      <c r="W17" s="280"/>
      <c r="X17" s="280"/>
      <c r="Z17" s="3" t="str">
        <f t="shared" si="2"/>
        <v/>
      </c>
      <c r="AA17" s="40">
        <f t="shared" si="3"/>
        <v>0</v>
      </c>
      <c r="AB17" s="40">
        <f>'8. P&amp;L and Cashflow'!AC23</f>
        <v>0</v>
      </c>
      <c r="AC17" s="40">
        <f>'8. P&amp;L and Cashflow'!AD23</f>
        <v>0</v>
      </c>
      <c r="AD17" s="40">
        <f>'8. P&amp;L and Cashflow'!AE23</f>
        <v>0</v>
      </c>
      <c r="AE17" s="40">
        <f>'8. P&amp;L and Cashflow'!AF23</f>
        <v>0</v>
      </c>
    </row>
    <row r="18" spans="1:31" s="181" customFormat="1">
      <c r="A18" s="103"/>
      <c r="B18" s="370"/>
      <c r="C18" s="111"/>
      <c r="D18" s="111"/>
      <c r="E18" s="102"/>
      <c r="G18" s="470" t="str">
        <f t="shared" si="4"/>
        <v/>
      </c>
      <c r="H18" s="471"/>
      <c r="I18" s="472">
        <f t="shared" si="6"/>
        <v>0</v>
      </c>
      <c r="J18" s="472">
        <f t="shared" si="7"/>
        <v>0</v>
      </c>
      <c r="K18" s="476">
        <f t="shared" si="8"/>
        <v>0</v>
      </c>
      <c r="L18" s="473">
        <f t="shared" si="1"/>
        <v>0</v>
      </c>
      <c r="Z18" s="3" t="str">
        <f t="shared" si="2"/>
        <v/>
      </c>
      <c r="AA18" s="40">
        <f t="shared" si="3"/>
        <v>0</v>
      </c>
      <c r="AB18" s="40">
        <f>'8. P&amp;L and Cashflow'!AC24</f>
        <v>0</v>
      </c>
      <c r="AC18" s="40">
        <f>'8. P&amp;L and Cashflow'!AD24</f>
        <v>0</v>
      </c>
      <c r="AD18" s="40">
        <f>'8. P&amp;L and Cashflow'!AE24</f>
        <v>0</v>
      </c>
      <c r="AE18" s="40">
        <f>'8. P&amp;L and Cashflow'!AF24</f>
        <v>0</v>
      </c>
    </row>
    <row r="19" spans="1:31">
      <c r="A19" s="103" t="s">
        <v>250</v>
      </c>
      <c r="B19" s="370"/>
      <c r="C19" s="111"/>
      <c r="D19" s="111">
        <v>150</v>
      </c>
      <c r="E19" s="102"/>
      <c r="G19" s="470" t="str">
        <f t="shared" si="4"/>
        <v>Licenses</v>
      </c>
      <c r="H19" s="471"/>
      <c r="I19" s="472">
        <f t="shared" si="6"/>
        <v>2.8846153846153846</v>
      </c>
      <c r="J19" s="472">
        <f t="shared" si="7"/>
        <v>12.5</v>
      </c>
      <c r="K19" s="476">
        <f t="shared" si="8"/>
        <v>150</v>
      </c>
      <c r="L19" s="473">
        <f t="shared" si="1"/>
        <v>4.3478260869565218E-3</v>
      </c>
      <c r="Z19" s="3" t="str">
        <f t="shared" si="2"/>
        <v>Licenses</v>
      </c>
      <c r="AA19" s="40">
        <f t="shared" si="3"/>
        <v>150</v>
      </c>
      <c r="AB19" s="40">
        <f>'8. P&amp;L and Cashflow'!AC25</f>
        <v>150</v>
      </c>
      <c r="AC19" s="40">
        <f>'8. P&amp;L and Cashflow'!AD25</f>
        <v>150</v>
      </c>
      <c r="AD19" s="40">
        <f>'8. P&amp;L and Cashflow'!AE25</f>
        <v>150</v>
      </c>
      <c r="AE19" s="40">
        <f>'8. P&amp;L and Cashflow'!AF25</f>
        <v>150</v>
      </c>
    </row>
    <row r="20" spans="1:31">
      <c r="A20" s="103"/>
      <c r="B20" s="370"/>
      <c r="C20" s="111"/>
      <c r="D20" s="111"/>
      <c r="E20" s="102"/>
      <c r="G20" s="470" t="str">
        <f t="shared" si="4"/>
        <v/>
      </c>
      <c r="H20" s="471"/>
      <c r="I20" s="472">
        <f t="shared" si="6"/>
        <v>0</v>
      </c>
      <c r="J20" s="472">
        <f t="shared" si="7"/>
        <v>0</v>
      </c>
      <c r="K20" s="476">
        <f t="shared" si="8"/>
        <v>0</v>
      </c>
      <c r="L20" s="473">
        <f t="shared" si="1"/>
        <v>0</v>
      </c>
      <c r="Z20" s="3" t="str">
        <f t="shared" si="2"/>
        <v/>
      </c>
      <c r="AA20" s="40">
        <f t="shared" si="3"/>
        <v>0</v>
      </c>
      <c r="AB20" s="40">
        <f>'8. P&amp;L and Cashflow'!AC26</f>
        <v>0</v>
      </c>
      <c r="AC20" s="40">
        <f>'8. P&amp;L and Cashflow'!AD26</f>
        <v>0</v>
      </c>
      <c r="AD20" s="40">
        <f>'8. P&amp;L and Cashflow'!AE26</f>
        <v>0</v>
      </c>
      <c r="AE20" s="40">
        <f>'8. P&amp;L and Cashflow'!AF26</f>
        <v>0</v>
      </c>
    </row>
    <row r="21" spans="1:31">
      <c r="A21" s="103" t="s">
        <v>251</v>
      </c>
      <c r="B21" s="370"/>
      <c r="C21" s="111"/>
      <c r="D21" s="111"/>
      <c r="E21" s="102">
        <v>0.03</v>
      </c>
      <c r="G21" s="470" t="str">
        <f t="shared" si="4"/>
        <v>Advertising Expenses</v>
      </c>
      <c r="H21" s="471"/>
      <c r="I21" s="472">
        <f t="shared" si="6"/>
        <v>19.903846153846153</v>
      </c>
      <c r="J21" s="472">
        <f t="shared" si="7"/>
        <v>86.25</v>
      </c>
      <c r="K21" s="476">
        <f t="shared" si="8"/>
        <v>1035</v>
      </c>
      <c r="L21" s="473">
        <f t="shared" si="1"/>
        <v>0.03</v>
      </c>
      <c r="Z21" s="3" t="str">
        <f t="shared" si="2"/>
        <v>Advertising Expenses</v>
      </c>
      <c r="AA21" s="40">
        <f t="shared" si="3"/>
        <v>1035</v>
      </c>
      <c r="AB21" s="40">
        <f>'8. P&amp;L and Cashflow'!AC27</f>
        <v>1202.4000000000003</v>
      </c>
      <c r="AC21" s="40">
        <f>'8. P&amp;L and Cashflow'!AD27</f>
        <v>1339.2000000000003</v>
      </c>
      <c r="AD21" s="40">
        <f>'8. P&amp;L and Cashflow'!AE27</f>
        <v>1492.1640000000002</v>
      </c>
      <c r="AE21" s="40">
        <f>'8. P&amp;L and Cashflow'!AF27</f>
        <v>1663.2810000000002</v>
      </c>
    </row>
    <row r="22" spans="1:31">
      <c r="A22" s="103"/>
      <c r="B22" s="370"/>
      <c r="C22" s="111"/>
      <c r="D22" s="111"/>
      <c r="E22" s="102"/>
      <c r="G22" s="470" t="str">
        <f t="shared" si="4"/>
        <v/>
      </c>
      <c r="H22" s="471"/>
      <c r="I22" s="472">
        <f t="shared" si="6"/>
        <v>0</v>
      </c>
      <c r="J22" s="472">
        <f t="shared" si="7"/>
        <v>0</v>
      </c>
      <c r="K22" s="476">
        <f t="shared" si="8"/>
        <v>0</v>
      </c>
      <c r="L22" s="473">
        <f t="shared" si="1"/>
        <v>0</v>
      </c>
      <c r="Z22" s="3" t="str">
        <f t="shared" si="2"/>
        <v/>
      </c>
      <c r="AA22" s="40">
        <f t="shared" si="3"/>
        <v>0</v>
      </c>
      <c r="AB22" s="40">
        <f>'8. P&amp;L and Cashflow'!AC28</f>
        <v>0</v>
      </c>
      <c r="AC22" s="40">
        <f>'8. P&amp;L and Cashflow'!AD28</f>
        <v>0</v>
      </c>
      <c r="AD22" s="40">
        <f>'8. P&amp;L and Cashflow'!AE28</f>
        <v>0</v>
      </c>
      <c r="AE22" s="40">
        <f>'8. P&amp;L and Cashflow'!AF28</f>
        <v>0</v>
      </c>
    </row>
    <row r="23" spans="1:31">
      <c r="A23" s="103"/>
      <c r="B23" s="370"/>
      <c r="C23" s="111"/>
      <c r="D23" s="111"/>
      <c r="E23" s="102"/>
      <c r="G23" s="470" t="str">
        <f t="shared" si="4"/>
        <v/>
      </c>
      <c r="H23" s="471"/>
      <c r="I23" s="472">
        <f t="shared" si="6"/>
        <v>0</v>
      </c>
      <c r="J23" s="472">
        <f t="shared" si="7"/>
        <v>0</v>
      </c>
      <c r="K23" s="476">
        <f t="shared" si="8"/>
        <v>0</v>
      </c>
      <c r="L23" s="473">
        <f t="shared" si="1"/>
        <v>0</v>
      </c>
      <c r="Z23" s="3" t="str">
        <f t="shared" si="2"/>
        <v/>
      </c>
      <c r="AA23" s="40">
        <f t="shared" si="3"/>
        <v>0</v>
      </c>
      <c r="AB23" s="40">
        <f>'8. P&amp;L and Cashflow'!AC29</f>
        <v>0</v>
      </c>
      <c r="AC23" s="40">
        <f>'8. P&amp;L and Cashflow'!AD29</f>
        <v>0</v>
      </c>
      <c r="AD23" s="40">
        <f>'8. P&amp;L and Cashflow'!AE29</f>
        <v>0</v>
      </c>
      <c r="AE23" s="40">
        <f>'8. P&amp;L and Cashflow'!AF29</f>
        <v>0</v>
      </c>
    </row>
    <row r="24" spans="1:31">
      <c r="A24" s="103"/>
      <c r="B24" s="370"/>
      <c r="C24" s="111"/>
      <c r="D24" s="111"/>
      <c r="E24" s="102"/>
      <c r="G24" s="470" t="str">
        <f t="shared" si="4"/>
        <v/>
      </c>
      <c r="H24" s="471"/>
      <c r="I24" s="472">
        <f t="shared" si="6"/>
        <v>0</v>
      </c>
      <c r="J24" s="472">
        <f t="shared" si="7"/>
        <v>0</v>
      </c>
      <c r="K24" s="476">
        <f t="shared" si="8"/>
        <v>0</v>
      </c>
      <c r="L24" s="473">
        <f t="shared" si="1"/>
        <v>0</v>
      </c>
      <c r="Z24" s="3" t="str">
        <f t="shared" si="2"/>
        <v/>
      </c>
      <c r="AA24" s="40">
        <f t="shared" si="3"/>
        <v>0</v>
      </c>
      <c r="AB24" s="40">
        <f>'8. P&amp;L and Cashflow'!AC30</f>
        <v>0</v>
      </c>
      <c r="AC24" s="40">
        <f>'8. P&amp;L and Cashflow'!AD30</f>
        <v>0</v>
      </c>
      <c r="AD24" s="40">
        <f>'8. P&amp;L and Cashflow'!AE30</f>
        <v>0</v>
      </c>
      <c r="AE24" s="40">
        <f>'8. P&amp;L and Cashflow'!AF30</f>
        <v>0</v>
      </c>
    </row>
    <row r="25" spans="1:31">
      <c r="A25" s="103"/>
      <c r="B25" s="370"/>
      <c r="C25" s="111"/>
      <c r="D25" s="111"/>
      <c r="E25" s="102"/>
      <c r="G25" s="470" t="str">
        <f t="shared" si="4"/>
        <v/>
      </c>
      <c r="H25" s="471"/>
      <c r="I25" s="472">
        <f t="shared" si="6"/>
        <v>0</v>
      </c>
      <c r="J25" s="472">
        <f t="shared" si="7"/>
        <v>0</v>
      </c>
      <c r="K25" s="476">
        <f t="shared" si="8"/>
        <v>0</v>
      </c>
      <c r="L25" s="473">
        <f t="shared" si="1"/>
        <v>0</v>
      </c>
      <c r="Z25" s="3" t="str">
        <f t="shared" si="2"/>
        <v/>
      </c>
      <c r="AA25" s="40">
        <f t="shared" si="3"/>
        <v>0</v>
      </c>
      <c r="AB25" s="40">
        <f>'8. P&amp;L and Cashflow'!AC31</f>
        <v>0</v>
      </c>
      <c r="AC25" s="40">
        <f>'8. P&amp;L and Cashflow'!AD31</f>
        <v>0</v>
      </c>
      <c r="AD25" s="40">
        <f>'8. P&amp;L and Cashflow'!AE31</f>
        <v>0</v>
      </c>
      <c r="AE25" s="40">
        <f>'8. P&amp;L and Cashflow'!AF31</f>
        <v>0</v>
      </c>
    </row>
    <row r="26" spans="1:31">
      <c r="A26" s="103"/>
      <c r="B26" s="370"/>
      <c r="C26" s="111"/>
      <c r="D26" s="111"/>
      <c r="E26" s="102"/>
      <c r="G26" s="470" t="str">
        <f t="shared" si="4"/>
        <v/>
      </c>
      <c r="H26" s="471"/>
      <c r="I26" s="472">
        <f t="shared" si="6"/>
        <v>0</v>
      </c>
      <c r="J26" s="472">
        <f t="shared" si="7"/>
        <v>0</v>
      </c>
      <c r="K26" s="476">
        <f t="shared" si="8"/>
        <v>0</v>
      </c>
      <c r="L26" s="473">
        <f t="shared" si="1"/>
        <v>0</v>
      </c>
      <c r="Z26" s="3" t="str">
        <f t="shared" si="2"/>
        <v/>
      </c>
      <c r="AA26" s="40">
        <f t="shared" si="3"/>
        <v>0</v>
      </c>
      <c r="AB26" s="40">
        <f>'8. P&amp;L and Cashflow'!AC32</f>
        <v>0</v>
      </c>
      <c r="AC26" s="40">
        <f>'8. P&amp;L and Cashflow'!AD32</f>
        <v>0</v>
      </c>
      <c r="AD26" s="40">
        <f>'8. P&amp;L and Cashflow'!AE32</f>
        <v>0</v>
      </c>
      <c r="AE26" s="40">
        <f>'8. P&amp;L and Cashflow'!AF32</f>
        <v>0</v>
      </c>
    </row>
    <row r="27" spans="1:31">
      <c r="A27" s="103" t="s">
        <v>256</v>
      </c>
      <c r="B27" s="370"/>
      <c r="C27" s="111"/>
      <c r="D27" s="111"/>
      <c r="E27" s="102">
        <v>0.06</v>
      </c>
      <c r="G27" s="470" t="str">
        <f t="shared" si="4"/>
        <v>Delivery Expense (Fuel, S&amp;H)</v>
      </c>
      <c r="H27" s="471"/>
      <c r="I27" s="472">
        <f t="shared" si="6"/>
        <v>39.807692307692307</v>
      </c>
      <c r="J27" s="472">
        <f t="shared" si="7"/>
        <v>172.5</v>
      </c>
      <c r="K27" s="476">
        <f t="shared" si="8"/>
        <v>2070</v>
      </c>
      <c r="L27" s="473">
        <f t="shared" si="1"/>
        <v>0.06</v>
      </c>
      <c r="Z27" s="3" t="str">
        <f t="shared" si="2"/>
        <v>Delivery Expense (Fuel, S&amp;H)</v>
      </c>
      <c r="AA27" s="40">
        <f t="shared" si="3"/>
        <v>2070</v>
      </c>
      <c r="AB27" s="40">
        <f>'8. P&amp;L and Cashflow'!AC33</f>
        <v>2404.8000000000006</v>
      </c>
      <c r="AC27" s="40">
        <f>'8. P&amp;L and Cashflow'!AD33</f>
        <v>2678.4000000000005</v>
      </c>
      <c r="AD27" s="40">
        <f>'8. P&amp;L and Cashflow'!AE33</f>
        <v>2984.3280000000004</v>
      </c>
      <c r="AE27" s="40">
        <f>'8. P&amp;L and Cashflow'!AF33</f>
        <v>3326.5620000000004</v>
      </c>
    </row>
    <row r="28" spans="1:31">
      <c r="A28" s="103"/>
      <c r="B28" s="370"/>
      <c r="C28" s="111"/>
      <c r="D28" s="111"/>
      <c r="E28" s="102"/>
      <c r="G28" s="470" t="str">
        <f t="shared" si="4"/>
        <v/>
      </c>
      <c r="H28" s="471"/>
      <c r="I28" s="472">
        <f t="shared" si="6"/>
        <v>0</v>
      </c>
      <c r="J28" s="472">
        <f t="shared" si="7"/>
        <v>0</v>
      </c>
      <c r="K28" s="476">
        <f t="shared" si="8"/>
        <v>0</v>
      </c>
      <c r="L28" s="473">
        <f t="shared" si="1"/>
        <v>0</v>
      </c>
      <c r="Z28" s="3" t="str">
        <f t="shared" si="2"/>
        <v/>
      </c>
      <c r="AA28" s="40">
        <f t="shared" si="3"/>
        <v>0</v>
      </c>
      <c r="AB28" s="40">
        <f>'8. P&amp;L and Cashflow'!AC34</f>
        <v>0</v>
      </c>
      <c r="AC28" s="40">
        <f>'8. P&amp;L and Cashflow'!AD34</f>
        <v>0</v>
      </c>
      <c r="AD28" s="40">
        <f>'8. P&amp;L and Cashflow'!AE34</f>
        <v>0</v>
      </c>
      <c r="AE28" s="40">
        <f>'8. P&amp;L and Cashflow'!AF34</f>
        <v>0</v>
      </c>
    </row>
    <row r="29" spans="1:31">
      <c r="A29" s="103" t="s">
        <v>43</v>
      </c>
      <c r="B29" s="370"/>
      <c r="C29" s="111"/>
      <c r="D29" s="111">
        <v>300</v>
      </c>
      <c r="E29" s="102"/>
      <c r="G29" s="470" t="str">
        <f t="shared" si="4"/>
        <v>Accounting Services</v>
      </c>
      <c r="H29" s="471"/>
      <c r="I29" s="472">
        <f t="shared" si="6"/>
        <v>5.7692307692307692</v>
      </c>
      <c r="J29" s="472">
        <f t="shared" si="7"/>
        <v>25</v>
      </c>
      <c r="K29" s="476">
        <f t="shared" si="8"/>
        <v>300</v>
      </c>
      <c r="L29" s="473">
        <f t="shared" si="1"/>
        <v>8.6956521739130436E-3</v>
      </c>
      <c r="Z29" s="3" t="str">
        <f t="shared" si="2"/>
        <v>Accounting Services</v>
      </c>
      <c r="AA29" s="40">
        <f t="shared" si="3"/>
        <v>300</v>
      </c>
      <c r="AB29" s="40">
        <f>'8. P&amp;L and Cashflow'!AC35</f>
        <v>300</v>
      </c>
      <c r="AC29" s="40">
        <f>'8. P&amp;L and Cashflow'!AD35</f>
        <v>300</v>
      </c>
      <c r="AD29" s="40">
        <f>'8. P&amp;L and Cashflow'!AE35</f>
        <v>300</v>
      </c>
      <c r="AE29" s="40">
        <f>'8. P&amp;L and Cashflow'!AF35</f>
        <v>300</v>
      </c>
    </row>
    <row r="30" spans="1:31">
      <c r="A30" s="103" t="s">
        <v>259</v>
      </c>
      <c r="B30" s="370"/>
      <c r="C30" s="111"/>
      <c r="D30" s="111">
        <v>85</v>
      </c>
      <c r="E30" s="102"/>
      <c r="G30" s="470" t="str">
        <f t="shared" si="4"/>
        <v>Banking Fees</v>
      </c>
      <c r="H30" s="471"/>
      <c r="I30" s="472">
        <f t="shared" si="6"/>
        <v>1.6346153846153846</v>
      </c>
      <c r="J30" s="472">
        <f t="shared" si="7"/>
        <v>7.083333333333333</v>
      </c>
      <c r="K30" s="476">
        <f t="shared" si="8"/>
        <v>85</v>
      </c>
      <c r="L30" s="473">
        <f t="shared" si="1"/>
        <v>2.4637681159420288E-3</v>
      </c>
      <c r="Z30" s="3" t="str">
        <f t="shared" si="2"/>
        <v>Banking Fees</v>
      </c>
      <c r="AA30" s="40">
        <f t="shared" si="3"/>
        <v>85</v>
      </c>
      <c r="AB30" s="40">
        <f>'8. P&amp;L and Cashflow'!AC36</f>
        <v>85</v>
      </c>
      <c r="AC30" s="40">
        <f>'8. P&amp;L and Cashflow'!AD36</f>
        <v>85</v>
      </c>
      <c r="AD30" s="40">
        <f>'8. P&amp;L and Cashflow'!AE36</f>
        <v>85</v>
      </c>
      <c r="AE30" s="40">
        <f>'8. P&amp;L and Cashflow'!AF36</f>
        <v>85</v>
      </c>
    </row>
    <row r="31" spans="1:31">
      <c r="A31" s="103" t="s">
        <v>260</v>
      </c>
      <c r="B31" s="370"/>
      <c r="C31" s="111"/>
      <c r="D31" s="111"/>
      <c r="E31" s="102">
        <v>3.5000000000000003E-2</v>
      </c>
      <c r="G31" s="470" t="str">
        <f t="shared" si="4"/>
        <v>Merchant Account Fee</v>
      </c>
      <c r="H31" s="471"/>
      <c r="I31" s="472">
        <f t="shared" si="6"/>
        <v>23.22115384615385</v>
      </c>
      <c r="J31" s="472">
        <f t="shared" si="7"/>
        <v>100.62500000000001</v>
      </c>
      <c r="K31" s="476">
        <f t="shared" si="8"/>
        <v>1207.5000000000002</v>
      </c>
      <c r="L31" s="473">
        <f t="shared" si="1"/>
        <v>3.5000000000000003E-2</v>
      </c>
      <c r="Z31" s="3" t="str">
        <f t="shared" si="2"/>
        <v>Merchant Account Fee</v>
      </c>
      <c r="AA31" s="40">
        <f t="shared" si="3"/>
        <v>1207.5000000000002</v>
      </c>
      <c r="AB31" s="40">
        <f>'8. P&amp;L and Cashflow'!AC37</f>
        <v>1402.8000000000002</v>
      </c>
      <c r="AC31" s="40">
        <f>'8. P&amp;L and Cashflow'!AD37</f>
        <v>1562.4000000000003</v>
      </c>
      <c r="AD31" s="40">
        <f>'8. P&amp;L and Cashflow'!AE37</f>
        <v>1740.8580000000006</v>
      </c>
      <c r="AE31" s="40">
        <f>'8. P&amp;L and Cashflow'!AF37</f>
        <v>1940.4945000000002</v>
      </c>
    </row>
    <row r="32" spans="1:31">
      <c r="A32" s="103"/>
      <c r="B32" s="370"/>
      <c r="C32" s="111"/>
      <c r="D32" s="111"/>
      <c r="E32" s="102"/>
      <c r="G32" s="470" t="str">
        <f t="shared" si="4"/>
        <v/>
      </c>
      <c r="H32" s="471"/>
      <c r="I32" s="472">
        <f t="shared" si="6"/>
        <v>0</v>
      </c>
      <c r="J32" s="472">
        <f t="shared" si="7"/>
        <v>0</v>
      </c>
      <c r="K32" s="476">
        <f t="shared" si="8"/>
        <v>0</v>
      </c>
      <c r="L32" s="473">
        <f t="shared" si="1"/>
        <v>0</v>
      </c>
      <c r="Z32" s="3" t="str">
        <f t="shared" si="2"/>
        <v/>
      </c>
      <c r="AA32" s="40">
        <f t="shared" si="3"/>
        <v>0</v>
      </c>
      <c r="AB32" s="40">
        <f>'8. P&amp;L and Cashflow'!AC38</f>
        <v>0</v>
      </c>
      <c r="AC32" s="40">
        <f>'8. P&amp;L and Cashflow'!AD38</f>
        <v>0</v>
      </c>
      <c r="AD32" s="40">
        <f>'8. P&amp;L and Cashflow'!AE38</f>
        <v>0</v>
      </c>
      <c r="AE32" s="40">
        <f>'8. P&amp;L and Cashflow'!AF38</f>
        <v>0</v>
      </c>
    </row>
    <row r="33" spans="1:31" hidden="1">
      <c r="A33" s="103"/>
      <c r="B33" s="370"/>
      <c r="C33" s="111"/>
      <c r="D33" s="111"/>
      <c r="E33" s="102"/>
      <c r="G33" s="470" t="str">
        <f t="shared" si="4"/>
        <v/>
      </c>
      <c r="H33" s="471"/>
      <c r="I33" s="472">
        <f t="shared" si="6"/>
        <v>0</v>
      </c>
      <c r="J33" s="472">
        <f t="shared" si="7"/>
        <v>0</v>
      </c>
      <c r="K33" s="476">
        <f t="shared" si="8"/>
        <v>0</v>
      </c>
      <c r="L33" s="473">
        <f t="shared" si="1"/>
        <v>0</v>
      </c>
      <c r="Z33" s="3" t="str">
        <f t="shared" si="2"/>
        <v/>
      </c>
      <c r="AA33" s="40">
        <f t="shared" si="3"/>
        <v>0</v>
      </c>
      <c r="AB33" s="40">
        <f>'8. P&amp;L and Cashflow'!AC39</f>
        <v>0</v>
      </c>
      <c r="AC33" s="40">
        <f>'8. P&amp;L and Cashflow'!AD39</f>
        <v>0</v>
      </c>
      <c r="AD33" s="40">
        <f>'8. P&amp;L and Cashflow'!AE39</f>
        <v>0</v>
      </c>
      <c r="AE33" s="40">
        <f>'8. P&amp;L and Cashflow'!AF39</f>
        <v>0</v>
      </c>
    </row>
    <row r="34" spans="1:31" hidden="1">
      <c r="A34" s="103"/>
      <c r="B34" s="370"/>
      <c r="C34" s="111"/>
      <c r="D34" s="111"/>
      <c r="E34" s="102"/>
      <c r="G34" s="470" t="str">
        <f t="shared" si="4"/>
        <v/>
      </c>
      <c r="H34" s="471"/>
      <c r="I34" s="472">
        <f t="shared" si="6"/>
        <v>0</v>
      </c>
      <c r="J34" s="472">
        <f t="shared" si="7"/>
        <v>0</v>
      </c>
      <c r="K34" s="476">
        <f t="shared" si="8"/>
        <v>0</v>
      </c>
      <c r="L34" s="473">
        <f t="shared" si="1"/>
        <v>0</v>
      </c>
      <c r="Z34" s="3" t="str">
        <f t="shared" si="2"/>
        <v/>
      </c>
      <c r="AA34" s="40">
        <f t="shared" si="3"/>
        <v>0</v>
      </c>
      <c r="AB34" s="40">
        <f>'8. P&amp;L and Cashflow'!AC40</f>
        <v>0</v>
      </c>
      <c r="AC34" s="40">
        <f>'8. P&amp;L and Cashflow'!AD40</f>
        <v>0</v>
      </c>
      <c r="AD34" s="40">
        <f>'8. P&amp;L and Cashflow'!AE40</f>
        <v>0</v>
      </c>
      <c r="AE34" s="40">
        <f>'8. P&amp;L and Cashflow'!AF40</f>
        <v>0</v>
      </c>
    </row>
    <row r="35" spans="1:31" hidden="1">
      <c r="A35" s="103"/>
      <c r="B35" s="370"/>
      <c r="C35" s="111"/>
      <c r="D35" s="111"/>
      <c r="E35" s="102"/>
      <c r="G35" s="470" t="str">
        <f t="shared" si="4"/>
        <v/>
      </c>
      <c r="H35" s="471"/>
      <c r="I35" s="472">
        <f t="shared" si="6"/>
        <v>0</v>
      </c>
      <c r="J35" s="472">
        <f t="shared" si="7"/>
        <v>0</v>
      </c>
      <c r="K35" s="476">
        <f t="shared" si="8"/>
        <v>0</v>
      </c>
      <c r="L35" s="473">
        <f t="shared" si="1"/>
        <v>0</v>
      </c>
      <c r="Z35" s="3" t="str">
        <f t="shared" si="2"/>
        <v/>
      </c>
      <c r="AA35" s="40">
        <f t="shared" si="3"/>
        <v>0</v>
      </c>
      <c r="AB35" s="40">
        <f>'8. P&amp;L and Cashflow'!AC41</f>
        <v>0</v>
      </c>
      <c r="AC35" s="40">
        <f>'8. P&amp;L and Cashflow'!AD41</f>
        <v>0</v>
      </c>
      <c r="AD35" s="40">
        <f>'8. P&amp;L and Cashflow'!AE41</f>
        <v>0</v>
      </c>
      <c r="AE35" s="40">
        <f>'8. P&amp;L and Cashflow'!AF41</f>
        <v>0</v>
      </c>
    </row>
    <row r="36" spans="1:31" hidden="1">
      <c r="A36" s="103"/>
      <c r="B36" s="370"/>
      <c r="C36" s="111"/>
      <c r="D36" s="111"/>
      <c r="E36" s="102"/>
      <c r="G36" s="470" t="str">
        <f t="shared" si="4"/>
        <v/>
      </c>
      <c r="H36" s="471"/>
      <c r="I36" s="472">
        <f t="shared" si="6"/>
        <v>0</v>
      </c>
      <c r="J36" s="472">
        <f t="shared" si="7"/>
        <v>0</v>
      </c>
      <c r="K36" s="476">
        <f t="shared" si="8"/>
        <v>0</v>
      </c>
      <c r="L36" s="473">
        <f t="shared" si="1"/>
        <v>0</v>
      </c>
      <c r="Z36" s="3" t="str">
        <f t="shared" si="2"/>
        <v/>
      </c>
      <c r="AA36" s="40">
        <f t="shared" si="3"/>
        <v>0</v>
      </c>
      <c r="AB36" s="40">
        <f>'8. P&amp;L and Cashflow'!AC42</f>
        <v>0</v>
      </c>
      <c r="AC36" s="40">
        <f>'8. P&amp;L and Cashflow'!AD42</f>
        <v>0</v>
      </c>
      <c r="AD36" s="40">
        <f>'8. P&amp;L and Cashflow'!AE42</f>
        <v>0</v>
      </c>
      <c r="AE36" s="40">
        <f>'8. P&amp;L and Cashflow'!AF42</f>
        <v>0</v>
      </c>
    </row>
    <row r="37" spans="1:31" hidden="1">
      <c r="A37" s="103"/>
      <c r="B37" s="370"/>
      <c r="C37" s="111"/>
      <c r="D37" s="111"/>
      <c r="E37" s="102"/>
      <c r="G37" s="470" t="str">
        <f t="shared" si="4"/>
        <v/>
      </c>
      <c r="H37" s="471"/>
      <c r="I37" s="472">
        <f t="shared" si="6"/>
        <v>0</v>
      </c>
      <c r="J37" s="472">
        <f t="shared" si="7"/>
        <v>0</v>
      </c>
      <c r="K37" s="476">
        <f t="shared" si="8"/>
        <v>0</v>
      </c>
      <c r="L37" s="473">
        <f t="shared" si="1"/>
        <v>0</v>
      </c>
      <c r="Z37" s="3" t="str">
        <f t="shared" si="2"/>
        <v/>
      </c>
      <c r="AA37" s="40">
        <f t="shared" si="3"/>
        <v>0</v>
      </c>
      <c r="AB37" s="40">
        <f>'8. P&amp;L and Cashflow'!AC43</f>
        <v>0</v>
      </c>
      <c r="AC37" s="40">
        <f>'8. P&amp;L and Cashflow'!AD43</f>
        <v>0</v>
      </c>
      <c r="AD37" s="40">
        <f>'8. P&amp;L and Cashflow'!AE43</f>
        <v>0</v>
      </c>
      <c r="AE37" s="40">
        <f>'8. P&amp;L and Cashflow'!AF43</f>
        <v>0</v>
      </c>
    </row>
    <row r="38" spans="1:31" hidden="1">
      <c r="A38" s="103"/>
      <c r="B38" s="370"/>
      <c r="C38" s="111"/>
      <c r="D38" s="111"/>
      <c r="E38" s="102"/>
      <c r="G38" s="470" t="str">
        <f t="shared" si="4"/>
        <v/>
      </c>
      <c r="H38" s="471"/>
      <c r="I38" s="472">
        <f t="shared" si="6"/>
        <v>0</v>
      </c>
      <c r="J38" s="472">
        <f t="shared" si="7"/>
        <v>0</v>
      </c>
      <c r="K38" s="476">
        <f t="shared" si="8"/>
        <v>0</v>
      </c>
      <c r="L38" s="473">
        <f t="shared" si="1"/>
        <v>0</v>
      </c>
      <c r="Z38" s="3" t="str">
        <f t="shared" si="2"/>
        <v/>
      </c>
      <c r="AA38" s="40">
        <f t="shared" si="3"/>
        <v>0</v>
      </c>
      <c r="AB38" s="40">
        <f>'8. P&amp;L and Cashflow'!AC44</f>
        <v>0</v>
      </c>
      <c r="AC38" s="40">
        <f>'8. P&amp;L and Cashflow'!AD44</f>
        <v>0</v>
      </c>
      <c r="AD38" s="40">
        <f>'8. P&amp;L and Cashflow'!AE44</f>
        <v>0</v>
      </c>
      <c r="AE38" s="40">
        <f>'8. P&amp;L and Cashflow'!AF44</f>
        <v>0</v>
      </c>
    </row>
    <row r="39" spans="1:31" hidden="1">
      <c r="A39" s="103"/>
      <c r="B39" s="370"/>
      <c r="C39" s="111"/>
      <c r="D39" s="111"/>
      <c r="E39" s="102"/>
      <c r="G39" s="470" t="str">
        <f t="shared" si="4"/>
        <v/>
      </c>
      <c r="H39" s="471"/>
      <c r="I39" s="472">
        <f t="shared" si="6"/>
        <v>0</v>
      </c>
      <c r="J39" s="472">
        <f t="shared" si="7"/>
        <v>0</v>
      </c>
      <c r="K39" s="476">
        <f t="shared" si="8"/>
        <v>0</v>
      </c>
      <c r="L39" s="473">
        <f t="shared" si="1"/>
        <v>0</v>
      </c>
      <c r="Z39" s="3" t="str">
        <f t="shared" si="2"/>
        <v/>
      </c>
      <c r="AA39" s="40">
        <f t="shared" si="3"/>
        <v>0</v>
      </c>
      <c r="AB39" s="40">
        <f>'8. P&amp;L and Cashflow'!AC45</f>
        <v>0</v>
      </c>
      <c r="AC39" s="40">
        <f>'8. P&amp;L and Cashflow'!AD45</f>
        <v>0</v>
      </c>
      <c r="AD39" s="40">
        <f>'8. P&amp;L and Cashflow'!AE45</f>
        <v>0</v>
      </c>
      <c r="AE39" s="40">
        <f>'8. P&amp;L and Cashflow'!AF45</f>
        <v>0</v>
      </c>
    </row>
    <row r="40" spans="1:31" hidden="1">
      <c r="A40" s="103"/>
      <c r="B40" s="135"/>
      <c r="C40" s="111"/>
      <c r="D40" s="111"/>
      <c r="E40" s="102"/>
      <c r="G40" s="470" t="str">
        <f t="shared" si="4"/>
        <v/>
      </c>
      <c r="H40" s="471"/>
      <c r="I40" s="472">
        <f t="shared" si="6"/>
        <v>0</v>
      </c>
      <c r="J40" s="472">
        <f t="shared" si="7"/>
        <v>0</v>
      </c>
      <c r="K40" s="476">
        <f t="shared" si="8"/>
        <v>0</v>
      </c>
      <c r="L40" s="473">
        <f t="shared" si="1"/>
        <v>0</v>
      </c>
      <c r="Z40" s="3" t="str">
        <f t="shared" si="2"/>
        <v/>
      </c>
      <c r="AA40" s="40">
        <f t="shared" si="3"/>
        <v>0</v>
      </c>
      <c r="AB40" s="40">
        <f>'8. P&amp;L and Cashflow'!AC46</f>
        <v>0</v>
      </c>
      <c r="AC40" s="40">
        <f>'8. P&amp;L and Cashflow'!AD46</f>
        <v>0</v>
      </c>
      <c r="AD40" s="40">
        <f>'8. P&amp;L and Cashflow'!AE46</f>
        <v>0</v>
      </c>
      <c r="AE40" s="40">
        <f>'8. P&amp;L and Cashflow'!AF46</f>
        <v>0</v>
      </c>
    </row>
    <row r="41" spans="1:31" hidden="1">
      <c r="A41" s="103"/>
      <c r="B41" s="135"/>
      <c r="C41" s="111"/>
      <c r="D41" s="111"/>
      <c r="E41" s="102"/>
      <c r="G41" s="470" t="str">
        <f t="shared" si="4"/>
        <v/>
      </c>
      <c r="H41" s="471"/>
      <c r="I41" s="472">
        <f t="shared" si="6"/>
        <v>0</v>
      </c>
      <c r="J41" s="472">
        <f t="shared" si="7"/>
        <v>0</v>
      </c>
      <c r="K41" s="476">
        <f t="shared" si="8"/>
        <v>0</v>
      </c>
      <c r="L41" s="473">
        <f t="shared" si="1"/>
        <v>0</v>
      </c>
      <c r="Z41" s="3" t="str">
        <f t="shared" si="2"/>
        <v/>
      </c>
      <c r="AA41" s="40">
        <f t="shared" si="3"/>
        <v>0</v>
      </c>
      <c r="AB41" s="40">
        <f>'8. P&amp;L and Cashflow'!AC47</f>
        <v>0</v>
      </c>
      <c r="AC41" s="40">
        <f>'8. P&amp;L and Cashflow'!AD47</f>
        <v>0</v>
      </c>
      <c r="AD41" s="40">
        <f>'8. P&amp;L and Cashflow'!AE47</f>
        <v>0</v>
      </c>
      <c r="AE41" s="40">
        <f>'8. P&amp;L and Cashflow'!AF47</f>
        <v>0</v>
      </c>
    </row>
    <row r="42" spans="1:31" hidden="1">
      <c r="A42" s="103"/>
      <c r="B42" s="135"/>
      <c r="C42" s="111"/>
      <c r="D42" s="111"/>
      <c r="E42" s="102"/>
      <c r="G42" s="470" t="str">
        <f t="shared" si="4"/>
        <v/>
      </c>
      <c r="H42" s="471"/>
      <c r="I42" s="472">
        <f t="shared" si="6"/>
        <v>0</v>
      </c>
      <c r="J42" s="472">
        <f t="shared" si="7"/>
        <v>0</v>
      </c>
      <c r="K42" s="476">
        <f t="shared" si="8"/>
        <v>0</v>
      </c>
      <c r="L42" s="473">
        <f t="shared" si="1"/>
        <v>0</v>
      </c>
      <c r="Z42" s="3" t="str">
        <f t="shared" si="2"/>
        <v/>
      </c>
      <c r="AA42" s="40">
        <f t="shared" si="3"/>
        <v>0</v>
      </c>
      <c r="AB42" s="40">
        <f>'8. P&amp;L and Cashflow'!AC48</f>
        <v>0</v>
      </c>
      <c r="AC42" s="40">
        <f>'8. P&amp;L and Cashflow'!AD48</f>
        <v>0</v>
      </c>
      <c r="AD42" s="40">
        <f>'8. P&amp;L and Cashflow'!AE48</f>
        <v>0</v>
      </c>
      <c r="AE42" s="40">
        <f>'8. P&amp;L and Cashflow'!AF48</f>
        <v>0</v>
      </c>
    </row>
    <row r="43" spans="1:31" hidden="1">
      <c r="A43" s="103"/>
      <c r="B43" s="135"/>
      <c r="C43" s="111"/>
      <c r="D43" s="111"/>
      <c r="E43" s="102"/>
      <c r="G43" s="470" t="str">
        <f t="shared" si="4"/>
        <v/>
      </c>
      <c r="H43" s="471"/>
      <c r="I43" s="472">
        <f t="shared" si="6"/>
        <v>0</v>
      </c>
      <c r="J43" s="472">
        <f t="shared" si="7"/>
        <v>0</v>
      </c>
      <c r="K43" s="476">
        <f t="shared" si="8"/>
        <v>0</v>
      </c>
      <c r="L43" s="473">
        <f t="shared" si="1"/>
        <v>0</v>
      </c>
      <c r="Z43" s="3" t="str">
        <f t="shared" si="2"/>
        <v/>
      </c>
      <c r="AA43" s="40">
        <f t="shared" si="3"/>
        <v>0</v>
      </c>
      <c r="AB43" s="40">
        <f>'8. P&amp;L and Cashflow'!AC49</f>
        <v>0</v>
      </c>
      <c r="AC43" s="40">
        <f>'8. P&amp;L and Cashflow'!AD49</f>
        <v>0</v>
      </c>
      <c r="AD43" s="40">
        <f>'8. P&amp;L and Cashflow'!AE49</f>
        <v>0</v>
      </c>
      <c r="AE43" s="40">
        <f>'8. P&amp;L and Cashflow'!AF49</f>
        <v>0</v>
      </c>
    </row>
    <row r="44" spans="1:31" ht="13.5" thickBot="1">
      <c r="A44" s="296" t="s">
        <v>9</v>
      </c>
      <c r="B44" s="297"/>
      <c r="C44" s="112"/>
      <c r="D44" s="112"/>
      <c r="E44" s="298"/>
      <c r="G44" s="477" t="str">
        <f t="shared" si="4"/>
        <v>Other</v>
      </c>
      <c r="H44" s="478"/>
      <c r="I44" s="479">
        <f t="shared" si="6"/>
        <v>0</v>
      </c>
      <c r="J44" s="479">
        <f t="shared" si="7"/>
        <v>0</v>
      </c>
      <c r="K44" s="479">
        <f t="shared" si="8"/>
        <v>0</v>
      </c>
      <c r="L44" s="480">
        <f t="shared" si="1"/>
        <v>0</v>
      </c>
      <c r="Z44" s="3" t="str">
        <f t="shared" si="2"/>
        <v>Other</v>
      </c>
      <c r="AA44" s="40">
        <f t="shared" si="3"/>
        <v>0</v>
      </c>
      <c r="AB44" s="40">
        <f>'8. P&amp;L and Cashflow'!AC50</f>
        <v>0</v>
      </c>
      <c r="AC44" s="40">
        <f>'8. P&amp;L and Cashflow'!AD50</f>
        <v>0</v>
      </c>
      <c r="AD44" s="40">
        <f>'8. P&amp;L and Cashflow'!AE50</f>
        <v>0</v>
      </c>
      <c r="AE44" s="40">
        <f>'8. P&amp;L and Cashflow'!AF50</f>
        <v>0</v>
      </c>
    </row>
  </sheetData>
  <mergeCells count="8">
    <mergeCell ref="M1:O1"/>
    <mergeCell ref="P1:S1"/>
    <mergeCell ref="G3:L3"/>
    <mergeCell ref="G9:H9"/>
    <mergeCell ref="B10:D10"/>
    <mergeCell ref="I4:L4"/>
    <mergeCell ref="B4:D4"/>
    <mergeCell ref="B5:D5"/>
  </mergeCells>
  <hyperlinks>
    <hyperlink ref="B10" r:id="rId1"/>
  </hyperlinks>
  <printOptions horizontalCentered="1" verticalCentered="1"/>
  <pageMargins left="0.24" right="0.24" top="0.24" bottom="0.24" header="0.17" footer="0.17"/>
  <pageSetup orientation="landscape" r:id="rId2"/>
  <headerFooter>
    <oddHeader>&amp;LTab 2: Operating Budget&amp;CRapid Business Plan</oddHeader>
    <oddFooter>&amp;L&amp;D&amp;CHeartland Information Research, Inc&amp;RPage 3 of 9</oddFooter>
  </headerFooter>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G64"/>
  <sheetViews>
    <sheetView showGridLines="0" zoomScaleNormal="100" workbookViewId="0">
      <pane ySplit="3" topLeftCell="A4" activePane="bottomLeft" state="frozenSplit"/>
      <selection pane="bottomLeft" activeCell="A4" sqref="A4"/>
    </sheetView>
  </sheetViews>
  <sheetFormatPr defaultColWidth="0" defaultRowHeight="12.75" customHeight="1" zeroHeight="1"/>
  <cols>
    <col min="1" max="1" width="7.140625" style="11" customWidth="1"/>
    <col min="2" max="2" width="19.28515625" style="14" customWidth="1"/>
    <col min="3" max="3" width="12.7109375" style="11" customWidth="1"/>
    <col min="4" max="4" width="31.85546875" style="22" customWidth="1"/>
    <col min="5" max="5" width="12.28515625" style="14" customWidth="1"/>
    <col min="6" max="6" width="14.85546875" style="14" customWidth="1"/>
    <col min="7" max="7" width="10.42578125" style="14" bestFit="1" customWidth="1"/>
    <col min="8" max="16384" width="18.7109375" style="15" hidden="1"/>
  </cols>
  <sheetData>
    <row r="1" spans="1:7">
      <c r="A1" s="226" t="str">
        <f>'0. Basic Info'!D11</f>
        <v>ACME 5 Year</v>
      </c>
      <c r="B1" s="226"/>
      <c r="C1" s="130" t="s">
        <v>16</v>
      </c>
      <c r="F1" s="34">
        <f>SUM(F4:F63)</f>
        <v>760</v>
      </c>
    </row>
    <row r="2" spans="1:7" ht="13.5" thickBot="1">
      <c r="C2" s="130"/>
      <c r="D2" s="131" t="s">
        <v>11</v>
      </c>
      <c r="E2" s="225">
        <v>0</v>
      </c>
      <c r="F2" s="35">
        <f>E2*F1</f>
        <v>0</v>
      </c>
      <c r="G2" s="11" t="s">
        <v>36</v>
      </c>
    </row>
    <row r="3" spans="1:7" ht="13.5" thickBot="1">
      <c r="A3" s="128" t="s">
        <v>34</v>
      </c>
      <c r="B3" s="126" t="s">
        <v>38</v>
      </c>
      <c r="C3" s="128" t="s">
        <v>37</v>
      </c>
      <c r="D3" s="127" t="s">
        <v>7</v>
      </c>
      <c r="E3" s="124"/>
      <c r="F3" s="125">
        <f>F1+F2</f>
        <v>760</v>
      </c>
      <c r="G3" s="34">
        <f>SUM(G4:G63)</f>
        <v>460</v>
      </c>
    </row>
    <row r="4" spans="1:7">
      <c r="A4" s="346">
        <v>1</v>
      </c>
      <c r="B4" s="345" t="s">
        <v>199</v>
      </c>
      <c r="C4" s="346" t="s">
        <v>86</v>
      </c>
      <c r="D4" s="347" t="s">
        <v>198</v>
      </c>
      <c r="E4" s="348">
        <v>250</v>
      </c>
      <c r="F4" s="349">
        <f t="shared" ref="F4:F63" si="0">A4*E4</f>
        <v>250</v>
      </c>
      <c r="G4" s="16">
        <f t="shared" ref="G4:G63" si="1">IF(C4="y",F4,0)</f>
        <v>250</v>
      </c>
    </row>
    <row r="5" spans="1:7">
      <c r="A5" s="350">
        <v>1</v>
      </c>
      <c r="B5" s="351" t="s">
        <v>199</v>
      </c>
      <c r="C5" s="352" t="s">
        <v>86</v>
      </c>
      <c r="D5" s="117" t="s">
        <v>252</v>
      </c>
      <c r="E5" s="354">
        <v>150</v>
      </c>
      <c r="F5" s="349">
        <f t="shared" si="0"/>
        <v>150</v>
      </c>
      <c r="G5" s="16">
        <f t="shared" si="1"/>
        <v>150</v>
      </c>
    </row>
    <row r="6" spans="1:7">
      <c r="A6" s="350">
        <v>1</v>
      </c>
      <c r="B6" s="351" t="s">
        <v>199</v>
      </c>
      <c r="C6" s="352" t="s">
        <v>86</v>
      </c>
      <c r="D6" s="353" t="s">
        <v>87</v>
      </c>
      <c r="E6" s="354">
        <v>60</v>
      </c>
      <c r="F6" s="349">
        <f t="shared" si="0"/>
        <v>60</v>
      </c>
      <c r="G6" s="16">
        <f t="shared" si="1"/>
        <v>60</v>
      </c>
    </row>
    <row r="7" spans="1:7">
      <c r="A7" s="350">
        <v>1</v>
      </c>
      <c r="B7" s="351" t="s">
        <v>199</v>
      </c>
      <c r="C7" s="352"/>
      <c r="D7" s="353" t="s">
        <v>200</v>
      </c>
      <c r="E7" s="354">
        <v>300</v>
      </c>
      <c r="F7" s="349">
        <f t="shared" si="0"/>
        <v>300</v>
      </c>
      <c r="G7" s="16">
        <f t="shared" si="1"/>
        <v>0</v>
      </c>
    </row>
    <row r="8" spans="1:7">
      <c r="A8" s="350"/>
      <c r="B8" s="351"/>
      <c r="C8" s="352"/>
      <c r="D8" s="353"/>
      <c r="E8" s="354"/>
      <c r="F8" s="349">
        <f t="shared" si="0"/>
        <v>0</v>
      </c>
      <c r="G8" s="16">
        <f t="shared" si="1"/>
        <v>0</v>
      </c>
    </row>
    <row r="9" spans="1:7">
      <c r="A9" s="350"/>
      <c r="B9" s="351"/>
      <c r="C9" s="352"/>
      <c r="D9" s="353"/>
      <c r="E9" s="348"/>
      <c r="F9" s="349">
        <f t="shared" si="0"/>
        <v>0</v>
      </c>
      <c r="G9" s="16">
        <f t="shared" si="1"/>
        <v>0</v>
      </c>
    </row>
    <row r="10" spans="1:7">
      <c r="A10" s="350"/>
      <c r="B10" s="351"/>
      <c r="C10" s="352"/>
      <c r="D10" s="353"/>
      <c r="E10" s="354"/>
      <c r="F10" s="349">
        <f t="shared" si="0"/>
        <v>0</v>
      </c>
      <c r="G10" s="16">
        <f t="shared" si="1"/>
        <v>0</v>
      </c>
    </row>
    <row r="11" spans="1:7">
      <c r="A11" s="350"/>
      <c r="B11" s="351"/>
      <c r="C11" s="352"/>
      <c r="D11" s="353"/>
      <c r="E11" s="354"/>
      <c r="F11" s="349">
        <f t="shared" si="0"/>
        <v>0</v>
      </c>
      <c r="G11" s="16">
        <f t="shared" si="1"/>
        <v>0</v>
      </c>
    </row>
    <row r="12" spans="1:7">
      <c r="A12" s="350"/>
      <c r="B12" s="351"/>
      <c r="C12" s="352"/>
      <c r="D12" s="353"/>
      <c r="E12" s="354"/>
      <c r="F12" s="349">
        <f t="shared" si="0"/>
        <v>0</v>
      </c>
      <c r="G12" s="16">
        <f t="shared" si="1"/>
        <v>0</v>
      </c>
    </row>
    <row r="13" spans="1:7">
      <c r="A13" s="350"/>
      <c r="B13" s="351"/>
      <c r="C13" s="352"/>
      <c r="D13" s="353"/>
      <c r="E13" s="354"/>
      <c r="F13" s="349">
        <f t="shared" si="0"/>
        <v>0</v>
      </c>
      <c r="G13" s="16">
        <f t="shared" si="1"/>
        <v>0</v>
      </c>
    </row>
    <row r="14" spans="1:7">
      <c r="A14" s="350"/>
      <c r="B14" s="351"/>
      <c r="C14" s="352"/>
      <c r="D14" s="353"/>
      <c r="E14" s="348"/>
      <c r="F14" s="349">
        <f t="shared" si="0"/>
        <v>0</v>
      </c>
      <c r="G14" s="16">
        <f t="shared" si="1"/>
        <v>0</v>
      </c>
    </row>
    <row r="15" spans="1:7">
      <c r="A15" s="350"/>
      <c r="B15" s="351"/>
      <c r="C15" s="352"/>
      <c r="D15" s="353"/>
      <c r="E15" s="354"/>
      <c r="F15" s="349">
        <f t="shared" si="0"/>
        <v>0</v>
      </c>
      <c r="G15" s="16">
        <f t="shared" si="1"/>
        <v>0</v>
      </c>
    </row>
    <row r="16" spans="1:7">
      <c r="A16" s="350"/>
      <c r="B16" s="351"/>
      <c r="C16" s="352"/>
      <c r="D16" s="353"/>
      <c r="E16" s="354"/>
      <c r="F16" s="349">
        <f t="shared" si="0"/>
        <v>0</v>
      </c>
      <c r="G16" s="16">
        <f t="shared" si="1"/>
        <v>0</v>
      </c>
    </row>
    <row r="17" spans="1:7">
      <c r="A17" s="350"/>
      <c r="B17" s="351"/>
      <c r="C17" s="352"/>
      <c r="D17" s="353"/>
      <c r="E17" s="348"/>
      <c r="F17" s="349">
        <f t="shared" si="0"/>
        <v>0</v>
      </c>
      <c r="G17" s="16">
        <f t="shared" si="1"/>
        <v>0</v>
      </c>
    </row>
    <row r="18" spans="1:7">
      <c r="A18" s="350"/>
      <c r="B18" s="351"/>
      <c r="C18" s="352"/>
      <c r="D18" s="353"/>
      <c r="E18" s="354"/>
      <c r="F18" s="349">
        <f t="shared" si="0"/>
        <v>0</v>
      </c>
      <c r="G18" s="16">
        <f t="shared" si="1"/>
        <v>0</v>
      </c>
    </row>
    <row r="19" spans="1:7">
      <c r="A19" s="350"/>
      <c r="B19" s="351"/>
      <c r="C19" s="352"/>
      <c r="D19" s="353"/>
      <c r="E19" s="354"/>
      <c r="F19" s="349">
        <f t="shared" si="0"/>
        <v>0</v>
      </c>
      <c r="G19" s="16">
        <f t="shared" si="1"/>
        <v>0</v>
      </c>
    </row>
    <row r="20" spans="1:7">
      <c r="A20" s="350"/>
      <c r="B20" s="351"/>
      <c r="C20" s="352"/>
      <c r="D20" s="353"/>
      <c r="E20" s="354"/>
      <c r="F20" s="349">
        <f t="shared" si="0"/>
        <v>0</v>
      </c>
      <c r="G20" s="16">
        <f t="shared" si="1"/>
        <v>0</v>
      </c>
    </row>
    <row r="21" spans="1:7">
      <c r="A21" s="350"/>
      <c r="B21" s="351"/>
      <c r="C21" s="352"/>
      <c r="D21" s="353"/>
      <c r="E21" s="354"/>
      <c r="F21" s="349">
        <f t="shared" si="0"/>
        <v>0</v>
      </c>
      <c r="G21" s="16">
        <f t="shared" si="1"/>
        <v>0</v>
      </c>
    </row>
    <row r="22" spans="1:7">
      <c r="A22" s="350"/>
      <c r="B22" s="351"/>
      <c r="C22" s="352"/>
      <c r="D22" s="353"/>
      <c r="E22" s="354"/>
      <c r="F22" s="349">
        <f t="shared" si="0"/>
        <v>0</v>
      </c>
      <c r="G22" s="16">
        <f t="shared" si="1"/>
        <v>0</v>
      </c>
    </row>
    <row r="23" spans="1:7">
      <c r="A23" s="350"/>
      <c r="B23" s="351"/>
      <c r="C23" s="352"/>
      <c r="D23" s="353"/>
      <c r="E23" s="354"/>
      <c r="F23" s="349">
        <f t="shared" si="0"/>
        <v>0</v>
      </c>
      <c r="G23" s="16">
        <f t="shared" si="1"/>
        <v>0</v>
      </c>
    </row>
    <row r="24" spans="1:7" ht="12" customHeight="1">
      <c r="A24" s="350"/>
      <c r="B24" s="351"/>
      <c r="C24" s="352"/>
      <c r="D24" s="353"/>
      <c r="E24" s="354"/>
      <c r="F24" s="349">
        <f t="shared" si="0"/>
        <v>0</v>
      </c>
      <c r="G24" s="16">
        <f t="shared" si="1"/>
        <v>0</v>
      </c>
    </row>
    <row r="25" spans="1:7" ht="12" customHeight="1">
      <c r="A25" s="350"/>
      <c r="B25" s="351"/>
      <c r="C25" s="352"/>
      <c r="D25" s="353"/>
      <c r="E25" s="348"/>
      <c r="F25" s="349">
        <f t="shared" si="0"/>
        <v>0</v>
      </c>
      <c r="G25" s="16">
        <f t="shared" si="1"/>
        <v>0</v>
      </c>
    </row>
    <row r="26" spans="1:7" ht="12" customHeight="1">
      <c r="A26" s="350"/>
      <c r="B26" s="351"/>
      <c r="C26" s="352"/>
      <c r="D26" s="353"/>
      <c r="E26" s="354"/>
      <c r="F26" s="349">
        <f t="shared" si="0"/>
        <v>0</v>
      </c>
      <c r="G26" s="16">
        <f t="shared" si="1"/>
        <v>0</v>
      </c>
    </row>
    <row r="27" spans="1:7" ht="12" customHeight="1">
      <c r="A27" s="350"/>
      <c r="B27" s="351"/>
      <c r="C27" s="352"/>
      <c r="D27" s="353"/>
      <c r="E27" s="354"/>
      <c r="F27" s="349">
        <f t="shared" si="0"/>
        <v>0</v>
      </c>
      <c r="G27" s="16">
        <f t="shared" si="1"/>
        <v>0</v>
      </c>
    </row>
    <row r="28" spans="1:7" ht="12" customHeight="1">
      <c r="A28" s="350"/>
      <c r="B28" s="351"/>
      <c r="C28" s="352"/>
      <c r="D28" s="353"/>
      <c r="E28" s="354"/>
      <c r="F28" s="349">
        <f t="shared" si="0"/>
        <v>0</v>
      </c>
      <c r="G28" s="16">
        <f t="shared" si="1"/>
        <v>0</v>
      </c>
    </row>
    <row r="29" spans="1:7" ht="12" customHeight="1">
      <c r="A29" s="350"/>
      <c r="B29" s="351"/>
      <c r="C29" s="352"/>
      <c r="D29" s="353"/>
      <c r="E29" s="354"/>
      <c r="F29" s="349">
        <f t="shared" si="0"/>
        <v>0</v>
      </c>
      <c r="G29" s="16">
        <f t="shared" si="1"/>
        <v>0</v>
      </c>
    </row>
    <row r="30" spans="1:7" ht="12" customHeight="1">
      <c r="A30" s="350"/>
      <c r="B30" s="351"/>
      <c r="C30" s="352"/>
      <c r="D30" s="353"/>
      <c r="E30" s="354"/>
      <c r="F30" s="349">
        <f t="shared" si="0"/>
        <v>0</v>
      </c>
      <c r="G30" s="16">
        <f t="shared" si="1"/>
        <v>0</v>
      </c>
    </row>
    <row r="31" spans="1:7" ht="12" customHeight="1">
      <c r="A31" s="350"/>
      <c r="B31" s="351"/>
      <c r="C31" s="352"/>
      <c r="D31" s="353"/>
      <c r="E31" s="354"/>
      <c r="F31" s="349">
        <f t="shared" si="0"/>
        <v>0</v>
      </c>
      <c r="G31" s="16">
        <f t="shared" si="1"/>
        <v>0</v>
      </c>
    </row>
    <row r="32" spans="1:7" ht="12" customHeight="1">
      <c r="A32" s="350"/>
      <c r="B32" s="351"/>
      <c r="C32" s="352"/>
      <c r="D32" s="353"/>
      <c r="E32" s="354"/>
      <c r="F32" s="349">
        <f t="shared" si="0"/>
        <v>0</v>
      </c>
      <c r="G32" s="16">
        <f t="shared" si="1"/>
        <v>0</v>
      </c>
    </row>
    <row r="33" spans="1:7" ht="12" customHeight="1">
      <c r="A33" s="350"/>
      <c r="B33" s="351"/>
      <c r="C33" s="352"/>
      <c r="D33" s="353"/>
      <c r="E33" s="354"/>
      <c r="F33" s="349">
        <f t="shared" si="0"/>
        <v>0</v>
      </c>
      <c r="G33" s="16">
        <f t="shared" si="1"/>
        <v>0</v>
      </c>
    </row>
    <row r="34" spans="1:7" ht="12" customHeight="1">
      <c r="A34" s="350"/>
      <c r="B34" s="351"/>
      <c r="C34" s="352"/>
      <c r="D34" s="353"/>
      <c r="E34" s="354"/>
      <c r="F34" s="349">
        <f t="shared" si="0"/>
        <v>0</v>
      </c>
      <c r="G34" s="16">
        <f t="shared" si="1"/>
        <v>0</v>
      </c>
    </row>
    <row r="35" spans="1:7" ht="12" customHeight="1">
      <c r="A35" s="350"/>
      <c r="B35" s="351"/>
      <c r="C35" s="352"/>
      <c r="D35" s="353"/>
      <c r="E35" s="354"/>
      <c r="F35" s="349">
        <f t="shared" si="0"/>
        <v>0</v>
      </c>
      <c r="G35" s="16">
        <f t="shared" si="1"/>
        <v>0</v>
      </c>
    </row>
    <row r="36" spans="1:7" ht="12" customHeight="1">
      <c r="A36" s="350"/>
      <c r="B36" s="351"/>
      <c r="C36" s="352"/>
      <c r="D36" s="353"/>
      <c r="E36" s="354"/>
      <c r="F36" s="349">
        <f t="shared" si="0"/>
        <v>0</v>
      </c>
      <c r="G36" s="16">
        <f t="shared" si="1"/>
        <v>0</v>
      </c>
    </row>
    <row r="37" spans="1:7" ht="12" customHeight="1">
      <c r="A37" s="350"/>
      <c r="B37" s="351"/>
      <c r="C37" s="352"/>
      <c r="D37" s="353"/>
      <c r="E37" s="354"/>
      <c r="F37" s="349">
        <f t="shared" si="0"/>
        <v>0</v>
      </c>
      <c r="G37" s="16">
        <f t="shared" si="1"/>
        <v>0</v>
      </c>
    </row>
    <row r="38" spans="1:7" ht="12" customHeight="1">
      <c r="A38" s="350"/>
      <c r="B38" s="351"/>
      <c r="C38" s="352"/>
      <c r="D38" s="353"/>
      <c r="E38" s="354"/>
      <c r="F38" s="349">
        <f t="shared" si="0"/>
        <v>0</v>
      </c>
      <c r="G38" s="16">
        <f t="shared" si="1"/>
        <v>0</v>
      </c>
    </row>
    <row r="39" spans="1:7" ht="12" customHeight="1">
      <c r="A39" s="350"/>
      <c r="B39" s="351"/>
      <c r="C39" s="352"/>
      <c r="D39" s="353"/>
      <c r="E39" s="354"/>
      <c r="F39" s="349">
        <f t="shared" si="0"/>
        <v>0</v>
      </c>
      <c r="G39" s="16">
        <f t="shared" si="1"/>
        <v>0</v>
      </c>
    </row>
    <row r="40" spans="1:7" ht="12" customHeight="1">
      <c r="A40" s="350"/>
      <c r="B40" s="351"/>
      <c r="C40" s="352"/>
      <c r="D40" s="353"/>
      <c r="E40" s="354"/>
      <c r="F40" s="349">
        <f t="shared" si="0"/>
        <v>0</v>
      </c>
      <c r="G40" s="16">
        <f t="shared" si="1"/>
        <v>0</v>
      </c>
    </row>
    <row r="41" spans="1:7" ht="12" customHeight="1">
      <c r="A41" s="350"/>
      <c r="B41" s="351"/>
      <c r="C41" s="352"/>
      <c r="D41" s="353"/>
      <c r="E41" s="354"/>
      <c r="F41" s="349">
        <f t="shared" si="0"/>
        <v>0</v>
      </c>
      <c r="G41" s="16">
        <f t="shared" si="1"/>
        <v>0</v>
      </c>
    </row>
    <row r="42" spans="1:7" ht="12" customHeight="1">
      <c r="A42" s="350"/>
      <c r="B42" s="351"/>
      <c r="C42" s="352"/>
      <c r="D42" s="353"/>
      <c r="E42" s="354"/>
      <c r="F42" s="349">
        <f t="shared" si="0"/>
        <v>0</v>
      </c>
      <c r="G42" s="16">
        <f t="shared" si="1"/>
        <v>0</v>
      </c>
    </row>
    <row r="43" spans="1:7" ht="12" customHeight="1">
      <c r="A43" s="350"/>
      <c r="B43" s="351"/>
      <c r="C43" s="352"/>
      <c r="D43" s="353"/>
      <c r="E43" s="354"/>
      <c r="F43" s="349">
        <f t="shared" si="0"/>
        <v>0</v>
      </c>
      <c r="G43" s="16">
        <f t="shared" si="1"/>
        <v>0</v>
      </c>
    </row>
    <row r="44" spans="1:7" ht="12" customHeight="1">
      <c r="A44" s="350"/>
      <c r="B44" s="351"/>
      <c r="C44" s="352"/>
      <c r="D44" s="353"/>
      <c r="E44" s="354"/>
      <c r="F44" s="349">
        <f t="shared" si="0"/>
        <v>0</v>
      </c>
      <c r="G44" s="16">
        <f t="shared" si="1"/>
        <v>0</v>
      </c>
    </row>
    <row r="45" spans="1:7" ht="12" customHeight="1">
      <c r="A45" s="350"/>
      <c r="B45" s="351"/>
      <c r="C45" s="352"/>
      <c r="D45" s="353"/>
      <c r="E45" s="354"/>
      <c r="F45" s="349">
        <f t="shared" si="0"/>
        <v>0</v>
      </c>
      <c r="G45" s="16">
        <f t="shared" si="1"/>
        <v>0</v>
      </c>
    </row>
    <row r="46" spans="1:7" ht="12" customHeight="1">
      <c r="A46" s="350"/>
      <c r="B46" s="351"/>
      <c r="C46" s="352"/>
      <c r="D46" s="353"/>
      <c r="E46" s="354"/>
      <c r="F46" s="349">
        <f t="shared" si="0"/>
        <v>0</v>
      </c>
      <c r="G46" s="16">
        <f t="shared" si="1"/>
        <v>0</v>
      </c>
    </row>
    <row r="47" spans="1:7" ht="12" customHeight="1">
      <c r="A47" s="350"/>
      <c r="B47" s="351"/>
      <c r="C47" s="352"/>
      <c r="D47" s="353"/>
      <c r="E47" s="354"/>
      <c r="F47" s="349">
        <f t="shared" si="0"/>
        <v>0</v>
      </c>
      <c r="G47" s="16">
        <f t="shared" si="1"/>
        <v>0</v>
      </c>
    </row>
    <row r="48" spans="1:7" ht="12" customHeight="1">
      <c r="A48" s="350"/>
      <c r="B48" s="351"/>
      <c r="C48" s="352"/>
      <c r="D48" s="353"/>
      <c r="E48" s="354"/>
      <c r="F48" s="349">
        <f t="shared" si="0"/>
        <v>0</v>
      </c>
      <c r="G48" s="16">
        <f t="shared" si="1"/>
        <v>0</v>
      </c>
    </row>
    <row r="49" spans="1:7" ht="12" customHeight="1">
      <c r="A49" s="350"/>
      <c r="B49" s="351"/>
      <c r="C49" s="352"/>
      <c r="D49" s="353"/>
      <c r="E49" s="354"/>
      <c r="F49" s="349">
        <f t="shared" si="0"/>
        <v>0</v>
      </c>
      <c r="G49" s="16">
        <f t="shared" si="1"/>
        <v>0</v>
      </c>
    </row>
    <row r="50" spans="1:7" ht="12" customHeight="1">
      <c r="A50" s="350"/>
      <c r="B50" s="351"/>
      <c r="C50" s="352"/>
      <c r="D50" s="353"/>
      <c r="E50" s="354"/>
      <c r="F50" s="349">
        <f t="shared" si="0"/>
        <v>0</v>
      </c>
      <c r="G50" s="16">
        <f t="shared" si="1"/>
        <v>0</v>
      </c>
    </row>
    <row r="51" spans="1:7" ht="12" customHeight="1">
      <c r="A51" s="350"/>
      <c r="B51" s="351"/>
      <c r="C51" s="352"/>
      <c r="D51" s="353"/>
      <c r="E51" s="354"/>
      <c r="F51" s="349">
        <f t="shared" si="0"/>
        <v>0</v>
      </c>
      <c r="G51" s="16">
        <f t="shared" si="1"/>
        <v>0</v>
      </c>
    </row>
    <row r="52" spans="1:7" ht="12" customHeight="1">
      <c r="A52" s="350"/>
      <c r="B52" s="351"/>
      <c r="C52" s="352"/>
      <c r="D52" s="353"/>
      <c r="E52" s="354"/>
      <c r="F52" s="349">
        <f t="shared" si="0"/>
        <v>0</v>
      </c>
      <c r="G52" s="16">
        <f t="shared" si="1"/>
        <v>0</v>
      </c>
    </row>
    <row r="53" spans="1:7" ht="12" customHeight="1">
      <c r="A53" s="350"/>
      <c r="B53" s="351"/>
      <c r="C53" s="352"/>
      <c r="D53" s="353"/>
      <c r="E53" s="354"/>
      <c r="F53" s="349">
        <f t="shared" si="0"/>
        <v>0</v>
      </c>
      <c r="G53" s="16">
        <f t="shared" si="1"/>
        <v>0</v>
      </c>
    </row>
    <row r="54" spans="1:7" ht="12" customHeight="1">
      <c r="A54" s="350"/>
      <c r="B54" s="351"/>
      <c r="C54" s="352"/>
      <c r="D54" s="353"/>
      <c r="E54" s="354"/>
      <c r="F54" s="349">
        <f t="shared" si="0"/>
        <v>0</v>
      </c>
      <c r="G54" s="16">
        <f t="shared" si="1"/>
        <v>0</v>
      </c>
    </row>
    <row r="55" spans="1:7" ht="12" customHeight="1">
      <c r="A55" s="350"/>
      <c r="B55" s="351"/>
      <c r="C55" s="352"/>
      <c r="D55" s="353"/>
      <c r="E55" s="354"/>
      <c r="F55" s="349">
        <f t="shared" si="0"/>
        <v>0</v>
      </c>
      <c r="G55" s="16">
        <f t="shared" si="1"/>
        <v>0</v>
      </c>
    </row>
    <row r="56" spans="1:7" ht="12" customHeight="1">
      <c r="A56" s="350"/>
      <c r="B56" s="351"/>
      <c r="C56" s="352"/>
      <c r="D56" s="353"/>
      <c r="E56" s="354"/>
      <c r="F56" s="349">
        <f t="shared" si="0"/>
        <v>0</v>
      </c>
      <c r="G56" s="16">
        <f t="shared" si="1"/>
        <v>0</v>
      </c>
    </row>
    <row r="57" spans="1:7" ht="12" customHeight="1">
      <c r="A57" s="350"/>
      <c r="B57" s="351"/>
      <c r="C57" s="352"/>
      <c r="D57" s="353"/>
      <c r="E57" s="354"/>
      <c r="F57" s="349">
        <f t="shared" si="0"/>
        <v>0</v>
      </c>
      <c r="G57" s="16">
        <f t="shared" si="1"/>
        <v>0</v>
      </c>
    </row>
    <row r="58" spans="1:7" ht="12" customHeight="1">
      <c r="A58" s="350"/>
      <c r="B58" s="351"/>
      <c r="C58" s="352"/>
      <c r="D58" s="353"/>
      <c r="E58" s="354"/>
      <c r="F58" s="349">
        <f t="shared" si="0"/>
        <v>0</v>
      </c>
      <c r="G58" s="16">
        <f t="shared" si="1"/>
        <v>0</v>
      </c>
    </row>
    <row r="59" spans="1:7" ht="12" customHeight="1">
      <c r="A59" s="350"/>
      <c r="B59" s="351"/>
      <c r="C59" s="352"/>
      <c r="D59" s="353"/>
      <c r="E59" s="354"/>
      <c r="F59" s="349">
        <f t="shared" si="0"/>
        <v>0</v>
      </c>
      <c r="G59" s="16">
        <f t="shared" si="1"/>
        <v>0</v>
      </c>
    </row>
    <row r="60" spans="1:7" ht="12" customHeight="1">
      <c r="A60" s="350"/>
      <c r="B60" s="351"/>
      <c r="C60" s="352"/>
      <c r="D60" s="353"/>
      <c r="E60" s="354"/>
      <c r="F60" s="349">
        <f t="shared" si="0"/>
        <v>0</v>
      </c>
      <c r="G60" s="16">
        <f t="shared" si="1"/>
        <v>0</v>
      </c>
    </row>
    <row r="61" spans="1:7" ht="12" customHeight="1">
      <c r="A61" s="350"/>
      <c r="B61" s="351"/>
      <c r="C61" s="352"/>
      <c r="D61" s="353"/>
      <c r="E61" s="354"/>
      <c r="F61" s="349">
        <f t="shared" si="0"/>
        <v>0</v>
      </c>
      <c r="G61" s="16">
        <f t="shared" si="1"/>
        <v>0</v>
      </c>
    </row>
    <row r="62" spans="1:7" ht="12" customHeight="1">
      <c r="A62" s="350"/>
      <c r="B62" s="351"/>
      <c r="C62" s="352"/>
      <c r="D62" s="353"/>
      <c r="E62" s="354"/>
      <c r="F62" s="349">
        <f t="shared" si="0"/>
        <v>0</v>
      </c>
      <c r="G62" s="16">
        <f t="shared" si="1"/>
        <v>0</v>
      </c>
    </row>
    <row r="63" spans="1:7" ht="12" customHeight="1">
      <c r="A63" s="350"/>
      <c r="B63" s="351"/>
      <c r="C63" s="352"/>
      <c r="D63" s="353"/>
      <c r="E63" s="354"/>
      <c r="F63" s="349">
        <f t="shared" si="0"/>
        <v>0</v>
      </c>
      <c r="G63" s="16">
        <f t="shared" si="1"/>
        <v>0</v>
      </c>
    </row>
    <row r="64" spans="1:7" ht="12.75" customHeight="1"/>
  </sheetData>
  <autoFilter ref="A3:G63">
    <sortState ref="A4:G63">
      <sortCondition ref="B3:B63"/>
    </sortState>
  </autoFilter>
  <phoneticPr fontId="10" type="noConversion"/>
  <pageMargins left="0.32" right="0.24" top="0.57999999999999996" bottom="0.48" header="0.22" footer="0.17"/>
  <pageSetup scale="95" fitToHeight="0" orientation="portrait" r:id="rId1"/>
  <headerFooter alignWithMargins="0">
    <oddHeader>&amp;LTab 4: Start-Up Costs&amp;CRapid Business Plan</oddHeader>
    <oddFooter>&amp;LDate Printed: &amp;D&amp;CHeartland Information Research, Inc&amp;R4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printstartup">
                <anchor moveWithCells="1" sizeWithCells="1">
                  <from>
                    <xdr:col>3</xdr:col>
                    <xdr:colOff>723900</xdr:colOff>
                    <xdr:row>0</xdr:row>
                    <xdr:rowOff>95250</xdr:rowOff>
                  </from>
                  <to>
                    <xdr:col>3</xdr:col>
                    <xdr:colOff>1590675</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85"/>
  <sheetViews>
    <sheetView showGridLines="0" zoomScaleNormal="100" workbookViewId="0"/>
  </sheetViews>
  <sheetFormatPr defaultColWidth="0" defaultRowHeight="12.75" customHeight="1" zeroHeight="1"/>
  <cols>
    <col min="1" max="1" width="6.85546875" style="14" customWidth="1"/>
    <col min="2" max="2" width="15.7109375" style="14" customWidth="1"/>
    <col min="3" max="3" width="6.140625" style="11" customWidth="1"/>
    <col min="4" max="4" width="38.5703125" style="22" customWidth="1"/>
    <col min="5" max="5" width="12.28515625" style="14" customWidth="1"/>
    <col min="6" max="6" width="14.85546875" style="14" customWidth="1"/>
    <col min="7" max="7" width="10.28515625" style="14" customWidth="1"/>
    <col min="8" max="16384" width="18.7109375" style="14" hidden="1"/>
  </cols>
  <sheetData>
    <row r="1" spans="1:7">
      <c r="A1" s="226" t="str">
        <f>'0. Basic Info'!D11</f>
        <v>ACME 5 Year</v>
      </c>
      <c r="D1" s="14" t="s">
        <v>13</v>
      </c>
    </row>
    <row r="2" spans="1:7">
      <c r="F2" s="34">
        <f>SUM(F5:F85)</f>
        <v>1744</v>
      </c>
      <c r="G2" s="737" t="s">
        <v>112</v>
      </c>
    </row>
    <row r="3" spans="1:7" ht="13.5" thickBot="1">
      <c r="A3" s="481"/>
      <c r="B3" s="481"/>
      <c r="C3" s="482"/>
      <c r="D3" s="483" t="s">
        <v>11</v>
      </c>
      <c r="E3" s="484">
        <v>0</v>
      </c>
      <c r="F3" s="485">
        <f>E3*F2</f>
        <v>0</v>
      </c>
      <c r="G3" s="738"/>
    </row>
    <row r="4" spans="1:7" ht="13.5" thickBot="1">
      <c r="A4" s="482" t="s">
        <v>34</v>
      </c>
      <c r="B4" s="482" t="s">
        <v>35</v>
      </c>
      <c r="C4" s="482" t="s">
        <v>37</v>
      </c>
      <c r="D4" s="486" t="s">
        <v>7</v>
      </c>
      <c r="E4" s="524" t="s">
        <v>274</v>
      </c>
      <c r="F4" s="525">
        <f>F2+F3</f>
        <v>1744</v>
      </c>
      <c r="G4" s="526">
        <f>SUM(G5:G85)</f>
        <v>1150</v>
      </c>
    </row>
    <row r="5" spans="1:7">
      <c r="A5" s="350">
        <v>1</v>
      </c>
      <c r="B5" s="351" t="s">
        <v>199</v>
      </c>
      <c r="C5" s="352" t="s">
        <v>86</v>
      </c>
      <c r="D5" s="353" t="s">
        <v>258</v>
      </c>
      <c r="E5" s="348">
        <v>1000</v>
      </c>
      <c r="F5" s="487">
        <f>A5*E5</f>
        <v>1000</v>
      </c>
      <c r="G5" s="487">
        <f>IF(C5="y",F5,0)</f>
        <v>1000</v>
      </c>
    </row>
    <row r="6" spans="1:7">
      <c r="A6" s="350">
        <v>1</v>
      </c>
      <c r="B6" s="351" t="s">
        <v>199</v>
      </c>
      <c r="C6" s="352" t="s">
        <v>86</v>
      </c>
      <c r="D6" s="353" t="s">
        <v>253</v>
      </c>
      <c r="E6" s="354">
        <v>150</v>
      </c>
      <c r="F6" s="487">
        <f t="shared" ref="F6:F67" si="0">A6*E6</f>
        <v>150</v>
      </c>
      <c r="G6" s="487">
        <f t="shared" ref="G6:G67" si="1">IF(C6="y",F6,0)</f>
        <v>150</v>
      </c>
    </row>
    <row r="7" spans="1:7">
      <c r="A7" s="350">
        <v>1</v>
      </c>
      <c r="B7" s="351" t="s">
        <v>199</v>
      </c>
      <c r="C7" s="527"/>
      <c r="D7" s="353" t="s">
        <v>257</v>
      </c>
      <c r="E7" s="354">
        <f>49.5*12</f>
        <v>594</v>
      </c>
      <c r="F7" s="487">
        <f t="shared" si="0"/>
        <v>594</v>
      </c>
      <c r="G7" s="487">
        <f t="shared" si="1"/>
        <v>0</v>
      </c>
    </row>
    <row r="8" spans="1:7">
      <c r="A8" s="350"/>
      <c r="B8" s="351"/>
      <c r="C8" s="352"/>
      <c r="D8" s="353"/>
      <c r="E8" s="354"/>
      <c r="F8" s="487">
        <f t="shared" si="0"/>
        <v>0</v>
      </c>
      <c r="G8" s="487">
        <f t="shared" si="1"/>
        <v>0</v>
      </c>
    </row>
    <row r="9" spans="1:7">
      <c r="A9" s="350"/>
      <c r="B9" s="351"/>
      <c r="C9" s="352"/>
      <c r="D9" s="353"/>
      <c r="E9" s="354"/>
      <c r="F9" s="487">
        <f t="shared" si="0"/>
        <v>0</v>
      </c>
      <c r="G9" s="487">
        <f t="shared" si="1"/>
        <v>0</v>
      </c>
    </row>
    <row r="10" spans="1:7">
      <c r="A10" s="350"/>
      <c r="B10" s="351"/>
      <c r="C10" s="352"/>
      <c r="D10" s="353"/>
      <c r="E10" s="354"/>
      <c r="F10" s="487">
        <f t="shared" si="0"/>
        <v>0</v>
      </c>
      <c r="G10" s="487">
        <f t="shared" si="1"/>
        <v>0</v>
      </c>
    </row>
    <row r="11" spans="1:7">
      <c r="A11" s="350"/>
      <c r="B11" s="351"/>
      <c r="C11" s="352"/>
      <c r="D11" s="353"/>
      <c r="E11" s="348"/>
      <c r="F11" s="487">
        <f t="shared" si="0"/>
        <v>0</v>
      </c>
      <c r="G11" s="487">
        <f t="shared" si="1"/>
        <v>0</v>
      </c>
    </row>
    <row r="12" spans="1:7">
      <c r="A12" s="350"/>
      <c r="B12" s="351"/>
      <c r="C12" s="352"/>
      <c r="D12" s="353"/>
      <c r="E12" s="348"/>
      <c r="F12" s="487">
        <f t="shared" si="0"/>
        <v>0</v>
      </c>
      <c r="G12" s="487">
        <f t="shared" si="1"/>
        <v>0</v>
      </c>
    </row>
    <row r="13" spans="1:7">
      <c r="A13" s="350"/>
      <c r="B13" s="351"/>
      <c r="C13" s="352"/>
      <c r="D13" s="528"/>
      <c r="E13" s="354"/>
      <c r="F13" s="487">
        <f t="shared" si="0"/>
        <v>0</v>
      </c>
      <c r="G13" s="487">
        <f t="shared" si="1"/>
        <v>0</v>
      </c>
    </row>
    <row r="14" spans="1:7">
      <c r="A14" s="350"/>
      <c r="B14" s="351"/>
      <c r="C14" s="352"/>
      <c r="D14" s="353"/>
      <c r="E14" s="354"/>
      <c r="F14" s="487">
        <f t="shared" si="0"/>
        <v>0</v>
      </c>
      <c r="G14" s="487">
        <f t="shared" si="1"/>
        <v>0</v>
      </c>
    </row>
    <row r="15" spans="1:7">
      <c r="A15" s="350"/>
      <c r="B15" s="351"/>
      <c r="C15" s="352"/>
      <c r="D15" s="353"/>
      <c r="E15" s="354"/>
      <c r="F15" s="487">
        <f t="shared" si="0"/>
        <v>0</v>
      </c>
      <c r="G15" s="487">
        <f t="shared" si="1"/>
        <v>0</v>
      </c>
    </row>
    <row r="16" spans="1:7">
      <c r="A16" s="350"/>
      <c r="B16" s="351"/>
      <c r="C16" s="352"/>
      <c r="D16" s="353"/>
      <c r="E16" s="354"/>
      <c r="F16" s="487">
        <f t="shared" si="0"/>
        <v>0</v>
      </c>
      <c r="G16" s="487">
        <f t="shared" si="1"/>
        <v>0</v>
      </c>
    </row>
    <row r="17" spans="1:7">
      <c r="A17" s="350"/>
      <c r="B17" s="351"/>
      <c r="C17" s="352"/>
      <c r="D17" s="353"/>
      <c r="E17" s="354"/>
      <c r="F17" s="487">
        <f t="shared" si="0"/>
        <v>0</v>
      </c>
      <c r="G17" s="487">
        <f t="shared" si="1"/>
        <v>0</v>
      </c>
    </row>
    <row r="18" spans="1:7">
      <c r="A18" s="350"/>
      <c r="B18" s="351"/>
      <c r="C18" s="352"/>
      <c r="D18" s="353"/>
      <c r="E18" s="354"/>
      <c r="F18" s="487">
        <f t="shared" si="0"/>
        <v>0</v>
      </c>
      <c r="G18" s="487">
        <f t="shared" si="1"/>
        <v>0</v>
      </c>
    </row>
    <row r="19" spans="1:7">
      <c r="A19" s="350"/>
      <c r="B19" s="351"/>
      <c r="C19" s="352"/>
      <c r="D19" s="353"/>
      <c r="E19" s="354"/>
      <c r="F19" s="487">
        <f t="shared" si="0"/>
        <v>0</v>
      </c>
      <c r="G19" s="487">
        <f t="shared" si="1"/>
        <v>0</v>
      </c>
    </row>
    <row r="20" spans="1:7">
      <c r="A20" s="350"/>
      <c r="B20" s="351"/>
      <c r="C20" s="352"/>
      <c r="D20" s="353"/>
      <c r="E20" s="354"/>
      <c r="F20" s="487">
        <f t="shared" si="0"/>
        <v>0</v>
      </c>
      <c r="G20" s="487">
        <f t="shared" si="1"/>
        <v>0</v>
      </c>
    </row>
    <row r="21" spans="1:7">
      <c r="A21" s="350"/>
      <c r="B21" s="355"/>
      <c r="C21" s="350"/>
      <c r="D21" s="356"/>
      <c r="E21" s="348"/>
      <c r="F21" s="487">
        <f t="shared" si="0"/>
        <v>0</v>
      </c>
      <c r="G21" s="487">
        <f t="shared" si="1"/>
        <v>0</v>
      </c>
    </row>
    <row r="22" spans="1:7" ht="12" customHeight="1">
      <c r="A22" s="350"/>
      <c r="B22" s="351"/>
      <c r="C22" s="352"/>
      <c r="D22" s="353"/>
      <c r="E22" s="354"/>
      <c r="F22" s="487">
        <f t="shared" si="0"/>
        <v>0</v>
      </c>
      <c r="G22" s="487">
        <f t="shared" si="1"/>
        <v>0</v>
      </c>
    </row>
    <row r="23" spans="1:7" ht="12" customHeight="1">
      <c r="A23" s="350"/>
      <c r="B23" s="351"/>
      <c r="C23" s="352"/>
      <c r="D23" s="353"/>
      <c r="E23" s="354"/>
      <c r="F23" s="487">
        <f t="shared" si="0"/>
        <v>0</v>
      </c>
      <c r="G23" s="487">
        <f t="shared" si="1"/>
        <v>0</v>
      </c>
    </row>
    <row r="24" spans="1:7" ht="12" customHeight="1">
      <c r="A24" s="350"/>
      <c r="B24" s="351"/>
      <c r="C24" s="352"/>
      <c r="D24" s="353"/>
      <c r="E24" s="354"/>
      <c r="F24" s="487">
        <f t="shared" si="0"/>
        <v>0</v>
      </c>
      <c r="G24" s="487">
        <f t="shared" si="1"/>
        <v>0</v>
      </c>
    </row>
    <row r="25" spans="1:7" ht="12" customHeight="1">
      <c r="A25" s="350"/>
      <c r="B25" s="351"/>
      <c r="C25" s="352"/>
      <c r="D25" s="353"/>
      <c r="E25" s="354"/>
      <c r="F25" s="487">
        <f t="shared" si="0"/>
        <v>0</v>
      </c>
      <c r="G25" s="487">
        <f t="shared" si="1"/>
        <v>0</v>
      </c>
    </row>
    <row r="26" spans="1:7" ht="12" customHeight="1">
      <c r="A26" s="350"/>
      <c r="B26" s="351"/>
      <c r="C26" s="352"/>
      <c r="D26" s="353"/>
      <c r="E26" s="354"/>
      <c r="F26" s="487">
        <f t="shared" si="0"/>
        <v>0</v>
      </c>
      <c r="G26" s="487">
        <f t="shared" si="1"/>
        <v>0</v>
      </c>
    </row>
    <row r="27" spans="1:7" ht="12" customHeight="1">
      <c r="A27" s="350"/>
      <c r="B27" s="351"/>
      <c r="C27" s="352"/>
      <c r="D27" s="117"/>
      <c r="E27" s="354"/>
      <c r="F27" s="487">
        <f t="shared" si="0"/>
        <v>0</v>
      </c>
      <c r="G27" s="487">
        <f t="shared" si="1"/>
        <v>0</v>
      </c>
    </row>
    <row r="28" spans="1:7" ht="12" customHeight="1">
      <c r="A28" s="350"/>
      <c r="B28" s="351"/>
      <c r="C28" s="352"/>
      <c r="D28" s="353"/>
      <c r="E28" s="354"/>
      <c r="F28" s="487">
        <f t="shared" si="0"/>
        <v>0</v>
      </c>
      <c r="G28" s="487">
        <f t="shared" si="1"/>
        <v>0</v>
      </c>
    </row>
    <row r="29" spans="1:7" ht="12" customHeight="1">
      <c r="A29" s="350"/>
      <c r="B29" s="351"/>
      <c r="C29" s="352"/>
      <c r="D29" s="353"/>
      <c r="E29" s="354"/>
      <c r="F29" s="487">
        <f t="shared" si="0"/>
        <v>0</v>
      </c>
      <c r="G29" s="487">
        <f t="shared" si="1"/>
        <v>0</v>
      </c>
    </row>
    <row r="30" spans="1:7" ht="12" customHeight="1">
      <c r="A30" s="350"/>
      <c r="B30" s="351"/>
      <c r="C30" s="352"/>
      <c r="D30" s="353"/>
      <c r="E30" s="354"/>
      <c r="F30" s="487">
        <f t="shared" si="0"/>
        <v>0</v>
      </c>
      <c r="G30" s="487">
        <f t="shared" si="1"/>
        <v>0</v>
      </c>
    </row>
    <row r="31" spans="1:7" ht="12" customHeight="1">
      <c r="A31" s="350"/>
      <c r="B31" s="351"/>
      <c r="C31" s="352"/>
      <c r="D31" s="353"/>
      <c r="E31" s="354"/>
      <c r="F31" s="487">
        <f t="shared" si="0"/>
        <v>0</v>
      </c>
      <c r="G31" s="487">
        <f t="shared" si="1"/>
        <v>0</v>
      </c>
    </row>
    <row r="32" spans="1:7" ht="12" customHeight="1">
      <c r="A32" s="350"/>
      <c r="B32" s="351"/>
      <c r="C32" s="352"/>
      <c r="D32" s="353"/>
      <c r="E32" s="354"/>
      <c r="F32" s="487">
        <f t="shared" si="0"/>
        <v>0</v>
      </c>
      <c r="G32" s="487">
        <f t="shared" si="1"/>
        <v>0</v>
      </c>
    </row>
    <row r="33" spans="1:7" ht="12" customHeight="1">
      <c r="A33" s="350"/>
      <c r="B33" s="351"/>
      <c r="C33" s="352"/>
      <c r="D33" s="353"/>
      <c r="E33" s="354"/>
      <c r="F33" s="487">
        <f t="shared" si="0"/>
        <v>0</v>
      </c>
      <c r="G33" s="487">
        <f t="shared" si="1"/>
        <v>0</v>
      </c>
    </row>
    <row r="34" spans="1:7" ht="12" customHeight="1">
      <c r="A34" s="350"/>
      <c r="B34" s="351"/>
      <c r="C34" s="352"/>
      <c r="D34" s="353"/>
      <c r="E34" s="354"/>
      <c r="F34" s="487">
        <f t="shared" si="0"/>
        <v>0</v>
      </c>
      <c r="G34" s="487">
        <f t="shared" si="1"/>
        <v>0</v>
      </c>
    </row>
    <row r="35" spans="1:7" ht="12" customHeight="1">
      <c r="A35" s="350"/>
      <c r="B35" s="351"/>
      <c r="C35" s="352"/>
      <c r="D35" s="353"/>
      <c r="E35" s="354"/>
      <c r="F35" s="487">
        <f t="shared" si="0"/>
        <v>0</v>
      </c>
      <c r="G35" s="487">
        <f t="shared" si="1"/>
        <v>0</v>
      </c>
    </row>
    <row r="36" spans="1:7" ht="12" customHeight="1">
      <c r="A36" s="350"/>
      <c r="B36" s="351"/>
      <c r="C36" s="352"/>
      <c r="D36" s="353"/>
      <c r="E36" s="354"/>
      <c r="F36" s="487">
        <f t="shared" si="0"/>
        <v>0</v>
      </c>
      <c r="G36" s="487">
        <f t="shared" si="1"/>
        <v>0</v>
      </c>
    </row>
    <row r="37" spans="1:7" ht="12" customHeight="1">
      <c r="A37" s="350"/>
      <c r="B37" s="358"/>
      <c r="C37" s="359"/>
      <c r="D37" s="353"/>
      <c r="E37" s="354"/>
      <c r="F37" s="487">
        <f t="shared" si="0"/>
        <v>0</v>
      </c>
      <c r="G37" s="487">
        <f t="shared" si="1"/>
        <v>0</v>
      </c>
    </row>
    <row r="38" spans="1:7" ht="12" customHeight="1">
      <c r="A38" s="350"/>
      <c r="B38" s="351"/>
      <c r="C38" s="352"/>
      <c r="D38" s="353"/>
      <c r="E38" s="354"/>
      <c r="F38" s="487">
        <f t="shared" si="0"/>
        <v>0</v>
      </c>
      <c r="G38" s="487">
        <f t="shared" si="1"/>
        <v>0</v>
      </c>
    </row>
    <row r="39" spans="1:7" ht="12" customHeight="1">
      <c r="A39" s="350"/>
      <c r="B39" s="351"/>
      <c r="C39" s="352"/>
      <c r="D39" s="353"/>
      <c r="E39" s="354"/>
      <c r="F39" s="487">
        <f t="shared" si="0"/>
        <v>0</v>
      </c>
      <c r="G39" s="487">
        <f t="shared" si="1"/>
        <v>0</v>
      </c>
    </row>
    <row r="40" spans="1:7" ht="12" customHeight="1">
      <c r="A40" s="350"/>
      <c r="B40" s="351"/>
      <c r="C40" s="352"/>
      <c r="D40" s="353"/>
      <c r="E40" s="354"/>
      <c r="F40" s="487">
        <f t="shared" si="0"/>
        <v>0</v>
      </c>
      <c r="G40" s="487">
        <f t="shared" si="1"/>
        <v>0</v>
      </c>
    </row>
    <row r="41" spans="1:7" ht="12" customHeight="1">
      <c r="A41" s="350"/>
      <c r="B41" s="351"/>
      <c r="C41" s="352"/>
      <c r="D41" s="353"/>
      <c r="E41" s="354"/>
      <c r="F41" s="487">
        <f t="shared" si="0"/>
        <v>0</v>
      </c>
      <c r="G41" s="487">
        <f t="shared" si="1"/>
        <v>0</v>
      </c>
    </row>
    <row r="42" spans="1:7" ht="12" customHeight="1">
      <c r="A42" s="350"/>
      <c r="B42" s="351"/>
      <c r="C42" s="352"/>
      <c r="D42" s="353"/>
      <c r="E42" s="354"/>
      <c r="F42" s="487">
        <f t="shared" si="0"/>
        <v>0</v>
      </c>
      <c r="G42" s="487">
        <f t="shared" si="1"/>
        <v>0</v>
      </c>
    </row>
    <row r="43" spans="1:7" ht="12" customHeight="1">
      <c r="A43" s="350"/>
      <c r="B43" s="351"/>
      <c r="C43" s="352"/>
      <c r="D43" s="353"/>
      <c r="E43" s="354"/>
      <c r="F43" s="487">
        <f t="shared" si="0"/>
        <v>0</v>
      </c>
      <c r="G43" s="487">
        <f t="shared" si="1"/>
        <v>0</v>
      </c>
    </row>
    <row r="44" spans="1:7" ht="12" customHeight="1">
      <c r="A44" s="350"/>
      <c r="B44" s="351"/>
      <c r="C44" s="352"/>
      <c r="D44" s="353"/>
      <c r="E44" s="354"/>
      <c r="F44" s="487">
        <f t="shared" si="0"/>
        <v>0</v>
      </c>
      <c r="G44" s="487">
        <f t="shared" si="1"/>
        <v>0</v>
      </c>
    </row>
    <row r="45" spans="1:7" ht="12" customHeight="1">
      <c r="A45" s="350"/>
      <c r="B45" s="351"/>
      <c r="C45" s="352"/>
      <c r="D45" s="353"/>
      <c r="E45" s="354"/>
      <c r="F45" s="487">
        <f t="shared" si="0"/>
        <v>0</v>
      </c>
      <c r="G45" s="487">
        <f t="shared" si="1"/>
        <v>0</v>
      </c>
    </row>
    <row r="46" spans="1:7" ht="12" customHeight="1">
      <c r="A46" s="350"/>
      <c r="B46" s="351"/>
      <c r="C46" s="352"/>
      <c r="D46" s="353"/>
      <c r="E46" s="371"/>
      <c r="F46" s="487">
        <f t="shared" si="0"/>
        <v>0</v>
      </c>
      <c r="G46" s="487">
        <f t="shared" si="1"/>
        <v>0</v>
      </c>
    </row>
    <row r="47" spans="1:7" ht="12" customHeight="1">
      <c r="A47" s="350"/>
      <c r="B47" s="351"/>
      <c r="C47" s="352"/>
      <c r="D47" s="353"/>
      <c r="E47" s="371"/>
      <c r="F47" s="487">
        <f t="shared" si="0"/>
        <v>0</v>
      </c>
      <c r="G47" s="487">
        <f t="shared" si="1"/>
        <v>0</v>
      </c>
    </row>
    <row r="48" spans="1:7" ht="12" customHeight="1">
      <c r="A48" s="350"/>
      <c r="B48" s="351"/>
      <c r="C48" s="352"/>
      <c r="D48" s="353"/>
      <c r="E48" s="371"/>
      <c r="F48" s="487">
        <f t="shared" si="0"/>
        <v>0</v>
      </c>
      <c r="G48" s="487">
        <f t="shared" si="1"/>
        <v>0</v>
      </c>
    </row>
    <row r="49" spans="1:7" ht="12" customHeight="1">
      <c r="A49" s="350"/>
      <c r="B49" s="351"/>
      <c r="C49" s="352"/>
      <c r="D49" s="353"/>
      <c r="E49" s="371"/>
      <c r="F49" s="487">
        <f t="shared" si="0"/>
        <v>0</v>
      </c>
      <c r="G49" s="487">
        <f t="shared" si="1"/>
        <v>0</v>
      </c>
    </row>
    <row r="50" spans="1:7" ht="12" customHeight="1">
      <c r="A50" s="350"/>
      <c r="B50" s="351"/>
      <c r="C50" s="352"/>
      <c r="D50" s="353"/>
      <c r="E50" s="371"/>
      <c r="F50" s="487">
        <f t="shared" si="0"/>
        <v>0</v>
      </c>
      <c r="G50" s="487">
        <f t="shared" si="1"/>
        <v>0</v>
      </c>
    </row>
    <row r="51" spans="1:7" ht="12" customHeight="1">
      <c r="A51" s="350"/>
      <c r="B51" s="351"/>
      <c r="C51" s="352"/>
      <c r="D51" s="353"/>
      <c r="E51" s="371"/>
      <c r="F51" s="487">
        <f t="shared" si="0"/>
        <v>0</v>
      </c>
      <c r="G51" s="487">
        <f t="shared" si="1"/>
        <v>0</v>
      </c>
    </row>
    <row r="52" spans="1:7" ht="12" customHeight="1">
      <c r="A52" s="350"/>
      <c r="B52" s="351"/>
      <c r="C52" s="352"/>
      <c r="D52" s="353"/>
      <c r="E52" s="371"/>
      <c r="F52" s="487">
        <f t="shared" si="0"/>
        <v>0</v>
      </c>
      <c r="G52" s="487">
        <f t="shared" si="1"/>
        <v>0</v>
      </c>
    </row>
    <row r="53" spans="1:7" ht="12" customHeight="1">
      <c r="A53" s="350"/>
      <c r="B53" s="351"/>
      <c r="C53" s="352"/>
      <c r="D53" s="353"/>
      <c r="E53" s="371"/>
      <c r="F53" s="487">
        <f t="shared" si="0"/>
        <v>0</v>
      </c>
      <c r="G53" s="487">
        <f t="shared" si="1"/>
        <v>0</v>
      </c>
    </row>
    <row r="54" spans="1:7" ht="12" customHeight="1">
      <c r="A54" s="350"/>
      <c r="B54" s="351"/>
      <c r="C54" s="352"/>
      <c r="D54" s="353"/>
      <c r="E54" s="371"/>
      <c r="F54" s="487">
        <f t="shared" si="0"/>
        <v>0</v>
      </c>
      <c r="G54" s="487">
        <f t="shared" si="1"/>
        <v>0</v>
      </c>
    </row>
    <row r="55" spans="1:7" ht="12" customHeight="1">
      <c r="A55" s="350"/>
      <c r="B55" s="351"/>
      <c r="C55" s="352"/>
      <c r="D55" s="353"/>
      <c r="E55" s="371"/>
      <c r="F55" s="487">
        <f t="shared" si="0"/>
        <v>0</v>
      </c>
      <c r="G55" s="487">
        <f t="shared" si="1"/>
        <v>0</v>
      </c>
    </row>
    <row r="56" spans="1:7" ht="12" customHeight="1">
      <c r="A56" s="350"/>
      <c r="B56" s="351"/>
      <c r="C56" s="352"/>
      <c r="D56" s="353"/>
      <c r="E56" s="371"/>
      <c r="F56" s="487">
        <f t="shared" si="0"/>
        <v>0</v>
      </c>
      <c r="G56" s="487">
        <f t="shared" si="1"/>
        <v>0</v>
      </c>
    </row>
    <row r="57" spans="1:7" ht="12" customHeight="1">
      <c r="A57" s="350"/>
      <c r="B57" s="351"/>
      <c r="C57" s="352"/>
      <c r="D57" s="353"/>
      <c r="E57" s="371"/>
      <c r="F57" s="487">
        <f t="shared" si="0"/>
        <v>0</v>
      </c>
      <c r="G57" s="487">
        <f t="shared" si="1"/>
        <v>0</v>
      </c>
    </row>
    <row r="58" spans="1:7" ht="12" customHeight="1">
      <c r="A58" s="350"/>
      <c r="B58" s="351"/>
      <c r="C58" s="352"/>
      <c r="D58" s="353"/>
      <c r="E58" s="371"/>
      <c r="F58" s="487">
        <f t="shared" si="0"/>
        <v>0</v>
      </c>
      <c r="G58" s="487">
        <f t="shared" si="1"/>
        <v>0</v>
      </c>
    </row>
    <row r="59" spans="1:7" ht="12" customHeight="1">
      <c r="A59" s="350"/>
      <c r="B59" s="351"/>
      <c r="C59" s="352"/>
      <c r="D59" s="353"/>
      <c r="E59" s="371"/>
      <c r="F59" s="487">
        <f t="shared" si="0"/>
        <v>0</v>
      </c>
      <c r="G59" s="487">
        <f t="shared" si="1"/>
        <v>0</v>
      </c>
    </row>
    <row r="60" spans="1:7" ht="12" customHeight="1">
      <c r="A60" s="350"/>
      <c r="B60" s="351"/>
      <c r="C60" s="352"/>
      <c r="D60" s="353"/>
      <c r="E60" s="371"/>
      <c r="F60" s="487">
        <f t="shared" si="0"/>
        <v>0</v>
      </c>
      <c r="G60" s="487">
        <f t="shared" si="1"/>
        <v>0</v>
      </c>
    </row>
    <row r="61" spans="1:7">
      <c r="A61" s="350"/>
      <c r="B61" s="351"/>
      <c r="C61" s="352"/>
      <c r="D61" s="353"/>
      <c r="E61" s="371"/>
      <c r="F61" s="487">
        <f t="shared" si="0"/>
        <v>0</v>
      </c>
      <c r="G61" s="487">
        <f t="shared" si="1"/>
        <v>0</v>
      </c>
    </row>
    <row r="62" spans="1:7">
      <c r="A62" s="350"/>
      <c r="B62" s="351"/>
      <c r="C62" s="352"/>
      <c r="D62" s="353"/>
      <c r="E62" s="371"/>
      <c r="F62" s="487">
        <f t="shared" si="0"/>
        <v>0</v>
      </c>
      <c r="G62" s="487">
        <f t="shared" si="1"/>
        <v>0</v>
      </c>
    </row>
    <row r="63" spans="1:7">
      <c r="A63" s="350"/>
      <c r="B63" s="351"/>
      <c r="C63" s="352"/>
      <c r="D63" s="353"/>
      <c r="E63" s="371"/>
      <c r="F63" s="487">
        <f t="shared" si="0"/>
        <v>0</v>
      </c>
      <c r="G63" s="487">
        <f t="shared" si="1"/>
        <v>0</v>
      </c>
    </row>
    <row r="64" spans="1:7">
      <c r="A64" s="350"/>
      <c r="B64" s="351"/>
      <c r="C64" s="352"/>
      <c r="D64" s="353"/>
      <c r="E64" s="371"/>
      <c r="F64" s="487">
        <f t="shared" si="0"/>
        <v>0</v>
      </c>
      <c r="G64" s="487">
        <f t="shared" si="1"/>
        <v>0</v>
      </c>
    </row>
    <row r="65" spans="1:7">
      <c r="A65" s="350"/>
      <c r="B65" s="351"/>
      <c r="C65" s="352"/>
      <c r="D65" s="353"/>
      <c r="E65" s="371"/>
      <c r="F65" s="487">
        <f t="shared" si="0"/>
        <v>0</v>
      </c>
      <c r="G65" s="487">
        <f t="shared" si="1"/>
        <v>0</v>
      </c>
    </row>
    <row r="66" spans="1:7">
      <c r="A66" s="350"/>
      <c r="B66" s="351"/>
      <c r="C66" s="352"/>
      <c r="D66" s="353"/>
      <c r="E66" s="371"/>
      <c r="F66" s="487">
        <f t="shared" si="0"/>
        <v>0</v>
      </c>
      <c r="G66" s="487">
        <f t="shared" si="1"/>
        <v>0</v>
      </c>
    </row>
    <row r="67" spans="1:7">
      <c r="A67" s="350"/>
      <c r="B67" s="351"/>
      <c r="C67" s="352"/>
      <c r="D67" s="353"/>
      <c r="E67" s="357"/>
      <c r="F67" s="487">
        <f t="shared" si="0"/>
        <v>0</v>
      </c>
      <c r="G67" s="487">
        <f t="shared" si="1"/>
        <v>0</v>
      </c>
    </row>
    <row r="68" spans="1:7" hidden="1">
      <c r="A68" s="113"/>
      <c r="B68" s="114"/>
      <c r="C68" s="129"/>
      <c r="D68" s="115"/>
      <c r="E68" s="118"/>
      <c r="F68" s="33">
        <f t="shared" ref="F68:F82" si="2">A68*E68</f>
        <v>0</v>
      </c>
      <c r="G68" s="33">
        <f t="shared" ref="G68:G82" si="3">IF(C68="y",F68,0)</f>
        <v>0</v>
      </c>
    </row>
    <row r="69" spans="1:7" hidden="1">
      <c r="A69" s="113"/>
      <c r="B69" s="114"/>
      <c r="C69" s="129"/>
      <c r="D69" s="115"/>
      <c r="E69" s="118"/>
      <c r="F69" s="33">
        <f t="shared" si="2"/>
        <v>0</v>
      </c>
      <c r="G69" s="33">
        <f t="shared" si="3"/>
        <v>0</v>
      </c>
    </row>
    <row r="70" spans="1:7" hidden="1">
      <c r="A70" s="113"/>
      <c r="B70" s="114"/>
      <c r="C70" s="129"/>
      <c r="D70" s="115"/>
      <c r="E70" s="118"/>
      <c r="F70" s="33">
        <f t="shared" si="2"/>
        <v>0</v>
      </c>
      <c r="G70" s="33">
        <f t="shared" si="3"/>
        <v>0</v>
      </c>
    </row>
    <row r="71" spans="1:7" hidden="1">
      <c r="A71" s="113"/>
      <c r="B71" s="114"/>
      <c r="C71" s="129"/>
      <c r="D71" s="115"/>
      <c r="E71" s="118"/>
      <c r="F71" s="33">
        <f t="shared" si="2"/>
        <v>0</v>
      </c>
      <c r="G71" s="33">
        <f t="shared" si="3"/>
        <v>0</v>
      </c>
    </row>
    <row r="72" spans="1:7" hidden="1">
      <c r="A72" s="113"/>
      <c r="B72" s="114"/>
      <c r="C72" s="129"/>
      <c r="D72" s="115"/>
      <c r="E72" s="118"/>
      <c r="F72" s="33">
        <f t="shared" si="2"/>
        <v>0</v>
      </c>
      <c r="G72" s="33">
        <f t="shared" si="3"/>
        <v>0</v>
      </c>
    </row>
    <row r="73" spans="1:7" hidden="1">
      <c r="A73" s="113"/>
      <c r="B73" s="114"/>
      <c r="C73" s="129"/>
      <c r="D73" s="115"/>
      <c r="E73" s="118"/>
      <c r="F73" s="33">
        <f t="shared" si="2"/>
        <v>0</v>
      </c>
      <c r="G73" s="33">
        <f t="shared" si="3"/>
        <v>0</v>
      </c>
    </row>
    <row r="74" spans="1:7" hidden="1">
      <c r="A74" s="113"/>
      <c r="B74" s="114"/>
      <c r="C74" s="129"/>
      <c r="D74" s="115"/>
      <c r="E74" s="118"/>
      <c r="F74" s="33">
        <f t="shared" si="2"/>
        <v>0</v>
      </c>
      <c r="G74" s="33">
        <f t="shared" si="3"/>
        <v>0</v>
      </c>
    </row>
    <row r="75" spans="1:7" hidden="1">
      <c r="A75" s="113"/>
      <c r="B75" s="114"/>
      <c r="C75" s="129"/>
      <c r="D75" s="115"/>
      <c r="E75" s="118"/>
      <c r="F75" s="33">
        <f t="shared" si="2"/>
        <v>0</v>
      </c>
      <c r="G75" s="33">
        <f t="shared" si="3"/>
        <v>0</v>
      </c>
    </row>
    <row r="76" spans="1:7" hidden="1">
      <c r="A76" s="113"/>
      <c r="B76" s="114"/>
      <c r="C76" s="129"/>
      <c r="D76" s="115"/>
      <c r="E76" s="118"/>
      <c r="F76" s="33">
        <f t="shared" si="2"/>
        <v>0</v>
      </c>
      <c r="G76" s="33">
        <f t="shared" si="3"/>
        <v>0</v>
      </c>
    </row>
    <row r="77" spans="1:7" hidden="1">
      <c r="A77" s="113"/>
      <c r="B77" s="114"/>
      <c r="C77" s="129"/>
      <c r="D77" s="115"/>
      <c r="E77" s="118"/>
      <c r="F77" s="33">
        <f t="shared" si="2"/>
        <v>0</v>
      </c>
      <c r="G77" s="33">
        <f t="shared" si="3"/>
        <v>0</v>
      </c>
    </row>
    <row r="78" spans="1:7" hidden="1">
      <c r="A78" s="113"/>
      <c r="B78" s="114"/>
      <c r="C78" s="129"/>
      <c r="D78" s="115"/>
      <c r="E78" s="118"/>
      <c r="F78" s="33">
        <f t="shared" si="2"/>
        <v>0</v>
      </c>
      <c r="G78" s="33">
        <f t="shared" si="3"/>
        <v>0</v>
      </c>
    </row>
    <row r="79" spans="1:7" hidden="1">
      <c r="A79" s="113"/>
      <c r="B79" s="114"/>
      <c r="C79" s="129"/>
      <c r="D79" s="115"/>
      <c r="E79" s="118"/>
      <c r="F79" s="33">
        <f t="shared" si="2"/>
        <v>0</v>
      </c>
      <c r="G79" s="33">
        <f t="shared" si="3"/>
        <v>0</v>
      </c>
    </row>
    <row r="80" spans="1:7" hidden="1">
      <c r="A80" s="113"/>
      <c r="B80" s="114"/>
      <c r="C80" s="129"/>
      <c r="D80" s="115"/>
      <c r="E80" s="118"/>
      <c r="F80" s="33">
        <f t="shared" si="2"/>
        <v>0</v>
      </c>
      <c r="G80" s="33">
        <f t="shared" si="3"/>
        <v>0</v>
      </c>
    </row>
    <row r="81" spans="1:7" hidden="1">
      <c r="A81" s="113"/>
      <c r="B81" s="114"/>
      <c r="C81" s="129"/>
      <c r="D81" s="115"/>
      <c r="E81" s="118"/>
      <c r="F81" s="33">
        <f t="shared" si="2"/>
        <v>0</v>
      </c>
      <c r="G81" s="33">
        <f t="shared" si="3"/>
        <v>0</v>
      </c>
    </row>
    <row r="82" spans="1:7" hidden="1">
      <c r="A82" s="113"/>
      <c r="B82" s="114"/>
      <c r="C82" s="129"/>
      <c r="D82" s="115"/>
      <c r="E82" s="118"/>
      <c r="F82" s="33">
        <f t="shared" si="2"/>
        <v>0</v>
      </c>
      <c r="G82" s="33">
        <f t="shared" si="3"/>
        <v>0</v>
      </c>
    </row>
    <row r="83" spans="1:7" hidden="1">
      <c r="B83" s="116">
        <v>7</v>
      </c>
      <c r="C83" s="133" t="s">
        <v>30</v>
      </c>
      <c r="D83" s="1"/>
    </row>
    <row r="84" spans="1:7" hidden="1">
      <c r="B84" s="37">
        <f>'4. Equipment &amp; Vehicle Costs'!F4</f>
        <v>1744</v>
      </c>
      <c r="C84" s="133" t="s">
        <v>20</v>
      </c>
      <c r="D84" s="1"/>
    </row>
    <row r="85" spans="1:7" hidden="1">
      <c r="B85" s="37">
        <f>B84/B83</f>
        <v>249.14285714285714</v>
      </c>
      <c r="C85" s="133" t="s">
        <v>21</v>
      </c>
      <c r="D85" s="1"/>
    </row>
  </sheetData>
  <autoFilter ref="A4:E66">
    <sortState ref="A5:E66">
      <sortCondition ref="B4:B66"/>
    </sortState>
  </autoFilter>
  <mergeCells count="1">
    <mergeCell ref="G2:G3"/>
  </mergeCells>
  <phoneticPr fontId="2" type="noConversion"/>
  <pageMargins left="0.5" right="0.5" top="0.41" bottom="0.32" header="0.17" footer="0.09"/>
  <pageSetup scale="92" orientation="portrait" r:id="rId1"/>
  <headerFooter alignWithMargins="0">
    <oddHeader>&amp;LTab 5: Equipment &amp; Vehicles&amp;CRapid Business Plan</oddHeader>
    <oddFooter>&amp;LDate Printed: &amp;D&amp;CHeartland Information Research, Inc&amp;R5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intequip">
                <anchor>
                  <from>
                    <xdr:col>0</xdr:col>
                    <xdr:colOff>9525</xdr:colOff>
                    <xdr:row>1</xdr:row>
                    <xdr:rowOff>19050</xdr:rowOff>
                  </from>
                  <to>
                    <xdr:col>1</xdr:col>
                    <xdr:colOff>552450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G65"/>
  <sheetViews>
    <sheetView showGridLines="0" zoomScaleNormal="100" workbookViewId="0"/>
  </sheetViews>
  <sheetFormatPr defaultColWidth="13.5703125" defaultRowHeight="12.75" customHeight="1" zeroHeight="1"/>
  <cols>
    <col min="1" max="1" width="26.140625" style="9" customWidth="1"/>
    <col min="2" max="2" width="6.7109375" style="628" customWidth="1"/>
    <col min="3" max="3" width="9.140625" style="9" customWidth="1"/>
    <col min="4" max="4" width="38.28515625" style="9" customWidth="1"/>
    <col min="5" max="5" width="14.28515625" style="9" customWidth="1"/>
    <col min="6" max="7" width="13.5703125" style="72"/>
    <col min="8" max="16384" width="13.5703125" style="9"/>
  </cols>
  <sheetData>
    <row r="1" spans="1:7" ht="12" customHeight="1">
      <c r="A1" s="226" t="str">
        <f>'0. Basic Info'!D11</f>
        <v>ACME 5 Year</v>
      </c>
      <c r="B1" s="630"/>
      <c r="C1" s="14" t="s">
        <v>14</v>
      </c>
    </row>
    <row r="2" spans="1:7" ht="12" customHeight="1">
      <c r="A2" s="14"/>
      <c r="B2" s="11"/>
      <c r="C2" s="14"/>
      <c r="D2" s="22"/>
      <c r="F2" s="633">
        <f>SUM(F5:F62)</f>
        <v>700</v>
      </c>
      <c r="G2" s="737" t="s">
        <v>112</v>
      </c>
    </row>
    <row r="3" spans="1:7" ht="12" customHeight="1" thickBot="1">
      <c r="A3" s="14"/>
      <c r="B3" s="11"/>
      <c r="C3" s="14"/>
      <c r="D3" s="131" t="s">
        <v>11</v>
      </c>
      <c r="E3" s="225">
        <v>5.0999999999999997E-2</v>
      </c>
      <c r="F3" s="634">
        <f>E3*F2</f>
        <v>35.699999999999996</v>
      </c>
      <c r="G3" s="739"/>
    </row>
    <row r="4" spans="1:7" ht="13.5" thickBot="1">
      <c r="A4" s="72" t="s">
        <v>67</v>
      </c>
      <c r="B4" s="76" t="s">
        <v>37</v>
      </c>
      <c r="C4" s="76" t="s">
        <v>35</v>
      </c>
      <c r="D4" s="75" t="s">
        <v>66</v>
      </c>
      <c r="E4" s="12" t="s">
        <v>10</v>
      </c>
      <c r="F4" s="125">
        <f>F2+F3</f>
        <v>735.7</v>
      </c>
      <c r="G4" s="632">
        <f>SUM(G5:G62)</f>
        <v>0</v>
      </c>
    </row>
    <row r="5" spans="1:7" ht="12" customHeight="1">
      <c r="A5" s="355" t="s">
        <v>269</v>
      </c>
      <c r="B5" s="350"/>
      <c r="C5" s="355" t="s">
        <v>275</v>
      </c>
      <c r="D5" s="356" t="s">
        <v>270</v>
      </c>
      <c r="E5" s="357">
        <v>700</v>
      </c>
      <c r="F5" s="349">
        <f>E5</f>
        <v>700</v>
      </c>
      <c r="G5" s="635">
        <f>IF(B5="y",F5,0)</f>
        <v>0</v>
      </c>
    </row>
    <row r="6" spans="1:7" ht="12" customHeight="1">
      <c r="A6" s="355"/>
      <c r="B6" s="350"/>
      <c r="C6" s="351"/>
      <c r="D6" s="353"/>
      <c r="E6" s="357">
        <v>0</v>
      </c>
      <c r="F6" s="349">
        <f t="shared" ref="F6:F62" si="0">E6</f>
        <v>0</v>
      </c>
      <c r="G6" s="635">
        <f t="shared" ref="G6:G62" si="1">IF(B6="y",F6,0)</f>
        <v>0</v>
      </c>
    </row>
    <row r="7" spans="1:7" ht="12" customHeight="1">
      <c r="A7" s="355"/>
      <c r="B7" s="350"/>
      <c r="C7" s="351"/>
      <c r="D7" s="353"/>
      <c r="E7" s="357">
        <v>0</v>
      </c>
      <c r="F7" s="349">
        <f t="shared" si="0"/>
        <v>0</v>
      </c>
      <c r="G7" s="635">
        <f t="shared" si="1"/>
        <v>0</v>
      </c>
    </row>
    <row r="8" spans="1:7" ht="12" customHeight="1">
      <c r="A8" s="355"/>
      <c r="B8" s="350"/>
      <c r="C8" s="351"/>
      <c r="D8" s="353"/>
      <c r="E8" s="357">
        <v>0</v>
      </c>
      <c r="F8" s="349">
        <f t="shared" si="0"/>
        <v>0</v>
      </c>
      <c r="G8" s="635">
        <f t="shared" si="1"/>
        <v>0</v>
      </c>
    </row>
    <row r="9" spans="1:7" ht="12" customHeight="1">
      <c r="A9" s="355"/>
      <c r="B9" s="350"/>
      <c r="C9" s="351"/>
      <c r="D9" s="353"/>
      <c r="E9" s="357">
        <v>0</v>
      </c>
      <c r="F9" s="349">
        <f t="shared" si="0"/>
        <v>0</v>
      </c>
      <c r="G9" s="635">
        <f t="shared" si="1"/>
        <v>0</v>
      </c>
    </row>
    <row r="10" spans="1:7" ht="12" customHeight="1">
      <c r="A10" s="355"/>
      <c r="B10" s="350"/>
      <c r="C10" s="351"/>
      <c r="D10" s="353"/>
      <c r="E10" s="357">
        <v>0</v>
      </c>
      <c r="F10" s="349">
        <f t="shared" si="0"/>
        <v>0</v>
      </c>
      <c r="G10" s="635">
        <f t="shared" si="1"/>
        <v>0</v>
      </c>
    </row>
    <row r="11" spans="1:7" ht="12" customHeight="1">
      <c r="A11" s="355"/>
      <c r="B11" s="350"/>
      <c r="C11" s="351"/>
      <c r="D11" s="353"/>
      <c r="E11" s="357">
        <v>0</v>
      </c>
      <c r="F11" s="349">
        <f t="shared" si="0"/>
        <v>0</v>
      </c>
      <c r="G11" s="635">
        <f t="shared" si="1"/>
        <v>0</v>
      </c>
    </row>
    <row r="12" spans="1:7" ht="12" customHeight="1">
      <c r="A12" s="355"/>
      <c r="B12" s="350"/>
      <c r="C12" s="351"/>
      <c r="D12" s="353"/>
      <c r="E12" s="357">
        <v>0</v>
      </c>
      <c r="F12" s="349">
        <f t="shared" si="0"/>
        <v>0</v>
      </c>
      <c r="G12" s="635">
        <f t="shared" si="1"/>
        <v>0</v>
      </c>
    </row>
    <row r="13" spans="1:7" ht="12" customHeight="1">
      <c r="A13" s="355"/>
      <c r="B13" s="350"/>
      <c r="C13" s="351"/>
      <c r="D13" s="353"/>
      <c r="E13" s="357">
        <v>0</v>
      </c>
      <c r="F13" s="349">
        <f t="shared" si="0"/>
        <v>0</v>
      </c>
      <c r="G13" s="635">
        <f t="shared" si="1"/>
        <v>0</v>
      </c>
    </row>
    <row r="14" spans="1:7" ht="12" customHeight="1">
      <c r="A14" s="355"/>
      <c r="B14" s="350"/>
      <c r="C14" s="351"/>
      <c r="D14" s="353"/>
      <c r="E14" s="357">
        <v>0</v>
      </c>
      <c r="F14" s="349">
        <f t="shared" si="0"/>
        <v>0</v>
      </c>
      <c r="G14" s="635">
        <f t="shared" si="1"/>
        <v>0</v>
      </c>
    </row>
    <row r="15" spans="1:7" ht="12" customHeight="1">
      <c r="A15" s="355"/>
      <c r="B15" s="350"/>
      <c r="C15" s="351"/>
      <c r="D15" s="353"/>
      <c r="E15" s="357">
        <v>0</v>
      </c>
      <c r="F15" s="349">
        <f t="shared" si="0"/>
        <v>0</v>
      </c>
      <c r="G15" s="635">
        <f t="shared" si="1"/>
        <v>0</v>
      </c>
    </row>
    <row r="16" spans="1:7" ht="12" customHeight="1">
      <c r="A16" s="355"/>
      <c r="B16" s="350"/>
      <c r="C16" s="351"/>
      <c r="D16" s="353"/>
      <c r="E16" s="357">
        <v>0</v>
      </c>
      <c r="F16" s="349">
        <f t="shared" si="0"/>
        <v>0</v>
      </c>
      <c r="G16" s="635">
        <f t="shared" si="1"/>
        <v>0</v>
      </c>
    </row>
    <row r="17" spans="1:7" ht="12" customHeight="1">
      <c r="A17" s="355"/>
      <c r="B17" s="350"/>
      <c r="C17" s="351"/>
      <c r="D17" s="353"/>
      <c r="E17" s="357">
        <v>0</v>
      </c>
      <c r="F17" s="349">
        <f t="shared" si="0"/>
        <v>0</v>
      </c>
      <c r="G17" s="635">
        <f t="shared" si="1"/>
        <v>0</v>
      </c>
    </row>
    <row r="18" spans="1:7" ht="12" customHeight="1">
      <c r="A18" s="355"/>
      <c r="B18" s="350"/>
      <c r="C18" s="351"/>
      <c r="D18" s="353"/>
      <c r="E18" s="357">
        <v>0</v>
      </c>
      <c r="F18" s="349">
        <f t="shared" si="0"/>
        <v>0</v>
      </c>
      <c r="G18" s="635">
        <f t="shared" si="1"/>
        <v>0</v>
      </c>
    </row>
    <row r="19" spans="1:7" ht="12" customHeight="1">
      <c r="A19" s="355"/>
      <c r="B19" s="350"/>
      <c r="C19" s="351"/>
      <c r="D19" s="353"/>
      <c r="E19" s="357">
        <v>0</v>
      </c>
      <c r="F19" s="349">
        <f t="shared" si="0"/>
        <v>0</v>
      </c>
      <c r="G19" s="635">
        <f t="shared" si="1"/>
        <v>0</v>
      </c>
    </row>
    <row r="20" spans="1:7" ht="12" customHeight="1">
      <c r="A20" s="355"/>
      <c r="B20" s="350"/>
      <c r="C20" s="351"/>
      <c r="D20" s="353"/>
      <c r="E20" s="357">
        <v>0</v>
      </c>
      <c r="F20" s="349">
        <f t="shared" si="0"/>
        <v>0</v>
      </c>
      <c r="G20" s="635">
        <f t="shared" si="1"/>
        <v>0</v>
      </c>
    </row>
    <row r="21" spans="1:7" ht="12" customHeight="1">
      <c r="A21" s="355"/>
      <c r="B21" s="350"/>
      <c r="C21" s="351"/>
      <c r="D21" s="353"/>
      <c r="E21" s="357">
        <v>0</v>
      </c>
      <c r="F21" s="349">
        <f t="shared" si="0"/>
        <v>0</v>
      </c>
      <c r="G21" s="635">
        <f t="shared" si="1"/>
        <v>0</v>
      </c>
    </row>
    <row r="22" spans="1:7" ht="12" customHeight="1">
      <c r="A22" s="355"/>
      <c r="B22" s="350"/>
      <c r="C22" s="351"/>
      <c r="D22" s="353"/>
      <c r="E22" s="357">
        <v>0</v>
      </c>
      <c r="F22" s="349">
        <f t="shared" si="0"/>
        <v>0</v>
      </c>
      <c r="G22" s="635">
        <f t="shared" si="1"/>
        <v>0</v>
      </c>
    </row>
    <row r="23" spans="1:7" ht="12" customHeight="1">
      <c r="A23" s="355"/>
      <c r="B23" s="350"/>
      <c r="C23" s="351"/>
      <c r="D23" s="353"/>
      <c r="E23" s="357">
        <v>0</v>
      </c>
      <c r="F23" s="349">
        <f t="shared" si="0"/>
        <v>0</v>
      </c>
      <c r="G23" s="635">
        <f t="shared" si="1"/>
        <v>0</v>
      </c>
    </row>
    <row r="24" spans="1:7" ht="12" customHeight="1">
      <c r="A24" s="355"/>
      <c r="B24" s="350"/>
      <c r="C24" s="351"/>
      <c r="D24" s="353"/>
      <c r="E24" s="357">
        <v>0</v>
      </c>
      <c r="F24" s="349">
        <f t="shared" si="0"/>
        <v>0</v>
      </c>
      <c r="G24" s="635">
        <f t="shared" si="1"/>
        <v>0</v>
      </c>
    </row>
    <row r="25" spans="1:7" ht="12" customHeight="1">
      <c r="A25" s="355"/>
      <c r="B25" s="350"/>
      <c r="C25" s="351"/>
      <c r="D25" s="353"/>
      <c r="E25" s="357">
        <v>0</v>
      </c>
      <c r="F25" s="349">
        <f t="shared" si="0"/>
        <v>0</v>
      </c>
      <c r="G25" s="635">
        <f t="shared" si="1"/>
        <v>0</v>
      </c>
    </row>
    <row r="26" spans="1:7" ht="12" customHeight="1">
      <c r="A26" s="355"/>
      <c r="B26" s="350"/>
      <c r="C26" s="351"/>
      <c r="D26" s="353"/>
      <c r="E26" s="357">
        <v>0</v>
      </c>
      <c r="F26" s="349">
        <f t="shared" si="0"/>
        <v>0</v>
      </c>
      <c r="G26" s="635">
        <f t="shared" si="1"/>
        <v>0</v>
      </c>
    </row>
    <row r="27" spans="1:7" ht="12" customHeight="1">
      <c r="A27" s="355"/>
      <c r="B27" s="350"/>
      <c r="C27" s="351"/>
      <c r="D27" s="353"/>
      <c r="E27" s="357">
        <v>0</v>
      </c>
      <c r="F27" s="349">
        <f t="shared" si="0"/>
        <v>0</v>
      </c>
      <c r="G27" s="635">
        <f t="shared" si="1"/>
        <v>0</v>
      </c>
    </row>
    <row r="28" spans="1:7" ht="12" customHeight="1">
      <c r="A28" s="355"/>
      <c r="B28" s="350"/>
      <c r="C28" s="351"/>
      <c r="D28" s="353"/>
      <c r="E28" s="357">
        <v>0</v>
      </c>
      <c r="F28" s="349">
        <f t="shared" si="0"/>
        <v>0</v>
      </c>
      <c r="G28" s="635">
        <f t="shared" si="1"/>
        <v>0</v>
      </c>
    </row>
    <row r="29" spans="1:7" ht="12" customHeight="1">
      <c r="A29" s="355"/>
      <c r="B29" s="350"/>
      <c r="C29" s="351"/>
      <c r="D29" s="353"/>
      <c r="E29" s="357">
        <v>0</v>
      </c>
      <c r="F29" s="349">
        <f t="shared" si="0"/>
        <v>0</v>
      </c>
      <c r="G29" s="635">
        <f t="shared" si="1"/>
        <v>0</v>
      </c>
    </row>
    <row r="30" spans="1:7" ht="12" customHeight="1">
      <c r="A30" s="355"/>
      <c r="B30" s="350"/>
      <c r="C30" s="351"/>
      <c r="D30" s="353"/>
      <c r="E30" s="357">
        <v>0</v>
      </c>
      <c r="F30" s="349">
        <f t="shared" si="0"/>
        <v>0</v>
      </c>
      <c r="G30" s="635">
        <f t="shared" si="1"/>
        <v>0</v>
      </c>
    </row>
    <row r="31" spans="1:7" ht="12" customHeight="1">
      <c r="A31" s="355"/>
      <c r="B31" s="350"/>
      <c r="C31" s="351"/>
      <c r="D31" s="353"/>
      <c r="E31" s="357">
        <v>0</v>
      </c>
      <c r="F31" s="349">
        <f t="shared" si="0"/>
        <v>0</v>
      </c>
      <c r="G31" s="635">
        <f t="shared" si="1"/>
        <v>0</v>
      </c>
    </row>
    <row r="32" spans="1:7" ht="12" customHeight="1">
      <c r="A32" s="355"/>
      <c r="B32" s="350"/>
      <c r="C32" s="351"/>
      <c r="D32" s="353"/>
      <c r="E32" s="357">
        <v>0</v>
      </c>
      <c r="F32" s="349">
        <f t="shared" si="0"/>
        <v>0</v>
      </c>
      <c r="G32" s="635">
        <f t="shared" si="1"/>
        <v>0</v>
      </c>
    </row>
    <row r="33" spans="1:7" ht="12" customHeight="1">
      <c r="A33" s="355"/>
      <c r="B33" s="350"/>
      <c r="C33" s="351"/>
      <c r="D33" s="353"/>
      <c r="E33" s="357">
        <v>0</v>
      </c>
      <c r="F33" s="349">
        <f t="shared" si="0"/>
        <v>0</v>
      </c>
      <c r="G33" s="635">
        <f t="shared" si="1"/>
        <v>0</v>
      </c>
    </row>
    <row r="34" spans="1:7" ht="12" customHeight="1">
      <c r="A34" s="355"/>
      <c r="B34" s="350"/>
      <c r="C34" s="351"/>
      <c r="D34" s="353"/>
      <c r="E34" s="357">
        <v>0</v>
      </c>
      <c r="F34" s="349">
        <f t="shared" si="0"/>
        <v>0</v>
      </c>
      <c r="G34" s="635">
        <f t="shared" si="1"/>
        <v>0</v>
      </c>
    </row>
    <row r="35" spans="1:7" ht="12" customHeight="1">
      <c r="A35" s="355"/>
      <c r="B35" s="350"/>
      <c r="C35" s="351"/>
      <c r="D35" s="353"/>
      <c r="E35" s="357">
        <v>0</v>
      </c>
      <c r="F35" s="349">
        <f t="shared" si="0"/>
        <v>0</v>
      </c>
      <c r="G35" s="635">
        <f t="shared" si="1"/>
        <v>0</v>
      </c>
    </row>
    <row r="36" spans="1:7" ht="12" customHeight="1">
      <c r="A36" s="355"/>
      <c r="B36" s="350"/>
      <c r="C36" s="351"/>
      <c r="D36" s="353"/>
      <c r="E36" s="357">
        <v>0</v>
      </c>
      <c r="F36" s="349">
        <f t="shared" si="0"/>
        <v>0</v>
      </c>
      <c r="G36" s="635">
        <f t="shared" si="1"/>
        <v>0</v>
      </c>
    </row>
    <row r="37" spans="1:7" ht="12" customHeight="1">
      <c r="A37" s="355"/>
      <c r="B37" s="350"/>
      <c r="C37" s="351"/>
      <c r="D37" s="353"/>
      <c r="E37" s="357">
        <v>0</v>
      </c>
      <c r="F37" s="349">
        <f t="shared" si="0"/>
        <v>0</v>
      </c>
      <c r="G37" s="635">
        <f t="shared" si="1"/>
        <v>0</v>
      </c>
    </row>
    <row r="38" spans="1:7" ht="12" customHeight="1">
      <c r="A38" s="355"/>
      <c r="B38" s="350"/>
      <c r="C38" s="351"/>
      <c r="D38" s="353"/>
      <c r="E38" s="357">
        <v>0</v>
      </c>
      <c r="F38" s="349">
        <f t="shared" si="0"/>
        <v>0</v>
      </c>
      <c r="G38" s="635">
        <f t="shared" si="1"/>
        <v>0</v>
      </c>
    </row>
    <row r="39" spans="1:7" ht="12" customHeight="1">
      <c r="A39" s="355"/>
      <c r="B39" s="350"/>
      <c r="C39" s="351"/>
      <c r="D39" s="353"/>
      <c r="E39" s="357">
        <v>0</v>
      </c>
      <c r="F39" s="349">
        <f t="shared" si="0"/>
        <v>0</v>
      </c>
      <c r="G39" s="635">
        <f t="shared" si="1"/>
        <v>0</v>
      </c>
    </row>
    <row r="40" spans="1:7" ht="12" customHeight="1">
      <c r="A40" s="355"/>
      <c r="B40" s="350"/>
      <c r="C40" s="351"/>
      <c r="D40" s="353"/>
      <c r="E40" s="357">
        <v>0</v>
      </c>
      <c r="F40" s="349">
        <f t="shared" si="0"/>
        <v>0</v>
      </c>
      <c r="G40" s="635">
        <f t="shared" si="1"/>
        <v>0</v>
      </c>
    </row>
    <row r="41" spans="1:7" ht="12" customHeight="1">
      <c r="A41" s="355"/>
      <c r="B41" s="350"/>
      <c r="C41" s="351"/>
      <c r="D41" s="353"/>
      <c r="E41" s="357">
        <v>0</v>
      </c>
      <c r="F41" s="349">
        <f t="shared" si="0"/>
        <v>0</v>
      </c>
      <c r="G41" s="635">
        <f t="shared" si="1"/>
        <v>0</v>
      </c>
    </row>
    <row r="42" spans="1:7" ht="12" customHeight="1">
      <c r="A42" s="355"/>
      <c r="B42" s="350"/>
      <c r="C42" s="351"/>
      <c r="D42" s="353"/>
      <c r="E42" s="357">
        <v>0</v>
      </c>
      <c r="F42" s="349">
        <f t="shared" si="0"/>
        <v>0</v>
      </c>
      <c r="G42" s="635">
        <f t="shared" si="1"/>
        <v>0</v>
      </c>
    </row>
    <row r="43" spans="1:7" ht="12" customHeight="1">
      <c r="A43" s="355"/>
      <c r="B43" s="350"/>
      <c r="C43" s="351"/>
      <c r="D43" s="353"/>
      <c r="E43" s="357">
        <v>0</v>
      </c>
      <c r="F43" s="349">
        <f t="shared" si="0"/>
        <v>0</v>
      </c>
      <c r="G43" s="635">
        <f t="shared" si="1"/>
        <v>0</v>
      </c>
    </row>
    <row r="44" spans="1:7" ht="12" customHeight="1">
      <c r="A44" s="355"/>
      <c r="B44" s="350"/>
      <c r="C44" s="351"/>
      <c r="D44" s="353"/>
      <c r="E44" s="357">
        <v>0</v>
      </c>
      <c r="F44" s="349">
        <f t="shared" si="0"/>
        <v>0</v>
      </c>
      <c r="G44" s="635">
        <f t="shared" si="1"/>
        <v>0</v>
      </c>
    </row>
    <row r="45" spans="1:7" ht="12" customHeight="1">
      <c r="A45" s="355"/>
      <c r="B45" s="350"/>
      <c r="C45" s="351"/>
      <c r="D45" s="353"/>
      <c r="E45" s="357">
        <v>0</v>
      </c>
      <c r="F45" s="349">
        <f t="shared" si="0"/>
        <v>0</v>
      </c>
      <c r="G45" s="635">
        <f t="shared" si="1"/>
        <v>0</v>
      </c>
    </row>
    <row r="46" spans="1:7" ht="12" customHeight="1">
      <c r="A46" s="355"/>
      <c r="B46" s="350"/>
      <c r="C46" s="351"/>
      <c r="D46" s="353"/>
      <c r="E46" s="357">
        <v>0</v>
      </c>
      <c r="F46" s="349">
        <f t="shared" si="0"/>
        <v>0</v>
      </c>
      <c r="G46" s="635">
        <f t="shared" si="1"/>
        <v>0</v>
      </c>
    </row>
    <row r="47" spans="1:7" ht="12" customHeight="1">
      <c r="A47" s="355"/>
      <c r="B47" s="350"/>
      <c r="C47" s="351"/>
      <c r="D47" s="353"/>
      <c r="E47" s="357">
        <v>0</v>
      </c>
      <c r="F47" s="349">
        <f t="shared" si="0"/>
        <v>0</v>
      </c>
      <c r="G47" s="635">
        <f t="shared" si="1"/>
        <v>0</v>
      </c>
    </row>
    <row r="48" spans="1:7" ht="12" customHeight="1">
      <c r="A48" s="355"/>
      <c r="B48" s="350"/>
      <c r="C48" s="351"/>
      <c r="D48" s="353"/>
      <c r="E48" s="357">
        <v>0</v>
      </c>
      <c r="F48" s="349">
        <f t="shared" si="0"/>
        <v>0</v>
      </c>
      <c r="G48" s="635">
        <f t="shared" si="1"/>
        <v>0</v>
      </c>
    </row>
    <row r="49" spans="1:7" ht="12" customHeight="1">
      <c r="A49" s="355"/>
      <c r="B49" s="350"/>
      <c r="C49" s="351"/>
      <c r="D49" s="353"/>
      <c r="E49" s="357">
        <v>0</v>
      </c>
      <c r="F49" s="349">
        <f t="shared" si="0"/>
        <v>0</v>
      </c>
      <c r="G49" s="635">
        <f t="shared" si="1"/>
        <v>0</v>
      </c>
    </row>
    <row r="50" spans="1:7" ht="12" customHeight="1">
      <c r="A50" s="355"/>
      <c r="B50" s="350"/>
      <c r="C50" s="351"/>
      <c r="D50" s="353"/>
      <c r="E50" s="357">
        <v>0</v>
      </c>
      <c r="F50" s="349">
        <f t="shared" si="0"/>
        <v>0</v>
      </c>
      <c r="G50" s="635">
        <f t="shared" si="1"/>
        <v>0</v>
      </c>
    </row>
    <row r="51" spans="1:7" ht="12" customHeight="1">
      <c r="A51" s="355"/>
      <c r="B51" s="350"/>
      <c r="C51" s="351"/>
      <c r="D51" s="353"/>
      <c r="E51" s="357">
        <v>0</v>
      </c>
      <c r="F51" s="349">
        <f t="shared" si="0"/>
        <v>0</v>
      </c>
      <c r="G51" s="635">
        <f t="shared" si="1"/>
        <v>0</v>
      </c>
    </row>
    <row r="52" spans="1:7" ht="12" customHeight="1">
      <c r="A52" s="355"/>
      <c r="B52" s="350"/>
      <c r="C52" s="351"/>
      <c r="D52" s="353"/>
      <c r="E52" s="357">
        <v>0</v>
      </c>
      <c r="F52" s="349">
        <f t="shared" si="0"/>
        <v>0</v>
      </c>
      <c r="G52" s="635">
        <f t="shared" si="1"/>
        <v>0</v>
      </c>
    </row>
    <row r="53" spans="1:7" ht="12" customHeight="1">
      <c r="A53" s="355"/>
      <c r="B53" s="350"/>
      <c r="C53" s="351"/>
      <c r="D53" s="353"/>
      <c r="E53" s="357">
        <v>0</v>
      </c>
      <c r="F53" s="349">
        <f t="shared" si="0"/>
        <v>0</v>
      </c>
      <c r="G53" s="635">
        <f t="shared" si="1"/>
        <v>0</v>
      </c>
    </row>
    <row r="54" spans="1:7" ht="12" customHeight="1">
      <c r="A54" s="355"/>
      <c r="B54" s="350"/>
      <c r="C54" s="351"/>
      <c r="D54" s="353"/>
      <c r="E54" s="357">
        <v>0</v>
      </c>
      <c r="F54" s="349">
        <f t="shared" si="0"/>
        <v>0</v>
      </c>
      <c r="G54" s="635">
        <f t="shared" si="1"/>
        <v>0</v>
      </c>
    </row>
    <row r="55" spans="1:7" ht="12" customHeight="1">
      <c r="A55" s="355"/>
      <c r="B55" s="350"/>
      <c r="C55" s="351"/>
      <c r="D55" s="353"/>
      <c r="E55" s="357">
        <v>0</v>
      </c>
      <c r="F55" s="349">
        <f t="shared" si="0"/>
        <v>0</v>
      </c>
      <c r="G55" s="635">
        <f t="shared" si="1"/>
        <v>0</v>
      </c>
    </row>
    <row r="56" spans="1:7" ht="12" customHeight="1">
      <c r="A56" s="355"/>
      <c r="B56" s="350"/>
      <c r="C56" s="351"/>
      <c r="D56" s="353"/>
      <c r="E56" s="357">
        <v>0</v>
      </c>
      <c r="F56" s="349">
        <f t="shared" si="0"/>
        <v>0</v>
      </c>
      <c r="G56" s="635">
        <f t="shared" si="1"/>
        <v>0</v>
      </c>
    </row>
    <row r="57" spans="1:7" ht="12" customHeight="1">
      <c r="A57" s="355"/>
      <c r="B57" s="350"/>
      <c r="C57" s="351"/>
      <c r="D57" s="353"/>
      <c r="E57" s="357">
        <v>0</v>
      </c>
      <c r="F57" s="349">
        <f t="shared" si="0"/>
        <v>0</v>
      </c>
      <c r="G57" s="635">
        <f t="shared" si="1"/>
        <v>0</v>
      </c>
    </row>
    <row r="58" spans="1:7" ht="12" customHeight="1">
      <c r="A58" s="355"/>
      <c r="B58" s="350"/>
      <c r="C58" s="351"/>
      <c r="D58" s="353"/>
      <c r="E58" s="357">
        <v>0</v>
      </c>
      <c r="F58" s="349">
        <f t="shared" si="0"/>
        <v>0</v>
      </c>
      <c r="G58" s="635">
        <f t="shared" si="1"/>
        <v>0</v>
      </c>
    </row>
    <row r="59" spans="1:7" ht="12" customHeight="1">
      <c r="A59" s="355"/>
      <c r="B59" s="350"/>
      <c r="C59" s="351"/>
      <c r="D59" s="353"/>
      <c r="E59" s="357">
        <v>0</v>
      </c>
      <c r="F59" s="349">
        <f t="shared" si="0"/>
        <v>0</v>
      </c>
      <c r="G59" s="635">
        <f t="shared" si="1"/>
        <v>0</v>
      </c>
    </row>
    <row r="60" spans="1:7" ht="12" customHeight="1">
      <c r="A60" s="355"/>
      <c r="B60" s="350"/>
      <c r="C60" s="351"/>
      <c r="D60" s="353"/>
      <c r="E60" s="357">
        <v>0</v>
      </c>
      <c r="F60" s="349">
        <f t="shared" si="0"/>
        <v>0</v>
      </c>
      <c r="G60" s="635">
        <f t="shared" si="1"/>
        <v>0</v>
      </c>
    </row>
    <row r="61" spans="1:7" ht="12" customHeight="1">
      <c r="A61" s="355"/>
      <c r="B61" s="350"/>
      <c r="C61" s="358"/>
      <c r="D61" s="353"/>
      <c r="E61" s="357">
        <v>0</v>
      </c>
      <c r="F61" s="349">
        <f t="shared" si="0"/>
        <v>0</v>
      </c>
      <c r="G61" s="635">
        <f t="shared" si="1"/>
        <v>0</v>
      </c>
    </row>
    <row r="62" spans="1:7" ht="12" customHeight="1">
      <c r="A62" s="355"/>
      <c r="B62" s="350"/>
      <c r="C62" s="351"/>
      <c r="D62" s="353"/>
      <c r="E62" s="357">
        <v>0</v>
      </c>
      <c r="F62" s="349">
        <f t="shared" si="0"/>
        <v>0</v>
      </c>
      <c r="G62" s="635">
        <f t="shared" si="1"/>
        <v>0</v>
      </c>
    </row>
    <row r="63" spans="1:7" ht="12" customHeight="1">
      <c r="A63" s="116">
        <v>15</v>
      </c>
      <c r="B63" s="116"/>
      <c r="C63" s="123" t="s">
        <v>106</v>
      </c>
      <c r="D63" s="1"/>
      <c r="E63" s="11"/>
      <c r="F63" s="631"/>
    </row>
    <row r="64" spans="1:7" ht="12" customHeight="1">
      <c r="A64" s="37">
        <f>F4</f>
        <v>735.7</v>
      </c>
      <c r="B64" s="37"/>
      <c r="C64" s="123" t="s">
        <v>107</v>
      </c>
      <c r="D64" s="1"/>
    </row>
    <row r="65" spans="1:4" ht="12" customHeight="1">
      <c r="A65" s="37">
        <f>A64/A63</f>
        <v>49.046666666666667</v>
      </c>
      <c r="B65" s="37"/>
      <c r="C65" s="36" t="s">
        <v>21</v>
      </c>
      <c r="D65" s="1"/>
    </row>
  </sheetData>
  <mergeCells count="1">
    <mergeCell ref="G2:G3"/>
  </mergeCells>
  <phoneticPr fontId="2" type="noConversion"/>
  <pageMargins left="0.37" right="0.24" top="0.5" bottom="0.47" header="0.18" footer="0.17"/>
  <pageSetup scale="96" fitToHeight="0" orientation="portrait" r:id="rId1"/>
  <headerFooter alignWithMargins="0">
    <oddHeader>&amp;LTab 5: Facility/Building Costs&amp;CRapid Business Plan</oddHeader>
    <oddFooter>&amp;LDate Printed: &amp;D&amp;CHeartland Information Research, Inc&amp;R6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equip">
                <anchor>
                  <from>
                    <xdr:col>0</xdr:col>
                    <xdr:colOff>9525</xdr:colOff>
                    <xdr:row>0</xdr:row>
                    <xdr:rowOff>133350</xdr:rowOff>
                  </from>
                  <to>
                    <xdr:col>0</xdr:col>
                    <xdr:colOff>1009650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O67"/>
  <sheetViews>
    <sheetView showGridLines="0" topLeftCell="A35" zoomScaleNormal="100" workbookViewId="0">
      <selection activeCell="A16" sqref="A16"/>
    </sheetView>
  </sheetViews>
  <sheetFormatPr defaultColWidth="18.7109375" defaultRowHeight="12" customHeight="1"/>
  <cols>
    <col min="1" max="12" width="8.7109375" customWidth="1"/>
    <col min="13" max="22" width="1.7109375" customWidth="1"/>
  </cols>
  <sheetData>
    <row r="1" spans="1:15" ht="14.25">
      <c r="A1" s="234" t="str">
        <f>'0. Basic Info'!D11</f>
        <v>ACME 5 Year</v>
      </c>
      <c r="B1" s="234"/>
      <c r="C1" s="234"/>
      <c r="D1" s="235" t="s">
        <v>138</v>
      </c>
    </row>
    <row r="2" spans="1:15" ht="12.75" hidden="1">
      <c r="A2" s="44"/>
    </row>
    <row r="3" spans="1:15" ht="12.75">
      <c r="A3" s="44"/>
    </row>
    <row r="4" spans="1:15" ht="12.75">
      <c r="A4" s="2" t="s">
        <v>128</v>
      </c>
    </row>
    <row r="5" spans="1:15" ht="12.75">
      <c r="A5" s="10" t="s">
        <v>129</v>
      </c>
    </row>
    <row r="6" spans="1:15" ht="12.75">
      <c r="A6" s="10" t="s">
        <v>130</v>
      </c>
    </row>
    <row r="7" spans="1:15" ht="12.75">
      <c r="A7" s="10" t="s">
        <v>131</v>
      </c>
    </row>
    <row r="8" spans="1:15" ht="12.75">
      <c r="A8" s="10" t="s">
        <v>132</v>
      </c>
    </row>
    <row r="9" spans="1:15" ht="12.75">
      <c r="A9" s="10" t="s">
        <v>133</v>
      </c>
    </row>
    <row r="10" spans="1:15" ht="12.75"/>
    <row r="11" spans="1:15" ht="12.75">
      <c r="C11" s="233"/>
      <c r="D11" s="233"/>
      <c r="E11" s="233"/>
      <c r="F11" s="233"/>
      <c r="G11" s="233"/>
      <c r="H11" s="233" t="s">
        <v>77</v>
      </c>
      <c r="I11" s="180">
        <v>2</v>
      </c>
    </row>
    <row r="12" spans="1:15" ht="12.75"/>
    <row r="13" spans="1:15" ht="12.75">
      <c r="A13" s="740" t="s">
        <v>134</v>
      </c>
      <c r="B13" s="740"/>
      <c r="C13" s="740"/>
      <c r="D13" s="740"/>
      <c r="E13" s="740"/>
      <c r="F13" s="740"/>
      <c r="G13" s="740"/>
      <c r="H13" s="740"/>
      <c r="I13" s="740"/>
      <c r="J13" s="740"/>
      <c r="K13" s="740"/>
      <c r="L13" s="740"/>
    </row>
    <row r="14" spans="1:15" ht="12.75">
      <c r="A14" s="177"/>
      <c r="B14" s="177"/>
      <c r="C14" s="177"/>
      <c r="D14" s="177"/>
      <c r="E14" s="177"/>
      <c r="F14" s="178" t="s">
        <v>73</v>
      </c>
      <c r="G14" s="239">
        <f>'1. Sales Forecast'!C62/12</f>
        <v>3000</v>
      </c>
      <c r="H14" s="177" t="s">
        <v>74</v>
      </c>
      <c r="I14" s="177"/>
      <c r="J14" s="177"/>
      <c r="K14" s="177"/>
      <c r="L14" s="236"/>
      <c r="M14" s="78"/>
      <c r="N14" s="78"/>
      <c r="O14" s="78"/>
    </row>
    <row r="15" spans="1:15" ht="12.75">
      <c r="A15" s="177"/>
      <c r="B15" s="177"/>
      <c r="C15" s="177"/>
      <c r="D15" s="177"/>
      <c r="E15" s="177"/>
      <c r="F15" s="179" t="s">
        <v>75</v>
      </c>
      <c r="G15" s="238">
        <f>'1. Sales Forecast'!C25</f>
        <v>152</v>
      </c>
      <c r="H15" s="177" t="s">
        <v>76</v>
      </c>
      <c r="I15" s="177"/>
      <c r="J15" s="177"/>
      <c r="K15" s="236"/>
      <c r="L15" s="237"/>
      <c r="M15" s="88"/>
      <c r="O15" s="88"/>
    </row>
    <row r="16" spans="1:15" ht="12.75">
      <c r="A16" s="177"/>
      <c r="B16" s="177"/>
      <c r="C16" s="177"/>
      <c r="D16" s="177"/>
      <c r="E16" s="177"/>
      <c r="F16" s="179"/>
      <c r="G16" s="238"/>
      <c r="H16" s="177"/>
      <c r="I16" s="177"/>
      <c r="J16" s="177"/>
      <c r="K16" s="236"/>
      <c r="L16" s="237"/>
      <c r="M16" s="88"/>
      <c r="O16" s="88"/>
    </row>
    <row r="17" spans="1:15" ht="12.75">
      <c r="A17" s="181"/>
      <c r="B17" s="181"/>
      <c r="C17" s="181"/>
      <c r="D17" s="181"/>
      <c r="E17" s="181"/>
      <c r="F17" s="242"/>
      <c r="G17" s="243"/>
      <c r="H17" s="181"/>
      <c r="I17" s="181"/>
      <c r="J17" s="181"/>
      <c r="K17" s="244"/>
      <c r="L17" s="245"/>
      <c r="M17" s="88"/>
      <c r="O17" s="88"/>
    </row>
    <row r="18" spans="1:15" ht="12.75">
      <c r="A18" s="241"/>
      <c r="B18" s="241"/>
      <c r="C18" s="241"/>
      <c r="D18" s="241"/>
      <c r="E18" s="241"/>
      <c r="F18" s="241"/>
      <c r="G18" s="241"/>
      <c r="H18" s="241"/>
      <c r="I18" s="241"/>
      <c r="J18" s="241"/>
      <c r="K18" s="241"/>
      <c r="L18" s="241"/>
      <c r="N18" s="80"/>
      <c r="O18" s="80"/>
    </row>
    <row r="19" spans="1:15" ht="12.75">
      <c r="A19" s="2" t="s">
        <v>127</v>
      </c>
      <c r="N19" s="80"/>
      <c r="O19" s="80"/>
    </row>
    <row r="20" spans="1:15" ht="12.75">
      <c r="A20" s="10" t="s">
        <v>139</v>
      </c>
    </row>
    <row r="21" spans="1:15" ht="12.75">
      <c r="A21" s="10" t="s">
        <v>140</v>
      </c>
    </row>
    <row r="22" spans="1:15" ht="12.75">
      <c r="A22" s="10"/>
    </row>
    <row r="23" spans="1:15" ht="12.75">
      <c r="A23" s="10" t="s">
        <v>141</v>
      </c>
    </row>
    <row r="24" spans="1:15" ht="12.75">
      <c r="A24" s="10" t="s">
        <v>142</v>
      </c>
      <c r="N24" s="1"/>
      <c r="O24" s="1"/>
    </row>
    <row r="25" spans="1:15" ht="12.75">
      <c r="A25" s="10"/>
      <c r="N25" s="182"/>
      <c r="O25" s="182"/>
    </row>
    <row r="26" spans="1:15" ht="12.75">
      <c r="A26" s="123" t="s">
        <v>143</v>
      </c>
      <c r="N26" s="1"/>
      <c r="O26" s="1"/>
    </row>
    <row r="27" spans="1:15" ht="12.75">
      <c r="A27" s="123" t="s">
        <v>144</v>
      </c>
      <c r="N27" s="1"/>
      <c r="O27" s="1"/>
    </row>
    <row r="28" spans="1:15" ht="12.75" hidden="1">
      <c r="A28" s="240">
        <f>IF(A36&gt;0,A36-1,A36)</f>
        <v>0</v>
      </c>
      <c r="B28" s="231">
        <f t="shared" ref="B28:L28" si="0">IF(B36&gt;0,B36-1,B36)</f>
        <v>0</v>
      </c>
      <c r="C28" s="231">
        <f t="shared" si="0"/>
        <v>0</v>
      </c>
      <c r="D28" s="231">
        <f t="shared" si="0"/>
        <v>0</v>
      </c>
      <c r="E28" s="231">
        <f t="shared" si="0"/>
        <v>0</v>
      </c>
      <c r="F28" s="231">
        <f t="shared" si="0"/>
        <v>0</v>
      </c>
      <c r="G28" s="231">
        <f t="shared" si="0"/>
        <v>0</v>
      </c>
      <c r="H28" s="231">
        <f t="shared" si="0"/>
        <v>0</v>
      </c>
      <c r="I28" s="231">
        <f t="shared" si="0"/>
        <v>0</v>
      </c>
      <c r="J28" s="231">
        <f t="shared" si="0"/>
        <v>0</v>
      </c>
      <c r="K28" s="231">
        <f t="shared" si="0"/>
        <v>0</v>
      </c>
      <c r="L28" s="231">
        <f t="shared" si="0"/>
        <v>0</v>
      </c>
      <c r="M28" s="231">
        <f>SUM(A28:L28)</f>
        <v>0</v>
      </c>
    </row>
    <row r="29" spans="1:15" ht="12.75">
      <c r="A29" s="123" t="s">
        <v>145</v>
      </c>
      <c r="B29" s="1"/>
      <c r="C29" s="1"/>
      <c r="D29" s="1"/>
      <c r="E29" s="1"/>
      <c r="F29" s="1"/>
      <c r="G29" s="1"/>
      <c r="H29" s="1"/>
      <c r="I29" s="1"/>
      <c r="J29" s="1"/>
      <c r="K29" s="1"/>
      <c r="L29" s="1"/>
      <c r="M29" s="1"/>
    </row>
    <row r="30" spans="1:15" ht="12.75">
      <c r="A30" s="123"/>
      <c r="B30" s="182"/>
      <c r="C30" s="182"/>
      <c r="D30" s="182"/>
      <c r="E30" s="182"/>
      <c r="F30" s="182"/>
      <c r="G30" s="182"/>
      <c r="H30" s="182"/>
      <c r="I30" s="182"/>
      <c r="J30" s="182"/>
      <c r="K30" s="182"/>
      <c r="L30" s="182"/>
      <c r="M30" s="182"/>
    </row>
    <row r="31" spans="1:15" ht="12.75">
      <c r="A31" s="123" t="s">
        <v>146</v>
      </c>
      <c r="B31" s="182"/>
      <c r="C31" s="182"/>
      <c r="D31" s="182"/>
      <c r="E31" s="182"/>
      <c r="F31" s="182"/>
      <c r="G31" s="182"/>
      <c r="H31" s="182"/>
      <c r="I31" s="182"/>
      <c r="J31" s="182"/>
      <c r="K31" s="182"/>
      <c r="L31" s="182"/>
      <c r="M31" s="182"/>
    </row>
    <row r="32" spans="1:15" ht="12.75">
      <c r="A32" s="123"/>
      <c r="B32" s="182"/>
      <c r="C32" s="182"/>
      <c r="D32" s="182"/>
      <c r="E32" s="182"/>
      <c r="F32" s="182"/>
      <c r="G32" s="182"/>
      <c r="H32" s="182"/>
      <c r="I32" s="182"/>
      <c r="J32" s="182"/>
      <c r="K32" s="182"/>
      <c r="L32" s="182"/>
      <c r="M32" s="182"/>
    </row>
    <row r="33" spans="1:15" ht="12.75">
      <c r="A33" s="123"/>
      <c r="B33" s="182"/>
      <c r="C33" s="182"/>
      <c r="D33" s="182"/>
      <c r="E33" s="182"/>
      <c r="F33" s="182"/>
      <c r="G33" s="182"/>
      <c r="H33" s="182"/>
      <c r="I33" s="182"/>
      <c r="J33" s="182"/>
      <c r="K33" s="182"/>
      <c r="L33" s="182"/>
      <c r="M33" s="182"/>
    </row>
    <row r="34" spans="1:15" ht="12.75">
      <c r="A34" s="123"/>
      <c r="B34" s="182"/>
      <c r="C34" s="182"/>
      <c r="D34" s="182"/>
      <c r="E34" s="182"/>
      <c r="F34" s="182"/>
      <c r="G34" s="182"/>
      <c r="H34" s="182"/>
      <c r="I34" s="182"/>
      <c r="J34" s="182"/>
      <c r="K34" s="182"/>
      <c r="L34" s="182"/>
      <c r="M34" s="182"/>
    </row>
    <row r="35" spans="1:15" ht="12.75">
      <c r="A35" s="83">
        <f>'8. P&amp;L and Cashflow'!D6</f>
        <v>42370</v>
      </c>
      <c r="B35" s="83">
        <f>'8. P&amp;L and Cashflow'!E6</f>
        <v>42401</v>
      </c>
      <c r="C35" s="83">
        <f>'8. P&amp;L and Cashflow'!F6</f>
        <v>42432</v>
      </c>
      <c r="D35" s="83">
        <f>'8. P&amp;L and Cashflow'!G6</f>
        <v>42463</v>
      </c>
      <c r="E35" s="83">
        <f>'8. P&amp;L and Cashflow'!H6</f>
        <v>42494</v>
      </c>
      <c r="F35" s="83">
        <f>'8. P&amp;L and Cashflow'!I6</f>
        <v>42525</v>
      </c>
      <c r="G35" s="83">
        <f>'8. P&amp;L and Cashflow'!J6</f>
        <v>42556</v>
      </c>
      <c r="H35" s="83">
        <f>'8. P&amp;L and Cashflow'!K6</f>
        <v>42587</v>
      </c>
      <c r="I35" s="83">
        <f>'8. P&amp;L and Cashflow'!L6</f>
        <v>42618</v>
      </c>
      <c r="J35" s="83">
        <f>'8. P&amp;L and Cashflow'!M6</f>
        <v>42649</v>
      </c>
      <c r="K35" s="83">
        <f>'8. P&amp;L and Cashflow'!N6</f>
        <v>42680</v>
      </c>
      <c r="L35" s="83">
        <f>'8. P&amp;L and Cashflow'!O6</f>
        <v>42711</v>
      </c>
      <c r="M35" s="228"/>
      <c r="N35" s="231"/>
      <c r="O35" s="231"/>
    </row>
    <row r="36" spans="1:15" ht="12.75">
      <c r="A36" s="227">
        <v>1</v>
      </c>
      <c r="B36" s="227">
        <v>1</v>
      </c>
      <c r="C36" s="227">
        <v>1</v>
      </c>
      <c r="D36" s="227">
        <v>1</v>
      </c>
      <c r="E36" s="227">
        <v>1</v>
      </c>
      <c r="F36" s="227">
        <v>1</v>
      </c>
      <c r="G36" s="227">
        <v>1</v>
      </c>
      <c r="H36" s="227">
        <v>1</v>
      </c>
      <c r="I36" s="227">
        <v>1</v>
      </c>
      <c r="J36" s="227">
        <v>1</v>
      </c>
      <c r="K36" s="227">
        <v>1</v>
      </c>
      <c r="L36" s="227">
        <v>1</v>
      </c>
      <c r="M36" s="228">
        <f>12-(COUNTIF(A36:L36,0))</f>
        <v>12</v>
      </c>
      <c r="N36" s="231"/>
      <c r="O36" s="231"/>
    </row>
    <row r="37" spans="1:15" ht="12.75">
      <c r="A37" s="81">
        <f t="shared" ref="A37:L37" si="1">A38/$N38</f>
        <v>8.3333333333333329E-2</v>
      </c>
      <c r="B37" s="81">
        <f t="shared" si="1"/>
        <v>8.3333333333333329E-2</v>
      </c>
      <c r="C37" s="81">
        <f t="shared" si="1"/>
        <v>8.3333333333333329E-2</v>
      </c>
      <c r="D37" s="81">
        <f t="shared" si="1"/>
        <v>8.3333333333333329E-2</v>
      </c>
      <c r="E37" s="81">
        <f t="shared" si="1"/>
        <v>8.3333333333333329E-2</v>
      </c>
      <c r="F37" s="81">
        <f t="shared" si="1"/>
        <v>8.3333333333333329E-2</v>
      </c>
      <c r="G37" s="81">
        <f t="shared" si="1"/>
        <v>8.3333333333333329E-2</v>
      </c>
      <c r="H37" s="81">
        <f t="shared" si="1"/>
        <v>8.3333333333333329E-2</v>
      </c>
      <c r="I37" s="81">
        <f t="shared" si="1"/>
        <v>8.3333333333333329E-2</v>
      </c>
      <c r="J37" s="81">
        <f t="shared" si="1"/>
        <v>8.3333333333333329E-2</v>
      </c>
      <c r="K37" s="81">
        <f t="shared" si="1"/>
        <v>8.3333333333333329E-2</v>
      </c>
      <c r="L37" s="81">
        <f t="shared" si="1"/>
        <v>8.3333333333333329E-2</v>
      </c>
      <c r="M37" s="232">
        <f>SUM(A37:L37)</f>
        <v>1</v>
      </c>
      <c r="N37" s="228"/>
      <c r="O37" s="228"/>
    </row>
    <row r="38" spans="1:15" ht="12.75">
      <c r="A38" s="82">
        <f>A$36*$O38</f>
        <v>3000</v>
      </c>
      <c r="B38" s="82">
        <f t="shared" ref="B38:L38" si="2">B36*$O38</f>
        <v>3000</v>
      </c>
      <c r="C38" s="82">
        <f t="shared" si="2"/>
        <v>3000</v>
      </c>
      <c r="D38" s="82">
        <f t="shared" si="2"/>
        <v>3000</v>
      </c>
      <c r="E38" s="82">
        <f t="shared" si="2"/>
        <v>3000</v>
      </c>
      <c r="F38" s="82">
        <f t="shared" si="2"/>
        <v>3000</v>
      </c>
      <c r="G38" s="82">
        <f t="shared" si="2"/>
        <v>3000</v>
      </c>
      <c r="H38" s="82">
        <f t="shared" si="2"/>
        <v>3000</v>
      </c>
      <c r="I38" s="82">
        <f t="shared" si="2"/>
        <v>3000</v>
      </c>
      <c r="J38" s="82">
        <f t="shared" si="2"/>
        <v>3000</v>
      </c>
      <c r="K38" s="82">
        <f t="shared" si="2"/>
        <v>3000</v>
      </c>
      <c r="L38" s="82">
        <f t="shared" si="2"/>
        <v>3000</v>
      </c>
      <c r="M38" s="230">
        <f>SUM(A38:L38)</f>
        <v>36000</v>
      </c>
      <c r="N38" s="230">
        <f>'1. Sales Forecast'!C62</f>
        <v>36000</v>
      </c>
      <c r="O38" s="230">
        <f>N38/(M$28+M$36)</f>
        <v>3000</v>
      </c>
    </row>
    <row r="39" spans="1:15" ht="12.75">
      <c r="A39" s="82">
        <f>A$36*$O39</f>
        <v>630</v>
      </c>
      <c r="B39" s="82">
        <f t="shared" ref="B39:L39" si="3">B$36*$O39</f>
        <v>630</v>
      </c>
      <c r="C39" s="82">
        <f t="shared" si="3"/>
        <v>630</v>
      </c>
      <c r="D39" s="82">
        <f t="shared" si="3"/>
        <v>630</v>
      </c>
      <c r="E39" s="82">
        <f t="shared" si="3"/>
        <v>630</v>
      </c>
      <c r="F39" s="82">
        <f t="shared" si="3"/>
        <v>630</v>
      </c>
      <c r="G39" s="82">
        <f t="shared" si="3"/>
        <v>630</v>
      </c>
      <c r="H39" s="82">
        <f t="shared" si="3"/>
        <v>630</v>
      </c>
      <c r="I39" s="82">
        <f t="shared" si="3"/>
        <v>630</v>
      </c>
      <c r="J39" s="82">
        <f t="shared" si="3"/>
        <v>630</v>
      </c>
      <c r="K39" s="82">
        <f t="shared" si="3"/>
        <v>630</v>
      </c>
      <c r="L39" s="82">
        <f t="shared" si="3"/>
        <v>630</v>
      </c>
      <c r="M39" s="230">
        <f>SUM(A39:L39)</f>
        <v>7560</v>
      </c>
      <c r="N39" s="230">
        <f>'1. Sales Forecast'!C74</f>
        <v>7560</v>
      </c>
      <c r="O39" s="230">
        <f>N39/(M$28+M$36)</f>
        <v>630</v>
      </c>
    </row>
    <row r="40" spans="1:15" ht="12.75">
      <c r="A40" s="84">
        <f t="shared" ref="A40:L40" si="4">A38/$N38</f>
        <v>8.3333333333333329E-2</v>
      </c>
      <c r="B40" s="84">
        <f t="shared" si="4"/>
        <v>8.3333333333333329E-2</v>
      </c>
      <c r="C40" s="84">
        <f t="shared" si="4"/>
        <v>8.3333333333333329E-2</v>
      </c>
      <c r="D40" s="84">
        <f t="shared" si="4"/>
        <v>8.3333333333333329E-2</v>
      </c>
      <c r="E40" s="84">
        <f t="shared" si="4"/>
        <v>8.3333333333333329E-2</v>
      </c>
      <c r="F40" s="84">
        <f t="shared" si="4"/>
        <v>8.3333333333333329E-2</v>
      </c>
      <c r="G40" s="84">
        <f t="shared" si="4"/>
        <v>8.3333333333333329E-2</v>
      </c>
      <c r="H40" s="84">
        <f t="shared" si="4"/>
        <v>8.3333333333333329E-2</v>
      </c>
      <c r="I40" s="84">
        <f t="shared" si="4"/>
        <v>8.3333333333333329E-2</v>
      </c>
      <c r="J40" s="84">
        <f t="shared" si="4"/>
        <v>8.3333333333333329E-2</v>
      </c>
      <c r="K40" s="84">
        <f t="shared" si="4"/>
        <v>8.3333333333333329E-2</v>
      </c>
      <c r="L40" s="84">
        <f t="shared" si="4"/>
        <v>8.3333333333333329E-2</v>
      </c>
      <c r="M40" s="232">
        <f>SUM(A40:L40)</f>
        <v>1</v>
      </c>
      <c r="N40" s="228"/>
      <c r="O40" s="228"/>
    </row>
    <row r="41" spans="1:15" ht="12.75">
      <c r="A41" s="84">
        <f t="shared" ref="A41:L41" si="5">A39/$N39</f>
        <v>8.3333333333333329E-2</v>
      </c>
      <c r="B41" s="84">
        <f t="shared" si="5"/>
        <v>8.3333333333333329E-2</v>
      </c>
      <c r="C41" s="84">
        <f t="shared" si="5"/>
        <v>8.3333333333333329E-2</v>
      </c>
      <c r="D41" s="84">
        <f t="shared" si="5"/>
        <v>8.3333333333333329E-2</v>
      </c>
      <c r="E41" s="84">
        <f t="shared" si="5"/>
        <v>8.3333333333333329E-2</v>
      </c>
      <c r="F41" s="84">
        <f t="shared" si="5"/>
        <v>8.3333333333333329E-2</v>
      </c>
      <c r="G41" s="84">
        <f t="shared" si="5"/>
        <v>8.3333333333333329E-2</v>
      </c>
      <c r="H41" s="84">
        <f t="shared" si="5"/>
        <v>8.3333333333333329E-2</v>
      </c>
      <c r="I41" s="84">
        <f t="shared" si="5"/>
        <v>8.3333333333333329E-2</v>
      </c>
      <c r="J41" s="84">
        <f t="shared" si="5"/>
        <v>8.3333333333333329E-2</v>
      </c>
      <c r="K41" s="84">
        <f t="shared" si="5"/>
        <v>8.3333333333333329E-2</v>
      </c>
      <c r="L41" s="84">
        <f t="shared" si="5"/>
        <v>8.3333333333333329E-2</v>
      </c>
      <c r="M41" s="79">
        <f>SUM(A41:L41)</f>
        <v>1</v>
      </c>
    </row>
    <row r="42" spans="1:15" ht="12.75">
      <c r="A42" s="89"/>
      <c r="B42" s="89"/>
      <c r="C42" s="89"/>
      <c r="D42" s="89"/>
      <c r="E42" s="89"/>
      <c r="F42" s="89"/>
      <c r="G42" s="89"/>
      <c r="H42" s="89"/>
      <c r="I42" s="89"/>
      <c r="J42" s="89"/>
      <c r="K42" s="89"/>
      <c r="L42" s="89"/>
      <c r="M42" s="89"/>
      <c r="N42" s="90"/>
      <c r="O42" s="90"/>
    </row>
    <row r="43" spans="1:15" ht="12.75">
      <c r="A43" s="86"/>
      <c r="B43" s="86"/>
      <c r="C43" s="86"/>
      <c r="D43" s="86"/>
      <c r="E43" s="86"/>
      <c r="F43" s="86"/>
      <c r="G43" s="86"/>
      <c r="H43" s="86"/>
      <c r="I43" s="86"/>
      <c r="J43" s="86"/>
      <c r="K43" s="86"/>
      <c r="L43" s="86"/>
      <c r="O43" s="1"/>
    </row>
    <row r="44" spans="1:15" ht="12.75">
      <c r="A44" s="84"/>
      <c r="B44" s="84"/>
      <c r="C44" s="84"/>
      <c r="D44" s="84"/>
      <c r="E44" s="84"/>
      <c r="F44" s="84"/>
      <c r="G44" s="84"/>
      <c r="H44" s="84"/>
      <c r="I44" s="84"/>
      <c r="J44" s="84"/>
      <c r="K44" s="84"/>
      <c r="L44" s="84"/>
      <c r="M44" s="79"/>
    </row>
    <row r="45" spans="1:15" ht="12.75">
      <c r="A45" s="78"/>
      <c r="B45" s="78"/>
      <c r="C45" s="78"/>
      <c r="D45" s="78"/>
      <c r="E45" s="78"/>
      <c r="F45" s="78"/>
      <c r="G45" s="78"/>
      <c r="H45" s="78"/>
      <c r="I45" s="78"/>
      <c r="J45" s="78"/>
      <c r="K45" s="78"/>
      <c r="L45" s="78"/>
      <c r="M45" s="87"/>
    </row>
    <row r="46" spans="1:15" ht="12.75">
      <c r="A46" s="228">
        <v>1</v>
      </c>
      <c r="B46" s="228">
        <v>2</v>
      </c>
      <c r="C46" s="228">
        <v>3</v>
      </c>
      <c r="D46" s="228">
        <v>4</v>
      </c>
      <c r="E46" s="228">
        <v>5</v>
      </c>
      <c r="F46" s="228">
        <v>6</v>
      </c>
      <c r="G46" s="228">
        <v>7</v>
      </c>
      <c r="H46" s="228">
        <v>8</v>
      </c>
      <c r="I46" s="228">
        <v>9</v>
      </c>
      <c r="J46" s="228">
        <v>10</v>
      </c>
      <c r="K46" s="228">
        <v>11</v>
      </c>
      <c r="L46" s="228">
        <v>12</v>
      </c>
      <c r="M46" s="228"/>
    </row>
    <row r="47" spans="1:15" ht="12.75">
      <c r="A47" s="228">
        <f t="shared" ref="A47:L47" si="6">IF($I$11=0, 1,IF($I$11&gt;A46,A46/$I$11,1))</f>
        <v>0.5</v>
      </c>
      <c r="B47" s="228">
        <f t="shared" si="6"/>
        <v>1</v>
      </c>
      <c r="C47" s="228">
        <f t="shared" si="6"/>
        <v>1</v>
      </c>
      <c r="D47" s="228">
        <f t="shared" si="6"/>
        <v>1</v>
      </c>
      <c r="E47" s="228">
        <f t="shared" si="6"/>
        <v>1</v>
      </c>
      <c r="F47" s="228">
        <f t="shared" si="6"/>
        <v>1</v>
      </c>
      <c r="G47" s="228">
        <f t="shared" si="6"/>
        <v>1</v>
      </c>
      <c r="H47" s="228">
        <f t="shared" si="6"/>
        <v>1</v>
      </c>
      <c r="I47" s="228">
        <f t="shared" si="6"/>
        <v>1</v>
      </c>
      <c r="J47" s="228">
        <f t="shared" si="6"/>
        <v>1</v>
      </c>
      <c r="K47" s="228">
        <f t="shared" si="6"/>
        <v>1</v>
      </c>
      <c r="L47" s="228">
        <f t="shared" si="6"/>
        <v>1</v>
      </c>
      <c r="M47" s="228"/>
    </row>
    <row r="48" spans="1:15" ht="12.75">
      <c r="A48" s="229">
        <f>A47*A38</f>
        <v>1500</v>
      </c>
      <c r="B48" s="229">
        <f t="shared" ref="B48:L48" si="7">B47*B38</f>
        <v>3000</v>
      </c>
      <c r="C48" s="229">
        <f t="shared" si="7"/>
        <v>3000</v>
      </c>
      <c r="D48" s="229">
        <f t="shared" si="7"/>
        <v>3000</v>
      </c>
      <c r="E48" s="229">
        <f t="shared" si="7"/>
        <v>3000</v>
      </c>
      <c r="F48" s="229">
        <f t="shared" si="7"/>
        <v>3000</v>
      </c>
      <c r="G48" s="229">
        <f t="shared" si="7"/>
        <v>3000</v>
      </c>
      <c r="H48" s="229">
        <f t="shared" si="7"/>
        <v>3000</v>
      </c>
      <c r="I48" s="229">
        <f t="shared" si="7"/>
        <v>3000</v>
      </c>
      <c r="J48" s="229">
        <f t="shared" si="7"/>
        <v>3000</v>
      </c>
      <c r="K48" s="229">
        <f t="shared" si="7"/>
        <v>3000</v>
      </c>
      <c r="L48" s="229">
        <f t="shared" si="7"/>
        <v>3000</v>
      </c>
      <c r="M48" s="230">
        <f>SUM(A48:L48)</f>
        <v>34500</v>
      </c>
    </row>
    <row r="49" spans="1:15" ht="12.75">
      <c r="A49" s="229">
        <f>A47*A39</f>
        <v>315</v>
      </c>
      <c r="B49" s="229">
        <f t="shared" ref="B49:L49" si="8">B47*B39</f>
        <v>630</v>
      </c>
      <c r="C49" s="229">
        <f t="shared" si="8"/>
        <v>630</v>
      </c>
      <c r="D49" s="229">
        <f t="shared" si="8"/>
        <v>630</v>
      </c>
      <c r="E49" s="229">
        <f t="shared" si="8"/>
        <v>630</v>
      </c>
      <c r="F49" s="229">
        <f t="shared" si="8"/>
        <v>630</v>
      </c>
      <c r="G49" s="229">
        <f t="shared" si="8"/>
        <v>630</v>
      </c>
      <c r="H49" s="229">
        <f t="shared" si="8"/>
        <v>630</v>
      </c>
      <c r="I49" s="229">
        <f t="shared" si="8"/>
        <v>630</v>
      </c>
      <c r="J49" s="229">
        <f t="shared" si="8"/>
        <v>630</v>
      </c>
      <c r="K49" s="229">
        <f t="shared" si="8"/>
        <v>630</v>
      </c>
      <c r="L49" s="229">
        <f t="shared" si="8"/>
        <v>630</v>
      </c>
      <c r="M49" s="230">
        <f>SUM(A49:L49)</f>
        <v>7245</v>
      </c>
    </row>
    <row r="50" spans="1:15" s="90" customFormat="1" ht="12.75">
      <c r="A50"/>
      <c r="B50"/>
      <c r="C50"/>
      <c r="D50"/>
      <c r="E50"/>
      <c r="F50"/>
      <c r="G50"/>
      <c r="H50"/>
      <c r="I50"/>
      <c r="J50"/>
      <c r="K50"/>
      <c r="L50"/>
      <c r="M50"/>
      <c r="N50"/>
      <c r="O50"/>
    </row>
    <row r="51" spans="1:15" ht="12.75">
      <c r="A51" s="83">
        <f>A35</f>
        <v>42370</v>
      </c>
      <c r="B51" s="83">
        <f t="shared" ref="B51:L52" si="9">B35</f>
        <v>42401</v>
      </c>
      <c r="C51" s="83">
        <f t="shared" si="9"/>
        <v>42432</v>
      </c>
      <c r="D51" s="83">
        <f t="shared" si="9"/>
        <v>42463</v>
      </c>
      <c r="E51" s="83">
        <f t="shared" si="9"/>
        <v>42494</v>
      </c>
      <c r="F51" s="83">
        <f t="shared" si="9"/>
        <v>42525</v>
      </c>
      <c r="G51" s="83">
        <f t="shared" si="9"/>
        <v>42556</v>
      </c>
      <c r="H51" s="83">
        <f t="shared" si="9"/>
        <v>42587</v>
      </c>
      <c r="I51" s="83">
        <f t="shared" si="9"/>
        <v>42618</v>
      </c>
      <c r="J51" s="83">
        <f t="shared" si="9"/>
        <v>42649</v>
      </c>
      <c r="K51" s="83">
        <f t="shared" si="9"/>
        <v>42680</v>
      </c>
      <c r="L51" s="83">
        <f t="shared" si="9"/>
        <v>42711</v>
      </c>
      <c r="M51" s="228"/>
      <c r="N51" s="231"/>
      <c r="O51" s="231"/>
    </row>
    <row r="52" spans="1:15" ht="12.75">
      <c r="A52" s="449">
        <f>A36</f>
        <v>1</v>
      </c>
      <c r="B52" s="449">
        <f t="shared" si="9"/>
        <v>1</v>
      </c>
      <c r="C52" s="449">
        <f t="shared" si="9"/>
        <v>1</v>
      </c>
      <c r="D52" s="449">
        <f t="shared" si="9"/>
        <v>1</v>
      </c>
      <c r="E52" s="449">
        <f t="shared" si="9"/>
        <v>1</v>
      </c>
      <c r="F52" s="449">
        <f t="shared" si="9"/>
        <v>1</v>
      </c>
      <c r="G52" s="449">
        <f t="shared" si="9"/>
        <v>1</v>
      </c>
      <c r="H52" s="449">
        <f t="shared" si="9"/>
        <v>1</v>
      </c>
      <c r="I52" s="449">
        <f t="shared" si="9"/>
        <v>1</v>
      </c>
      <c r="J52" s="449">
        <f t="shared" si="9"/>
        <v>1</v>
      </c>
      <c r="K52" s="449">
        <f t="shared" si="9"/>
        <v>1</v>
      </c>
      <c r="L52" s="449">
        <f t="shared" si="9"/>
        <v>1</v>
      </c>
      <c r="M52" s="228">
        <f>12-(COUNTIF(A52:L52,0))</f>
        <v>12</v>
      </c>
      <c r="N52" s="231"/>
      <c r="O52" s="231"/>
    </row>
    <row r="53" spans="1:15" ht="12.75">
      <c r="A53" s="81">
        <f t="shared" ref="A53:L53" si="10">A54/$N54</f>
        <v>8.3333333333333329E-2</v>
      </c>
      <c r="B53" s="81">
        <f t="shared" si="10"/>
        <v>8.3333333333333329E-2</v>
      </c>
      <c r="C53" s="81">
        <f t="shared" si="10"/>
        <v>8.3333333333333329E-2</v>
      </c>
      <c r="D53" s="81">
        <f t="shared" si="10"/>
        <v>8.3333333333333329E-2</v>
      </c>
      <c r="E53" s="81">
        <f t="shared" si="10"/>
        <v>8.3333333333333329E-2</v>
      </c>
      <c r="F53" s="81">
        <f t="shared" si="10"/>
        <v>8.3333333333333329E-2</v>
      </c>
      <c r="G53" s="81">
        <f t="shared" si="10"/>
        <v>8.3333333333333329E-2</v>
      </c>
      <c r="H53" s="81">
        <f t="shared" si="10"/>
        <v>8.3333333333333329E-2</v>
      </c>
      <c r="I53" s="81">
        <f t="shared" si="10"/>
        <v>8.3333333333333329E-2</v>
      </c>
      <c r="J53" s="81">
        <f t="shared" si="10"/>
        <v>8.3333333333333329E-2</v>
      </c>
      <c r="K53" s="81">
        <f t="shared" si="10"/>
        <v>8.3333333333333329E-2</v>
      </c>
      <c r="L53" s="81">
        <f t="shared" si="10"/>
        <v>8.3333333333333329E-2</v>
      </c>
      <c r="M53" s="232">
        <f>SUM(A53:L53)</f>
        <v>1</v>
      </c>
      <c r="N53" s="228"/>
      <c r="O53" s="228"/>
    </row>
    <row r="54" spans="1:15" ht="12.75">
      <c r="A54" s="82">
        <f>A$36*$O54</f>
        <v>3340</v>
      </c>
      <c r="B54" s="82">
        <f t="shared" ref="B54:L54" si="11">B52*$O54</f>
        <v>3340</v>
      </c>
      <c r="C54" s="82">
        <f t="shared" si="11"/>
        <v>3340</v>
      </c>
      <c r="D54" s="82">
        <f t="shared" si="11"/>
        <v>3340</v>
      </c>
      <c r="E54" s="82">
        <f t="shared" si="11"/>
        <v>3340</v>
      </c>
      <c r="F54" s="82">
        <f t="shared" si="11"/>
        <v>3340</v>
      </c>
      <c r="G54" s="82">
        <f t="shared" si="11"/>
        <v>3340</v>
      </c>
      <c r="H54" s="82">
        <f t="shared" si="11"/>
        <v>3340</v>
      </c>
      <c r="I54" s="82">
        <f t="shared" si="11"/>
        <v>3340</v>
      </c>
      <c r="J54" s="82">
        <f t="shared" si="11"/>
        <v>3340</v>
      </c>
      <c r="K54" s="82">
        <f t="shared" si="11"/>
        <v>3340</v>
      </c>
      <c r="L54" s="82">
        <f t="shared" si="11"/>
        <v>3340</v>
      </c>
      <c r="M54" s="230">
        <f>SUM(A54:L54)</f>
        <v>40080</v>
      </c>
      <c r="N54" s="230">
        <f>'1. Sales Forecast'!D62</f>
        <v>40080</v>
      </c>
      <c r="O54" s="230">
        <f>N54/(M$28+M$36)</f>
        <v>3340</v>
      </c>
    </row>
    <row r="55" spans="1:15" ht="12.75">
      <c r="A55" s="82">
        <f>A$36*$O55</f>
        <v>701.4</v>
      </c>
      <c r="B55" s="82">
        <f t="shared" ref="B55:L55" si="12">B$36*$O55</f>
        <v>701.4</v>
      </c>
      <c r="C55" s="82">
        <f t="shared" si="12"/>
        <v>701.4</v>
      </c>
      <c r="D55" s="82">
        <f t="shared" si="12"/>
        <v>701.4</v>
      </c>
      <c r="E55" s="82">
        <f t="shared" si="12"/>
        <v>701.4</v>
      </c>
      <c r="F55" s="82">
        <f t="shared" si="12"/>
        <v>701.4</v>
      </c>
      <c r="G55" s="82">
        <f t="shared" si="12"/>
        <v>701.4</v>
      </c>
      <c r="H55" s="82">
        <f t="shared" si="12"/>
        <v>701.4</v>
      </c>
      <c r="I55" s="82">
        <f t="shared" si="12"/>
        <v>701.4</v>
      </c>
      <c r="J55" s="82">
        <f t="shared" si="12"/>
        <v>701.4</v>
      </c>
      <c r="K55" s="82">
        <f t="shared" si="12"/>
        <v>701.4</v>
      </c>
      <c r="L55" s="82">
        <f t="shared" si="12"/>
        <v>701.4</v>
      </c>
      <c r="M55" s="230">
        <f>SUM(A55:L55)</f>
        <v>8416.7999999999975</v>
      </c>
      <c r="N55" s="230">
        <f>'1. Sales Forecast'!D74</f>
        <v>8416.7999999999993</v>
      </c>
      <c r="O55" s="230">
        <f>N55/(M$28+M$36)</f>
        <v>701.4</v>
      </c>
    </row>
    <row r="56" spans="1:15" ht="12.75">
      <c r="A56" s="84">
        <f t="shared" ref="A56:L57" si="13">A54/$N54</f>
        <v>8.3333333333333329E-2</v>
      </c>
      <c r="B56" s="84">
        <f t="shared" si="13"/>
        <v>8.3333333333333329E-2</v>
      </c>
      <c r="C56" s="84">
        <f t="shared" si="13"/>
        <v>8.3333333333333329E-2</v>
      </c>
      <c r="D56" s="84">
        <f t="shared" si="13"/>
        <v>8.3333333333333329E-2</v>
      </c>
      <c r="E56" s="84">
        <f t="shared" si="13"/>
        <v>8.3333333333333329E-2</v>
      </c>
      <c r="F56" s="84">
        <f t="shared" si="13"/>
        <v>8.3333333333333329E-2</v>
      </c>
      <c r="G56" s="84">
        <f t="shared" si="13"/>
        <v>8.3333333333333329E-2</v>
      </c>
      <c r="H56" s="84">
        <f t="shared" si="13"/>
        <v>8.3333333333333329E-2</v>
      </c>
      <c r="I56" s="84">
        <f t="shared" si="13"/>
        <v>8.3333333333333329E-2</v>
      </c>
      <c r="J56" s="84">
        <f t="shared" si="13"/>
        <v>8.3333333333333329E-2</v>
      </c>
      <c r="K56" s="84">
        <f t="shared" si="13"/>
        <v>8.3333333333333329E-2</v>
      </c>
      <c r="L56" s="84">
        <f t="shared" si="13"/>
        <v>8.3333333333333329E-2</v>
      </c>
      <c r="M56" s="232">
        <f>SUM(A56:L56)</f>
        <v>1</v>
      </c>
      <c r="N56" s="228"/>
      <c r="O56" s="228"/>
    </row>
    <row r="57" spans="1:15" ht="12.75">
      <c r="A57" s="84">
        <f t="shared" si="13"/>
        <v>8.3333333333333343E-2</v>
      </c>
      <c r="B57" s="84">
        <f t="shared" si="13"/>
        <v>8.3333333333333343E-2</v>
      </c>
      <c r="C57" s="84">
        <f t="shared" si="13"/>
        <v>8.3333333333333343E-2</v>
      </c>
      <c r="D57" s="84">
        <f t="shared" si="13"/>
        <v>8.3333333333333343E-2</v>
      </c>
      <c r="E57" s="84">
        <f t="shared" si="13"/>
        <v>8.3333333333333343E-2</v>
      </c>
      <c r="F57" s="84">
        <f t="shared" si="13"/>
        <v>8.3333333333333343E-2</v>
      </c>
      <c r="G57" s="84">
        <f t="shared" si="13"/>
        <v>8.3333333333333343E-2</v>
      </c>
      <c r="H57" s="84">
        <f t="shared" si="13"/>
        <v>8.3333333333333343E-2</v>
      </c>
      <c r="I57" s="84">
        <f t="shared" si="13"/>
        <v>8.3333333333333343E-2</v>
      </c>
      <c r="J57" s="84">
        <f t="shared" si="13"/>
        <v>8.3333333333333343E-2</v>
      </c>
      <c r="K57" s="84">
        <f t="shared" si="13"/>
        <v>8.3333333333333343E-2</v>
      </c>
      <c r="L57" s="84">
        <f t="shared" si="13"/>
        <v>8.3333333333333343E-2</v>
      </c>
      <c r="M57" s="79">
        <f>SUM(A57:L57)</f>
        <v>1.0000000000000002</v>
      </c>
    </row>
    <row r="58" spans="1:15" ht="12.75" customHeight="1">
      <c r="A58" s="89"/>
      <c r="B58" s="89"/>
      <c r="C58" s="89"/>
      <c r="D58" s="89"/>
      <c r="E58" s="89"/>
      <c r="F58" s="89"/>
      <c r="G58" s="89"/>
      <c r="H58" s="89"/>
      <c r="I58" s="89"/>
      <c r="J58" s="89"/>
      <c r="K58" s="89"/>
      <c r="L58" s="89"/>
      <c r="M58" s="89"/>
      <c r="N58" s="90"/>
      <c r="O58" s="90"/>
    </row>
    <row r="59" spans="1:15" ht="12.75" customHeight="1">
      <c r="A59" s="86"/>
      <c r="B59" s="86"/>
      <c r="C59" s="86"/>
      <c r="D59" s="86"/>
      <c r="E59" s="86"/>
      <c r="F59" s="86"/>
      <c r="G59" s="86"/>
      <c r="H59" s="86"/>
      <c r="I59" s="86"/>
      <c r="J59" s="86"/>
      <c r="K59" s="86"/>
      <c r="L59" s="86"/>
      <c r="O59" s="380"/>
    </row>
    <row r="60" spans="1:15" ht="12.75" customHeight="1">
      <c r="A60" s="84"/>
      <c r="B60" s="84"/>
      <c r="C60" s="84"/>
      <c r="D60" s="84"/>
      <c r="E60" s="84"/>
      <c r="F60" s="84"/>
      <c r="G60" s="84"/>
      <c r="H60" s="84"/>
      <c r="I60" s="84"/>
      <c r="J60" s="84"/>
      <c r="K60" s="84"/>
      <c r="L60" s="84"/>
      <c r="M60" s="79"/>
    </row>
    <row r="61" spans="1:15" ht="12.75" customHeight="1">
      <c r="A61" s="78"/>
      <c r="B61" s="78"/>
      <c r="C61" s="78"/>
      <c r="D61" s="78"/>
      <c r="E61" s="78"/>
      <c r="F61" s="78"/>
      <c r="G61" s="78"/>
      <c r="H61" s="78"/>
      <c r="I61" s="78"/>
      <c r="J61" s="78"/>
      <c r="K61" s="78"/>
      <c r="L61" s="78"/>
      <c r="M61" s="87"/>
    </row>
    <row r="62" spans="1:15" ht="12.75" customHeight="1">
      <c r="A62" s="228">
        <v>1</v>
      </c>
      <c r="B62" s="228">
        <v>2</v>
      </c>
      <c r="C62" s="228">
        <v>3</v>
      </c>
      <c r="D62" s="228">
        <v>4</v>
      </c>
      <c r="E62" s="228">
        <v>5</v>
      </c>
      <c r="F62" s="228">
        <v>6</v>
      </c>
      <c r="G62" s="228">
        <v>7</v>
      </c>
      <c r="H62" s="228">
        <v>8</v>
      </c>
      <c r="I62" s="228">
        <v>9</v>
      </c>
      <c r="J62" s="228">
        <v>10</v>
      </c>
      <c r="K62" s="228">
        <v>11</v>
      </c>
      <c r="L62" s="228">
        <v>12</v>
      </c>
      <c r="M62" s="228"/>
    </row>
    <row r="63" spans="1:15" ht="12.75" customHeight="1">
      <c r="A63" s="228">
        <f t="shared" ref="A63:L63" si="14">IF($I$11=0, 1,IF($I$11&gt;A62,A62/$I$11,1))</f>
        <v>0.5</v>
      </c>
      <c r="B63" s="228">
        <f t="shared" si="14"/>
        <v>1</v>
      </c>
      <c r="C63" s="228">
        <f t="shared" si="14"/>
        <v>1</v>
      </c>
      <c r="D63" s="228">
        <f t="shared" si="14"/>
        <v>1</v>
      </c>
      <c r="E63" s="228">
        <f t="shared" si="14"/>
        <v>1</v>
      </c>
      <c r="F63" s="228">
        <f t="shared" si="14"/>
        <v>1</v>
      </c>
      <c r="G63" s="228">
        <f t="shared" si="14"/>
        <v>1</v>
      </c>
      <c r="H63" s="228">
        <f t="shared" si="14"/>
        <v>1</v>
      </c>
      <c r="I63" s="228">
        <f t="shared" si="14"/>
        <v>1</v>
      </c>
      <c r="J63" s="228">
        <f t="shared" si="14"/>
        <v>1</v>
      </c>
      <c r="K63" s="228">
        <f t="shared" si="14"/>
        <v>1</v>
      </c>
      <c r="L63" s="228">
        <f t="shared" si="14"/>
        <v>1</v>
      </c>
      <c r="M63" s="228"/>
    </row>
    <row r="64" spans="1:15" ht="12.75" customHeight="1">
      <c r="A64" s="229">
        <f>A63*A54</f>
        <v>1670</v>
      </c>
      <c r="B64" s="229">
        <f t="shared" ref="B64:L64" si="15">B63*B54</f>
        <v>3340</v>
      </c>
      <c r="C64" s="229">
        <f t="shared" si="15"/>
        <v>3340</v>
      </c>
      <c r="D64" s="229">
        <f t="shared" si="15"/>
        <v>3340</v>
      </c>
      <c r="E64" s="229">
        <f t="shared" si="15"/>
        <v>3340</v>
      </c>
      <c r="F64" s="229">
        <f t="shared" si="15"/>
        <v>3340</v>
      </c>
      <c r="G64" s="229">
        <f t="shared" si="15"/>
        <v>3340</v>
      </c>
      <c r="H64" s="229">
        <f t="shared" si="15"/>
        <v>3340</v>
      </c>
      <c r="I64" s="229">
        <f t="shared" si="15"/>
        <v>3340</v>
      </c>
      <c r="J64" s="229">
        <f t="shared" si="15"/>
        <v>3340</v>
      </c>
      <c r="K64" s="229">
        <f t="shared" si="15"/>
        <v>3340</v>
      </c>
      <c r="L64" s="229">
        <f t="shared" si="15"/>
        <v>3340</v>
      </c>
      <c r="M64" s="230">
        <f>SUM(A64:L64)</f>
        <v>38410</v>
      </c>
    </row>
    <row r="65" spans="1:13" ht="12" customHeight="1">
      <c r="A65" s="229">
        <f>A63*A55</f>
        <v>350.7</v>
      </c>
      <c r="B65" s="229">
        <f t="shared" ref="B65:L65" si="16">B63*B55</f>
        <v>701.4</v>
      </c>
      <c r="C65" s="229">
        <f t="shared" si="16"/>
        <v>701.4</v>
      </c>
      <c r="D65" s="229">
        <f t="shared" si="16"/>
        <v>701.4</v>
      </c>
      <c r="E65" s="229">
        <f t="shared" si="16"/>
        <v>701.4</v>
      </c>
      <c r="F65" s="229">
        <f t="shared" si="16"/>
        <v>701.4</v>
      </c>
      <c r="G65" s="229">
        <f t="shared" si="16"/>
        <v>701.4</v>
      </c>
      <c r="H65" s="229">
        <f t="shared" si="16"/>
        <v>701.4</v>
      </c>
      <c r="I65" s="229">
        <f t="shared" si="16"/>
        <v>701.4</v>
      </c>
      <c r="J65" s="229">
        <f t="shared" si="16"/>
        <v>701.4</v>
      </c>
      <c r="K65" s="229">
        <f t="shared" si="16"/>
        <v>701.4</v>
      </c>
      <c r="L65" s="229">
        <f t="shared" si="16"/>
        <v>701.4</v>
      </c>
      <c r="M65" s="230">
        <f>SUM(A65:L65)</f>
        <v>8066.0999999999985</v>
      </c>
    </row>
    <row r="67" spans="1:13" ht="12" customHeight="1">
      <c r="A67" s="241"/>
      <c r="B67" s="241"/>
      <c r="C67" s="241"/>
      <c r="D67" s="241"/>
      <c r="E67" s="241"/>
      <c r="F67" s="241"/>
      <c r="G67" s="241"/>
      <c r="H67" s="241"/>
      <c r="I67" s="241"/>
      <c r="J67" s="241"/>
      <c r="K67" s="241"/>
      <c r="L67" s="241"/>
    </row>
  </sheetData>
  <mergeCells count="1">
    <mergeCell ref="A13:L13"/>
  </mergeCells>
  <phoneticPr fontId="10" type="noConversion"/>
  <conditionalFormatting sqref="M37">
    <cfRule type="cellIs" dxfId="51" priority="2" stopIfTrue="1" operator="notEqual">
      <formula>1</formula>
    </cfRule>
  </conditionalFormatting>
  <conditionalFormatting sqref="M53">
    <cfRule type="cellIs" dxfId="50" priority="1" stopIfTrue="1" operator="notEqual">
      <formula>1</formula>
    </cfRule>
  </conditionalFormatting>
  <pageMargins left="0.24" right="0.24" top="0.42" bottom="0.22" header="0.17" footer="0.17"/>
  <pageSetup scale="99" orientation="portrait" r:id="rId1"/>
  <headerFooter alignWithMargins="0">
    <oddHeader>&amp;LTab 6: Sales Seasonailty Assumptions&amp;CRapid Business Plan</oddHeader>
    <oddFooter>&amp;L&amp;D&amp;CHeartland Information Research, Inc&amp;R7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1">
              <controlPr defaultSize="0" print="0" autoFill="0" autoPict="0" macro="[0]!printassumptions">
                <anchor>
                  <from>
                    <xdr:col>9</xdr:col>
                    <xdr:colOff>457200</xdr:colOff>
                    <xdr:row>0</xdr:row>
                    <xdr:rowOff>57150</xdr:rowOff>
                  </from>
                  <to>
                    <xdr:col>11</xdr:col>
                    <xdr:colOff>257175</xdr:colOff>
                    <xdr:row>3</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3"/>
  <sheetViews>
    <sheetView showGridLines="0" topLeftCell="A4" zoomScaleNormal="100" workbookViewId="0">
      <selection activeCell="C7" sqref="C7:C8"/>
    </sheetView>
  </sheetViews>
  <sheetFormatPr defaultColWidth="0" defaultRowHeight="12.75" customHeight="1" zeroHeight="1"/>
  <cols>
    <col min="1" max="1" width="24.140625" customWidth="1"/>
    <col min="2" max="2" width="10.5703125" customWidth="1"/>
    <col min="3" max="3" width="11.28515625" customWidth="1"/>
    <col min="4" max="4" width="12.140625" customWidth="1"/>
    <col min="5" max="5" width="11.28515625" customWidth="1"/>
    <col min="6" max="6" width="11" customWidth="1"/>
    <col min="7" max="7" width="12.7109375" customWidth="1"/>
    <col min="8" max="16384" width="18.7109375" hidden="1"/>
  </cols>
  <sheetData>
    <row r="1" spans="1:7">
      <c r="A1" s="741" t="str">
        <f>'0. Basic Info'!D11</f>
        <v>ACME 5 Year</v>
      </c>
      <c r="B1" s="741"/>
      <c r="C1" s="741"/>
    </row>
    <row r="2" spans="1:7"/>
    <row r="3" spans="1:7">
      <c r="A3" s="29" t="s">
        <v>54</v>
      </c>
      <c r="B3" s="30"/>
      <c r="C3" s="31"/>
      <c r="D3" s="31"/>
      <c r="E3" s="31"/>
      <c r="F3" s="31"/>
      <c r="G3" s="31"/>
    </row>
    <row r="4" spans="1:7">
      <c r="A4" s="25"/>
      <c r="B4" s="30"/>
      <c r="C4" s="31"/>
      <c r="D4" s="31"/>
      <c r="E4" s="31"/>
      <c r="F4" s="31"/>
      <c r="G4" s="31"/>
    </row>
    <row r="5" spans="1:7">
      <c r="A5" s="95" t="s">
        <v>92</v>
      </c>
      <c r="B5" s="488"/>
      <c r="C5" s="155" t="s">
        <v>10</v>
      </c>
      <c r="D5" s="52" t="s">
        <v>311</v>
      </c>
      <c r="E5" s="52" t="s">
        <v>312</v>
      </c>
      <c r="F5" s="31"/>
      <c r="G5" s="31"/>
    </row>
    <row r="6" spans="1:7">
      <c r="A6" s="161" t="s">
        <v>17</v>
      </c>
      <c r="B6" s="493"/>
      <c r="C6" s="494">
        <f>'3. Startup Costs'!F3</f>
        <v>760</v>
      </c>
      <c r="D6" s="494">
        <f>'3. Startup Costs'!G3</f>
        <v>460</v>
      </c>
      <c r="E6" s="494">
        <f>C6-D6</f>
        <v>300</v>
      </c>
      <c r="F6" s="31"/>
      <c r="G6" s="31"/>
    </row>
    <row r="7" spans="1:7">
      <c r="A7" s="161" t="s">
        <v>31</v>
      </c>
      <c r="B7" s="495"/>
      <c r="C7" s="496">
        <f>'4. Equipment &amp; Vehicle Costs'!F4</f>
        <v>1744</v>
      </c>
      <c r="D7" s="496">
        <f>'4. Equipment &amp; Vehicle Costs'!G4</f>
        <v>1150</v>
      </c>
      <c r="E7" s="496">
        <f t="shared" ref="E7:E11" si="0">C7-D7</f>
        <v>594</v>
      </c>
      <c r="F7" s="31"/>
      <c r="G7" s="31"/>
    </row>
    <row r="8" spans="1:7">
      <c r="A8" s="161" t="s">
        <v>18</v>
      </c>
      <c r="B8" s="495"/>
      <c r="C8" s="496">
        <f>'5. Facility Costs'!F4</f>
        <v>735.7</v>
      </c>
      <c r="D8" s="496">
        <v>0</v>
      </c>
      <c r="E8" s="496">
        <v>0</v>
      </c>
      <c r="F8" s="31"/>
      <c r="G8" s="31"/>
    </row>
    <row r="9" spans="1:7">
      <c r="A9" s="674" t="s">
        <v>328</v>
      </c>
      <c r="B9" s="675"/>
      <c r="C9" s="496">
        <f>D9</f>
        <v>0</v>
      </c>
      <c r="D9" s="496">
        <f>C18</f>
        <v>0</v>
      </c>
      <c r="E9" s="676"/>
      <c r="F9" s="31"/>
      <c r="G9" s="31"/>
    </row>
    <row r="10" spans="1:7" ht="13.5" thickBot="1">
      <c r="A10" s="162" t="s">
        <v>314</v>
      </c>
      <c r="B10" s="497">
        <v>3</v>
      </c>
      <c r="C10" s="498">
        <f>IF(B10=0,0,('8. P&amp;L and Cashflow'!P53/12*B10)-('8. P&amp;L and Cashflow'!P51/12))</f>
        <v>6455.5232539682547</v>
      </c>
      <c r="D10" s="498"/>
      <c r="E10" s="498">
        <f t="shared" si="0"/>
        <v>6455.5232539682547</v>
      </c>
      <c r="F10" s="31"/>
      <c r="G10" s="31"/>
    </row>
    <row r="11" spans="1:7">
      <c r="A11" s="490" t="s">
        <v>22</v>
      </c>
      <c r="B11" s="499"/>
      <c r="C11" s="500">
        <f>ROUND(SUM(C6:C10),0)</f>
        <v>9695</v>
      </c>
      <c r="D11" s="500">
        <f>ROUND(SUM(D6:D10),0)</f>
        <v>1610</v>
      </c>
      <c r="E11" s="500">
        <f t="shared" si="0"/>
        <v>8085</v>
      </c>
      <c r="F11" s="31"/>
      <c r="G11" s="31"/>
    </row>
    <row r="12" spans="1:7">
      <c r="A12" s="44"/>
      <c r="B12" s="30"/>
      <c r="C12" s="38"/>
      <c r="D12" s="31"/>
      <c r="E12" s="31"/>
      <c r="F12" s="31"/>
      <c r="G12" s="31"/>
    </row>
    <row r="13" spans="1:7">
      <c r="A13" s="94" t="s">
        <v>23</v>
      </c>
      <c r="B13" s="491" t="s">
        <v>24</v>
      </c>
      <c r="C13" s="492" t="s">
        <v>25</v>
      </c>
      <c r="D13" s="155"/>
      <c r="E13" s="44"/>
      <c r="F13" s="39"/>
      <c r="G13" s="39"/>
    </row>
    <row r="14" spans="1:7">
      <c r="A14" s="160" t="s">
        <v>39</v>
      </c>
      <c r="B14" s="501">
        <f>C14/C$24</f>
        <v>0</v>
      </c>
      <c r="C14" s="502">
        <v>0</v>
      </c>
      <c r="D14" s="31"/>
      <c r="E14" s="31"/>
      <c r="F14" s="31"/>
      <c r="G14" s="31"/>
    </row>
    <row r="15" spans="1:7">
      <c r="A15" s="160" t="s">
        <v>32</v>
      </c>
      <c r="B15" s="501">
        <f t="shared" ref="B15:B23" si="1">C15/C$24</f>
        <v>9.3501636278634878E-2</v>
      </c>
      <c r="C15" s="502">
        <v>1000</v>
      </c>
      <c r="E15" s="31"/>
      <c r="F15" s="31"/>
      <c r="G15" s="31"/>
    </row>
    <row r="16" spans="1:7">
      <c r="A16" s="160" t="s">
        <v>33</v>
      </c>
      <c r="B16" s="501">
        <f t="shared" si="1"/>
        <v>0.15053763440860216</v>
      </c>
      <c r="C16" s="503">
        <f>D11</f>
        <v>1610</v>
      </c>
      <c r="D16" s="31"/>
      <c r="E16" s="31"/>
      <c r="F16" s="158" t="s">
        <v>40</v>
      </c>
      <c r="G16" s="156" t="s">
        <v>40</v>
      </c>
    </row>
    <row r="17" spans="1:7">
      <c r="A17" s="160" t="s">
        <v>310</v>
      </c>
      <c r="B17" s="501">
        <f t="shared" si="1"/>
        <v>0</v>
      </c>
      <c r="C17" s="502">
        <v>0</v>
      </c>
      <c r="D17" s="155" t="s">
        <v>26</v>
      </c>
      <c r="E17" s="252" t="s">
        <v>27</v>
      </c>
      <c r="F17" s="159" t="s">
        <v>59</v>
      </c>
      <c r="G17" s="157" t="s">
        <v>3</v>
      </c>
    </row>
    <row r="18" spans="1:7">
      <c r="A18" s="160" t="s">
        <v>331</v>
      </c>
      <c r="B18" s="501">
        <f t="shared" si="1"/>
        <v>0</v>
      </c>
      <c r="C18" s="502"/>
      <c r="D18" s="491">
        <f>D19</f>
        <v>0.15</v>
      </c>
      <c r="E18" s="673" t="s">
        <v>126</v>
      </c>
      <c r="F18" s="673" t="s">
        <v>126</v>
      </c>
      <c r="G18" s="673" t="s">
        <v>126</v>
      </c>
    </row>
    <row r="19" spans="1:7">
      <c r="A19" s="160" t="s">
        <v>325</v>
      </c>
      <c r="B19" s="501">
        <f t="shared" si="1"/>
        <v>0</v>
      </c>
      <c r="C19" s="502"/>
      <c r="D19" s="504">
        <v>0.15</v>
      </c>
      <c r="E19" s="673" t="s">
        <v>126</v>
      </c>
      <c r="F19" s="673" t="s">
        <v>126</v>
      </c>
      <c r="G19" s="673" t="s">
        <v>126</v>
      </c>
    </row>
    <row r="20" spans="1:7">
      <c r="A20" s="160"/>
      <c r="B20" s="501"/>
      <c r="C20" s="502"/>
      <c r="D20" s="504"/>
      <c r="E20" s="673"/>
      <c r="F20" s="673"/>
      <c r="G20" s="673"/>
    </row>
    <row r="21" spans="1:7">
      <c r="A21" s="160"/>
      <c r="B21" s="501"/>
      <c r="C21" s="502"/>
      <c r="D21" s="504"/>
      <c r="E21" s="673"/>
      <c r="F21" s="673"/>
      <c r="G21" s="673"/>
    </row>
    <row r="22" spans="1:7">
      <c r="A22" s="505" t="s">
        <v>326</v>
      </c>
      <c r="B22" s="501">
        <f t="shared" si="1"/>
        <v>0.75596072931276292</v>
      </c>
      <c r="C22" s="502">
        <v>8085</v>
      </c>
      <c r="D22" s="504">
        <v>6.5000000000000002E-2</v>
      </c>
      <c r="E22" s="506">
        <v>3</v>
      </c>
      <c r="F22" s="85">
        <f>PMT(D22/12,E22*12,C22)*-1</f>
        <v>247.79718825658162</v>
      </c>
      <c r="G22" s="85">
        <f>IPMT(D22/12,1,E22*12,C22)*-1</f>
        <v>43.793750000000003</v>
      </c>
    </row>
    <row r="23" spans="1:7" ht="13.5" thickBot="1">
      <c r="A23" s="662" t="s">
        <v>327</v>
      </c>
      <c r="B23" s="663">
        <f t="shared" si="1"/>
        <v>0</v>
      </c>
      <c r="C23" s="664">
        <v>0</v>
      </c>
      <c r="D23" s="504">
        <v>0.05</v>
      </c>
      <c r="E23" s="506">
        <v>10</v>
      </c>
      <c r="F23" s="85">
        <f>PMT(D23/12,E23*12,C23)*-1</f>
        <v>0</v>
      </c>
      <c r="G23" s="85">
        <f>IPMT(D23/12,1,E23*12,C23)*-1</f>
        <v>0</v>
      </c>
    </row>
    <row r="24" spans="1:7">
      <c r="A24" s="744" t="s">
        <v>315</v>
      </c>
      <c r="B24" s="745"/>
      <c r="C24" s="667">
        <f>ROUND(SUM(C14:C23),0)</f>
        <v>10695</v>
      </c>
      <c r="D24" s="31"/>
      <c r="E24" s="31"/>
      <c r="F24" s="31"/>
      <c r="G24" s="31"/>
    </row>
    <row r="25" spans="1:7" ht="13.5" thickBot="1">
      <c r="A25" s="742" t="s">
        <v>22</v>
      </c>
      <c r="B25" s="743"/>
      <c r="C25" s="668">
        <f>C11</f>
        <v>9695</v>
      </c>
      <c r="D25" s="31"/>
      <c r="E25" s="31"/>
      <c r="F25" s="31"/>
      <c r="G25" s="31"/>
    </row>
    <row r="26" spans="1:7" ht="13.5" thickBot="1">
      <c r="A26" s="670"/>
      <c r="B26" s="671" t="str">
        <f>IF(C26&lt;0,"Additional Funding Required","Surplus of Funding")</f>
        <v>Surplus of Funding</v>
      </c>
      <c r="C26" s="672">
        <f>C24-C25</f>
        <v>1000</v>
      </c>
      <c r="D26" s="31"/>
      <c r="E26" s="31"/>
      <c r="F26" s="31"/>
      <c r="G26" s="31"/>
    </row>
    <row r="27" spans="1:7">
      <c r="A27" s="669"/>
      <c r="B27" s="665" t="s">
        <v>329</v>
      </c>
      <c r="C27" s="666">
        <f>IF(C26&gt;=0,C26+C10,0)</f>
        <v>7455.5232539682547</v>
      </c>
      <c r="D27" s="489"/>
      <c r="E27" s="31"/>
      <c r="F27" s="31"/>
      <c r="G27" s="31"/>
    </row>
    <row r="28" spans="1:7">
      <c r="A28" s="44"/>
      <c r="B28" s="660"/>
      <c r="C28" s="661"/>
      <c r="D28" s="489"/>
      <c r="E28" s="31"/>
      <c r="F28" s="31"/>
      <c r="G28" s="31"/>
    </row>
    <row r="29" spans="1:7">
      <c r="C29" s="122"/>
      <c r="D29" s="9"/>
      <c r="G29" s="31"/>
    </row>
    <row r="30" spans="1:7" ht="13.5" thickBot="1">
      <c r="A30" s="41" t="s">
        <v>88</v>
      </c>
      <c r="B30" s="28">
        <f>'0. Basic Info'!D16</f>
        <v>2016</v>
      </c>
      <c r="C30" s="121"/>
      <c r="D30" s="108"/>
    </row>
    <row r="31" spans="1:7">
      <c r="A31" s="92" t="s">
        <v>89</v>
      </c>
      <c r="B31" s="93">
        <f>'8. P&amp;L and Cashflow'!P68+'8. P&amp;L and Cashflow'!P70</f>
        <v>3200</v>
      </c>
      <c r="C31" s="119"/>
      <c r="D31" s="120"/>
    </row>
    <row r="32" spans="1:7">
      <c r="A32" s="91" t="s">
        <v>90</v>
      </c>
      <c r="B32" s="5">
        <f>'8. P&amp;L and Cashflow'!P74+'8. P&amp;L and Cashflow'!P75</f>
        <v>600</v>
      </c>
      <c r="C32" s="119"/>
      <c r="D32" s="120"/>
    </row>
    <row r="33" spans="1:4">
      <c r="A33" s="3" t="s">
        <v>91</v>
      </c>
      <c r="B33" s="5">
        <f>'8. P&amp;L and Cashflow'!C75</f>
        <v>600</v>
      </c>
      <c r="C33" s="119"/>
      <c r="D33" s="120"/>
    </row>
  </sheetData>
  <mergeCells count="3">
    <mergeCell ref="A1:C1"/>
    <mergeCell ref="A25:B25"/>
    <mergeCell ref="A24:B24"/>
  </mergeCells>
  <phoneticPr fontId="10" type="noConversion"/>
  <conditionalFormatting sqref="C28">
    <cfRule type="expression" dxfId="49" priority="1">
      <formula>$C$27&lt;0</formula>
    </cfRule>
    <cfRule type="cellIs" dxfId="48" priority="2" operator="equal">
      <formula>0</formula>
    </cfRule>
  </conditionalFormatting>
  <printOptions horizontalCentered="1"/>
  <pageMargins left="0.28000000000000003" right="0.32" top="0.48" bottom="0.75" header="0.3" footer="0.3"/>
  <pageSetup orientation="portrait" r:id="rId1"/>
  <headerFooter>
    <oddHeader>&amp;LTab 7: Funding Plan&amp;CRapid Business Plan</oddHeader>
    <oddFooter>&amp;L&amp;D&amp;CHeartland Information Research, Inc&amp;R8 of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equip">
                <anchor>
                  <from>
                    <xdr:col>5</xdr:col>
                    <xdr:colOff>38100</xdr:colOff>
                    <xdr:row>1</xdr:row>
                    <xdr:rowOff>104775</xdr:rowOff>
                  </from>
                  <to>
                    <xdr:col>6</xdr:col>
                    <xdr:colOff>285750</xdr:colOff>
                    <xdr:row>3</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F80"/>
  <sheetViews>
    <sheetView showGridLines="0" zoomScale="130" zoomScaleNormal="130" workbookViewId="0">
      <pane xSplit="2" ySplit="6" topLeftCell="C7" activePane="bottomRight" state="frozenSplit"/>
      <selection activeCell="A37" sqref="A37"/>
      <selection pane="topRight" activeCell="A37" sqref="A37"/>
      <selection pane="bottomLeft" activeCell="A37" sqref="A37"/>
      <selection pane="bottomRight" activeCell="F78" sqref="F78"/>
    </sheetView>
  </sheetViews>
  <sheetFormatPr defaultColWidth="18.7109375" defaultRowHeight="12" customHeight="1"/>
  <cols>
    <col min="1" max="1" width="5.7109375" style="25" customWidth="1"/>
    <col min="2" max="2" width="20.140625" style="25" customWidth="1"/>
    <col min="3" max="3" width="11.42578125" style="25" customWidth="1"/>
    <col min="4" max="15" width="10.28515625" style="25" customWidth="1"/>
    <col min="16" max="32" width="10.7109375" style="25" customWidth="1"/>
    <col min="33" max="16384" width="18.7109375" style="25"/>
  </cols>
  <sheetData>
    <row r="1" spans="1:32" ht="12.75" customHeight="1">
      <c r="A1" s="746" t="str">
        <f>'0. Basic Info'!D11</f>
        <v>ACME 5 Year</v>
      </c>
      <c r="B1" s="746"/>
      <c r="AC1" s="623"/>
      <c r="AD1" s="623"/>
      <c r="AE1" s="623"/>
      <c r="AF1" s="623"/>
    </row>
    <row r="2" spans="1:32" ht="12.75">
      <c r="A2" s="299"/>
      <c r="B2" s="339" t="s">
        <v>137</v>
      </c>
      <c r="C2" s="214" t="str">
        <f>C6</f>
        <v>Annual</v>
      </c>
      <c r="D2" s="215">
        <f>D6</f>
        <v>42370</v>
      </c>
      <c r="E2" s="215">
        <f t="shared" ref="E2:P2" si="0">E6</f>
        <v>42401</v>
      </c>
      <c r="F2" s="215">
        <f t="shared" si="0"/>
        <v>42432</v>
      </c>
      <c r="G2" s="215">
        <f t="shared" si="0"/>
        <v>42463</v>
      </c>
      <c r="H2" s="215">
        <f t="shared" si="0"/>
        <v>42494</v>
      </c>
      <c r="I2" s="215">
        <f t="shared" si="0"/>
        <v>42525</v>
      </c>
      <c r="J2" s="215">
        <f t="shared" si="0"/>
        <v>42556</v>
      </c>
      <c r="K2" s="215">
        <f t="shared" si="0"/>
        <v>42587</v>
      </c>
      <c r="L2" s="215">
        <f t="shared" si="0"/>
        <v>42618</v>
      </c>
      <c r="M2" s="215">
        <f t="shared" si="0"/>
        <v>42649</v>
      </c>
      <c r="N2" s="215">
        <f t="shared" si="0"/>
        <v>42680</v>
      </c>
      <c r="O2" s="215">
        <f t="shared" si="0"/>
        <v>42711</v>
      </c>
      <c r="P2" s="399">
        <f t="shared" si="0"/>
        <v>2016</v>
      </c>
      <c r="Q2" s="398">
        <f>Q6</f>
        <v>42736</v>
      </c>
      <c r="R2" s="215">
        <f t="shared" ref="R2:AF2" si="1">R6</f>
        <v>42767</v>
      </c>
      <c r="S2" s="215">
        <f t="shared" si="1"/>
        <v>42795</v>
      </c>
      <c r="T2" s="215">
        <f t="shared" si="1"/>
        <v>42826</v>
      </c>
      <c r="U2" s="215">
        <f t="shared" si="1"/>
        <v>42856</v>
      </c>
      <c r="V2" s="215">
        <f t="shared" si="1"/>
        <v>42887</v>
      </c>
      <c r="W2" s="215">
        <f t="shared" si="1"/>
        <v>42917</v>
      </c>
      <c r="X2" s="215">
        <f t="shared" si="1"/>
        <v>42948</v>
      </c>
      <c r="Y2" s="215">
        <f t="shared" si="1"/>
        <v>42979</v>
      </c>
      <c r="Z2" s="215">
        <f t="shared" si="1"/>
        <v>43009</v>
      </c>
      <c r="AA2" s="215">
        <f t="shared" si="1"/>
        <v>43040</v>
      </c>
      <c r="AB2" s="215">
        <f t="shared" si="1"/>
        <v>43070</v>
      </c>
      <c r="AC2" s="399">
        <f t="shared" si="1"/>
        <v>2017</v>
      </c>
      <c r="AD2" s="399">
        <f t="shared" si="1"/>
        <v>2018</v>
      </c>
      <c r="AE2" s="399">
        <f t="shared" si="1"/>
        <v>2019</v>
      </c>
      <c r="AF2" s="399">
        <f t="shared" si="1"/>
        <v>2020</v>
      </c>
    </row>
    <row r="3" spans="1:32" ht="12.75">
      <c r="A3" s="219"/>
      <c r="B3" s="220" t="s">
        <v>5</v>
      </c>
      <c r="C3" s="216">
        <f>C60</f>
        <v>678.35287668761396</v>
      </c>
      <c r="D3" s="216">
        <f>D60</f>
        <v>-847.04287698412713</v>
      </c>
      <c r="E3" s="216">
        <f t="shared" ref="E3:P3" si="2">E60</f>
        <v>140.53342209169625</v>
      </c>
      <c r="F3" s="216">
        <f t="shared" si="2"/>
        <v>127.65508653702545</v>
      </c>
      <c r="G3" s="216">
        <f t="shared" si="2"/>
        <v>135.47121774075842</v>
      </c>
      <c r="H3" s="216">
        <f t="shared" si="2"/>
        <v>136.51256775329784</v>
      </c>
      <c r="I3" s="216">
        <f t="shared" si="2"/>
        <v>137.55955841173852</v>
      </c>
      <c r="J3" s="216">
        <f t="shared" si="2"/>
        <v>138.6122202695791</v>
      </c>
      <c r="K3" s="216">
        <f t="shared" si="2"/>
        <v>139.67058404581627</v>
      </c>
      <c r="L3" s="216">
        <f t="shared" si="2"/>
        <v>140.73468062584143</v>
      </c>
      <c r="M3" s="216">
        <f t="shared" si="2"/>
        <v>141.80454106234171</v>
      </c>
      <c r="N3" s="216">
        <f t="shared" si="2"/>
        <v>142.88019657620637</v>
      </c>
      <c r="O3" s="216">
        <f t="shared" si="2"/>
        <v>143.96167855743781</v>
      </c>
      <c r="P3" s="401">
        <f t="shared" si="2"/>
        <v>678.35287668761396</v>
      </c>
      <c r="Q3" s="400">
        <f>Q60</f>
        <v>354.69640406194719</v>
      </c>
      <c r="R3" s="216">
        <f t="shared" ref="R3:AF3" si="3">R60</f>
        <v>355.78963382895705</v>
      </c>
      <c r="S3" s="216">
        <f t="shared" si="3"/>
        <v>356.88878525720492</v>
      </c>
      <c r="T3" s="216">
        <f t="shared" si="3"/>
        <v>357.99389042235572</v>
      </c>
      <c r="U3" s="216">
        <f t="shared" si="3"/>
        <v>359.10498157381778</v>
      </c>
      <c r="V3" s="216">
        <f t="shared" si="3"/>
        <v>360.22209113568363</v>
      </c>
      <c r="W3" s="216">
        <f t="shared" si="3"/>
        <v>361.34525170767614</v>
      </c>
      <c r="X3" s="216">
        <f t="shared" si="3"/>
        <v>362.47449606610036</v>
      </c>
      <c r="Y3" s="216">
        <f t="shared" si="3"/>
        <v>363.60985716479939</v>
      </c>
      <c r="Z3" s="216">
        <f t="shared" si="3"/>
        <v>364.75136813611635</v>
      </c>
      <c r="AA3" s="216">
        <f t="shared" si="3"/>
        <v>365.8990622918613</v>
      </c>
      <c r="AB3" s="216">
        <f t="shared" si="3"/>
        <v>367.05297312428314</v>
      </c>
      <c r="AC3" s="401">
        <f t="shared" si="3"/>
        <v>3969.1797012149314</v>
      </c>
      <c r="AD3" s="402">
        <f t="shared" si="3"/>
        <v>6771.7989257317786</v>
      </c>
      <c r="AE3" s="402">
        <f t="shared" si="3"/>
        <v>9747.2156047619119</v>
      </c>
      <c r="AF3" s="402">
        <f t="shared" si="3"/>
        <v>12971.34507976191</v>
      </c>
    </row>
    <row r="4" spans="1:32" ht="12.75">
      <c r="A4" s="217"/>
      <c r="B4" s="218" t="s">
        <v>80</v>
      </c>
      <c r="C4" s="216">
        <f>P4</f>
        <v>10139.23690974085</v>
      </c>
      <c r="D4" s="216">
        <f>D79</f>
        <v>8058.8028117434178</v>
      </c>
      <c r="E4" s="216">
        <f t="shared" ref="E4:P4" si="4">E79</f>
        <v>9219.0769039387687</v>
      </c>
      <c r="F4" s="216">
        <f t="shared" si="4"/>
        <v>10565.361656438014</v>
      </c>
      <c r="G4" s="216">
        <f t="shared" si="4"/>
        <v>10518.345518060456</v>
      </c>
      <c r="H4" s="216">
        <f t="shared" si="4"/>
        <v>10471.247657078633</v>
      </c>
      <c r="I4" s="216">
        <f t="shared" si="4"/>
        <v>10424.067630828438</v>
      </c>
      <c r="J4" s="216">
        <f t="shared" si="4"/>
        <v>10376.804994248001</v>
      </c>
      <c r="K4" s="216">
        <f t="shared" si="4"/>
        <v>10329.4592998647</v>
      </c>
      <c r="L4" s="216">
        <f t="shared" si="4"/>
        <v>10282.030097782103</v>
      </c>
      <c r="M4" s="216">
        <f t="shared" si="4"/>
        <v>10234.516935666838</v>
      </c>
      <c r="N4" s="216">
        <f t="shared" si="4"/>
        <v>10186.919358735393</v>
      </c>
      <c r="O4" s="216">
        <f t="shared" si="4"/>
        <v>10139.23690974085</v>
      </c>
      <c r="P4" s="401">
        <f t="shared" si="4"/>
        <v>10139.23690974085</v>
      </c>
      <c r="Q4" s="400">
        <f>Q79</f>
        <v>10301.116514455412</v>
      </c>
      <c r="R4" s="216">
        <f t="shared" ref="R4:AF4" si="5">R79</f>
        <v>10462.910325169356</v>
      </c>
      <c r="S4" s="216">
        <f t="shared" si="5"/>
        <v>10624.617877165178</v>
      </c>
      <c r="T4" s="216">
        <f t="shared" si="5"/>
        <v>10786.238703208153</v>
      </c>
      <c r="U4" s="216">
        <f t="shared" si="5"/>
        <v>10947.772333532705</v>
      </c>
      <c r="V4" s="216">
        <f t="shared" si="5"/>
        <v>11109.218295828692</v>
      </c>
      <c r="W4" s="216">
        <f t="shared" si="5"/>
        <v>11270.576115227626</v>
      </c>
      <c r="X4" s="216">
        <f t="shared" si="5"/>
        <v>11431.845314288814</v>
      </c>
      <c r="Y4" s="216">
        <f t="shared" si="5"/>
        <v>11593.025412985427</v>
      </c>
      <c r="Z4" s="216">
        <f t="shared" si="5"/>
        <v>11754.115928690491</v>
      </c>
      <c r="AA4" s="216">
        <f t="shared" si="5"/>
        <v>11915.116376162801</v>
      </c>
      <c r="AB4" s="216">
        <f t="shared" si="5"/>
        <v>12076.026267532763</v>
      </c>
      <c r="AC4" s="401">
        <f t="shared" si="5"/>
        <v>12076.026267532759</v>
      </c>
      <c r="AD4" s="402">
        <f t="shared" si="5"/>
        <v>16274.549168618763</v>
      </c>
      <c r="AE4" s="402">
        <f t="shared" si="5"/>
        <v>26319.954297190197</v>
      </c>
      <c r="AF4" s="402">
        <f t="shared" si="5"/>
        <v>39589.488900761629</v>
      </c>
    </row>
    <row r="5" spans="1:32" ht="13.5" thickBot="1">
      <c r="A5" s="10"/>
      <c r="B5" s="189"/>
      <c r="C5" s="138"/>
      <c r="D5" s="138"/>
      <c r="E5" s="138"/>
      <c r="F5" s="138"/>
      <c r="G5" s="138"/>
      <c r="H5" s="138"/>
      <c r="I5" s="138"/>
      <c r="J5" s="138"/>
      <c r="K5" s="138"/>
      <c r="L5" s="138"/>
      <c r="M5" s="138"/>
      <c r="N5" s="138"/>
      <c r="O5" s="138"/>
      <c r="P5" s="403"/>
      <c r="Q5" s="138"/>
      <c r="R5" s="138"/>
      <c r="S5" s="138"/>
      <c r="T5" s="138"/>
      <c r="U5" s="138"/>
      <c r="V5" s="138"/>
      <c r="W5" s="138"/>
      <c r="X5" s="138"/>
      <c r="Y5" s="138"/>
      <c r="Z5" s="138"/>
      <c r="AA5" s="138"/>
      <c r="AB5" s="138"/>
      <c r="AC5" s="403"/>
      <c r="AD5" s="403"/>
      <c r="AE5" s="403"/>
      <c r="AF5" s="403"/>
    </row>
    <row r="6" spans="1:32" ht="13.9" customHeight="1" thickBot="1">
      <c r="B6" s="221" t="s">
        <v>68</v>
      </c>
      <c r="C6" s="325" t="s">
        <v>41</v>
      </c>
      <c r="D6" s="617">
        <f>DATE('0. Basic Info'!D16,'0. Basic Info'!D17,1)</f>
        <v>42370</v>
      </c>
      <c r="E6" s="618">
        <f>D6+31</f>
        <v>42401</v>
      </c>
      <c r="F6" s="618">
        <f>E6+31</f>
        <v>42432</v>
      </c>
      <c r="G6" s="618">
        <f>F6+31</f>
        <v>42463</v>
      </c>
      <c r="H6" s="618">
        <f t="shared" ref="H6:O6" si="6">G6+31</f>
        <v>42494</v>
      </c>
      <c r="I6" s="618">
        <f t="shared" si="6"/>
        <v>42525</v>
      </c>
      <c r="J6" s="618">
        <f t="shared" si="6"/>
        <v>42556</v>
      </c>
      <c r="K6" s="618">
        <f t="shared" si="6"/>
        <v>42587</v>
      </c>
      <c r="L6" s="618">
        <f t="shared" si="6"/>
        <v>42618</v>
      </c>
      <c r="M6" s="618">
        <f t="shared" si="6"/>
        <v>42649</v>
      </c>
      <c r="N6" s="618">
        <f t="shared" si="6"/>
        <v>42680</v>
      </c>
      <c r="O6" s="618">
        <f t="shared" si="6"/>
        <v>42711</v>
      </c>
      <c r="P6" s="620">
        <f>IF('0. Basic Info'!D17=1,'0. Basic Info'!D16,"Year 1")</f>
        <v>2016</v>
      </c>
      <c r="Q6" s="619">
        <f>DATE('0. Basic Info'!$D$16+1,'0. Basic Info'!$D$17,1)</f>
        <v>42736</v>
      </c>
      <c r="R6" s="617">
        <f>DATE('0. Basic Info'!$D$16+1,'0. Basic Info'!$D$17+1,1)</f>
        <v>42767</v>
      </c>
      <c r="S6" s="617">
        <f>DATE('0. Basic Info'!$D$16+1,'0. Basic Info'!$D$17+2,1)</f>
        <v>42795</v>
      </c>
      <c r="T6" s="617">
        <f>DATE('0. Basic Info'!$D$16+1,'0. Basic Info'!$D$17+3,1)</f>
        <v>42826</v>
      </c>
      <c r="U6" s="617">
        <f>DATE('0. Basic Info'!$D$16+1,'0. Basic Info'!$D$17+4,1)</f>
        <v>42856</v>
      </c>
      <c r="V6" s="617">
        <f>DATE('0. Basic Info'!$D$16+1,'0. Basic Info'!$D$17+5,1)</f>
        <v>42887</v>
      </c>
      <c r="W6" s="617">
        <f>DATE('0. Basic Info'!$D$16+1,'0. Basic Info'!$D$17+6,1)</f>
        <v>42917</v>
      </c>
      <c r="X6" s="617">
        <f>DATE('0. Basic Info'!$D$16+1,'0. Basic Info'!$D$17+7,1)</f>
        <v>42948</v>
      </c>
      <c r="Y6" s="617">
        <f>DATE('0. Basic Info'!$D$16+1,'0. Basic Info'!$D$17+8,1)</f>
        <v>42979</v>
      </c>
      <c r="Z6" s="617">
        <f>DATE('0. Basic Info'!$D$16+1,'0. Basic Info'!$D$17+9,1)</f>
        <v>43009</v>
      </c>
      <c r="AA6" s="617">
        <f>DATE('0. Basic Info'!$D$16+1,'0. Basic Info'!$D$17+10,1)</f>
        <v>43040</v>
      </c>
      <c r="AB6" s="617">
        <f>DATE('0. Basic Info'!$D$16+1,'0. Basic Info'!$D$17+11,1)</f>
        <v>43070</v>
      </c>
      <c r="AC6" s="620">
        <f>IF('0. Basic Info'!$D17=1,'0. Basic Info'!$D16+1,"Year 2")</f>
        <v>2017</v>
      </c>
      <c r="AD6" s="620">
        <f>IF('0. Basic Info'!$D17=1,'0. Basic Info'!$D16+2,"Year 3")</f>
        <v>2018</v>
      </c>
      <c r="AE6" s="620">
        <f>IF('0. Basic Info'!$D17=1,'0. Basic Info'!$D16+3,"Year 4")</f>
        <v>2019</v>
      </c>
      <c r="AF6" s="620">
        <f>IF('0. Basic Info'!$D17=1,'0. Basic Info'!$D16+4,"Year 5")</f>
        <v>2020</v>
      </c>
    </row>
    <row r="7" spans="1:32" ht="12.75">
      <c r="A7"/>
      <c r="B7" s="222" t="s">
        <v>136</v>
      </c>
      <c r="C7" s="302">
        <f>'6. Seasonality'!M48</f>
        <v>34500</v>
      </c>
      <c r="D7" s="300">
        <f>'6. Seasonality'!A48</f>
        <v>1500</v>
      </c>
      <c r="E7" s="139">
        <f>'6. Seasonality'!B48</f>
        <v>3000</v>
      </c>
      <c r="F7" s="139">
        <f>'6. Seasonality'!C48</f>
        <v>3000</v>
      </c>
      <c r="G7" s="139">
        <f>'6. Seasonality'!D48</f>
        <v>3000</v>
      </c>
      <c r="H7" s="139">
        <f>'6. Seasonality'!E48</f>
        <v>3000</v>
      </c>
      <c r="I7" s="139">
        <f>'6. Seasonality'!F48</f>
        <v>3000</v>
      </c>
      <c r="J7" s="139">
        <f>'6. Seasonality'!G48</f>
        <v>3000</v>
      </c>
      <c r="K7" s="139">
        <f>'6. Seasonality'!H48</f>
        <v>3000</v>
      </c>
      <c r="L7" s="139">
        <f>'6. Seasonality'!I48</f>
        <v>3000</v>
      </c>
      <c r="M7" s="139">
        <f>'6. Seasonality'!J48</f>
        <v>3000</v>
      </c>
      <c r="N7" s="139">
        <f>'6. Seasonality'!K48</f>
        <v>3000</v>
      </c>
      <c r="O7" s="139">
        <f>'6. Seasonality'!L48</f>
        <v>3000</v>
      </c>
      <c r="P7" s="404">
        <f>SUM(D7:O7)</f>
        <v>34500</v>
      </c>
      <c r="Q7" s="300">
        <f>'6. Seasonality'!A54</f>
        <v>3340</v>
      </c>
      <c r="R7" s="300">
        <f>'6. Seasonality'!B54</f>
        <v>3340</v>
      </c>
      <c r="S7" s="300">
        <f>'6. Seasonality'!C54</f>
        <v>3340</v>
      </c>
      <c r="T7" s="300">
        <f>'6. Seasonality'!D54</f>
        <v>3340</v>
      </c>
      <c r="U7" s="300">
        <f>'6. Seasonality'!E54</f>
        <v>3340</v>
      </c>
      <c r="V7" s="300">
        <f>'6. Seasonality'!F54</f>
        <v>3340</v>
      </c>
      <c r="W7" s="300">
        <f>'6. Seasonality'!G54</f>
        <v>3340</v>
      </c>
      <c r="X7" s="300">
        <f>'6. Seasonality'!H54</f>
        <v>3340</v>
      </c>
      <c r="Y7" s="300">
        <f>'6. Seasonality'!I54</f>
        <v>3340</v>
      </c>
      <c r="Z7" s="300">
        <f>'6. Seasonality'!J54</f>
        <v>3340</v>
      </c>
      <c r="AA7" s="300">
        <f>'6. Seasonality'!K54</f>
        <v>3340</v>
      </c>
      <c r="AB7" s="300">
        <f>'6. Seasonality'!L54</f>
        <v>3340</v>
      </c>
      <c r="AC7" s="404">
        <f>SUM(Q7:AB7)</f>
        <v>40080</v>
      </c>
      <c r="AD7" s="457">
        <f>'1. Sales Forecast'!E62</f>
        <v>44640.000000000007</v>
      </c>
      <c r="AE7" s="404">
        <f>'1. Sales Forecast'!F62</f>
        <v>49738.80000000001</v>
      </c>
      <c r="AF7" s="404">
        <f>'1. Sales Forecast'!G62</f>
        <v>55442.700000000004</v>
      </c>
    </row>
    <row r="8" spans="1:32" ht="13.5" thickBot="1">
      <c r="A8" s="57"/>
      <c r="B8" s="223" t="s">
        <v>1</v>
      </c>
      <c r="C8" s="303">
        <f>'6. Seasonality'!M49</f>
        <v>7245</v>
      </c>
      <c r="D8" s="300">
        <f>'6. Seasonality'!A49</f>
        <v>315</v>
      </c>
      <c r="E8" s="139">
        <f>'6. Seasonality'!B49</f>
        <v>630</v>
      </c>
      <c r="F8" s="139">
        <f>'6. Seasonality'!C49</f>
        <v>630</v>
      </c>
      <c r="G8" s="139">
        <f>'6. Seasonality'!D49</f>
        <v>630</v>
      </c>
      <c r="H8" s="139">
        <f>'6. Seasonality'!E49</f>
        <v>630</v>
      </c>
      <c r="I8" s="139">
        <f>'6. Seasonality'!F49</f>
        <v>630</v>
      </c>
      <c r="J8" s="139">
        <f>'6. Seasonality'!G49</f>
        <v>630</v>
      </c>
      <c r="K8" s="139">
        <f>'6. Seasonality'!H49</f>
        <v>630</v>
      </c>
      <c r="L8" s="139">
        <f>'6. Seasonality'!I49</f>
        <v>630</v>
      </c>
      <c r="M8" s="139">
        <f>'6. Seasonality'!J49</f>
        <v>630</v>
      </c>
      <c r="N8" s="139">
        <f>'6. Seasonality'!K49</f>
        <v>630</v>
      </c>
      <c r="O8" s="139">
        <f>'6. Seasonality'!L49</f>
        <v>630</v>
      </c>
      <c r="P8" s="405">
        <f>SUM(D8:O8)</f>
        <v>7245</v>
      </c>
      <c r="Q8" s="300">
        <f>'6. Seasonality'!A55</f>
        <v>701.4</v>
      </c>
      <c r="R8" s="300">
        <f>'6. Seasonality'!B55</f>
        <v>701.4</v>
      </c>
      <c r="S8" s="300">
        <f>'6. Seasonality'!C55</f>
        <v>701.4</v>
      </c>
      <c r="T8" s="300">
        <f>'6. Seasonality'!D55</f>
        <v>701.4</v>
      </c>
      <c r="U8" s="300">
        <f>'6. Seasonality'!E55</f>
        <v>701.4</v>
      </c>
      <c r="V8" s="300">
        <f>'6. Seasonality'!F55</f>
        <v>701.4</v>
      </c>
      <c r="W8" s="300">
        <f>'6. Seasonality'!G55</f>
        <v>701.4</v>
      </c>
      <c r="X8" s="300">
        <f>'6. Seasonality'!H55</f>
        <v>701.4</v>
      </c>
      <c r="Y8" s="300">
        <f>'6. Seasonality'!I55</f>
        <v>701.4</v>
      </c>
      <c r="Z8" s="300">
        <f>'6. Seasonality'!J55</f>
        <v>701.4</v>
      </c>
      <c r="AA8" s="300">
        <f>'6. Seasonality'!K55</f>
        <v>701.4</v>
      </c>
      <c r="AB8" s="300">
        <f>'6. Seasonality'!L55</f>
        <v>701.4</v>
      </c>
      <c r="AC8" s="405">
        <f>SUM(Q8:AB8)</f>
        <v>8416.7999999999975</v>
      </c>
      <c r="AD8" s="458">
        <f>'1. Sales Forecast'!E74</f>
        <v>9374.4000000000015</v>
      </c>
      <c r="AE8" s="458">
        <f>'1. Sales Forecast'!F74</f>
        <v>10445.148000000001</v>
      </c>
      <c r="AF8" s="405">
        <f>'1. Sales Forecast'!G74</f>
        <v>11642.967000000001</v>
      </c>
    </row>
    <row r="9" spans="1:32" ht="13.5" thickBot="1">
      <c r="A9" s="58"/>
      <c r="B9" s="279" t="s">
        <v>2</v>
      </c>
      <c r="C9" s="304">
        <f>C7-C8</f>
        <v>27255</v>
      </c>
      <c r="D9" s="301">
        <f>D7-D8</f>
        <v>1185</v>
      </c>
      <c r="E9" s="212">
        <f>E7-E8</f>
        <v>2370</v>
      </c>
      <c r="F9" s="212">
        <f t="shared" ref="F9:P9" si="7">F7-F8</f>
        <v>2370</v>
      </c>
      <c r="G9" s="212">
        <f t="shared" si="7"/>
        <v>2370</v>
      </c>
      <c r="H9" s="212">
        <f t="shared" si="7"/>
        <v>2370</v>
      </c>
      <c r="I9" s="212">
        <f t="shared" si="7"/>
        <v>2370</v>
      </c>
      <c r="J9" s="212">
        <f t="shared" si="7"/>
        <v>2370</v>
      </c>
      <c r="K9" s="212">
        <f t="shared" si="7"/>
        <v>2370</v>
      </c>
      <c r="L9" s="212">
        <f t="shared" si="7"/>
        <v>2370</v>
      </c>
      <c r="M9" s="212">
        <f t="shared" si="7"/>
        <v>2370</v>
      </c>
      <c r="N9" s="212">
        <f t="shared" si="7"/>
        <v>2370</v>
      </c>
      <c r="O9" s="212">
        <f t="shared" si="7"/>
        <v>2370</v>
      </c>
      <c r="P9" s="406">
        <f t="shared" si="7"/>
        <v>27255</v>
      </c>
      <c r="Q9" s="301">
        <f>Q7-Q8</f>
        <v>2638.6</v>
      </c>
      <c r="R9" s="212">
        <f>R7-R8</f>
        <v>2638.6</v>
      </c>
      <c r="S9" s="212">
        <f t="shared" ref="S9:AF9" si="8">S7-S8</f>
        <v>2638.6</v>
      </c>
      <c r="T9" s="212">
        <f t="shared" si="8"/>
        <v>2638.6</v>
      </c>
      <c r="U9" s="212">
        <f t="shared" si="8"/>
        <v>2638.6</v>
      </c>
      <c r="V9" s="212">
        <f t="shared" si="8"/>
        <v>2638.6</v>
      </c>
      <c r="W9" s="212">
        <f t="shared" si="8"/>
        <v>2638.6</v>
      </c>
      <c r="X9" s="212">
        <f t="shared" si="8"/>
        <v>2638.6</v>
      </c>
      <c r="Y9" s="212">
        <f t="shared" si="8"/>
        <v>2638.6</v>
      </c>
      <c r="Z9" s="212">
        <f t="shared" si="8"/>
        <v>2638.6</v>
      </c>
      <c r="AA9" s="212">
        <f t="shared" si="8"/>
        <v>2638.6</v>
      </c>
      <c r="AB9" s="212">
        <f t="shared" si="8"/>
        <v>2638.6</v>
      </c>
      <c r="AC9" s="406">
        <f t="shared" si="8"/>
        <v>31663.200000000004</v>
      </c>
      <c r="AD9" s="460">
        <f t="shared" si="8"/>
        <v>35265.600000000006</v>
      </c>
      <c r="AE9" s="459">
        <f t="shared" si="8"/>
        <v>39293.652000000009</v>
      </c>
      <c r="AF9" s="406">
        <f t="shared" si="8"/>
        <v>43799.733000000007</v>
      </c>
    </row>
    <row r="10" spans="1:32" ht="6.6" customHeight="1">
      <c r="A10" s="58"/>
      <c r="B10" s="72"/>
      <c r="C10" s="23"/>
      <c r="D10" s="96"/>
      <c r="E10" s="96"/>
      <c r="F10" s="96"/>
      <c r="G10" s="96"/>
      <c r="H10" s="96"/>
      <c r="I10" s="96"/>
      <c r="J10" s="96"/>
      <c r="K10" s="96"/>
      <c r="L10" s="96"/>
      <c r="M10" s="96"/>
      <c r="N10" s="96"/>
      <c r="O10" s="96"/>
      <c r="P10" s="407"/>
      <c r="Q10" s="96"/>
      <c r="R10" s="96"/>
      <c r="S10" s="96"/>
      <c r="T10" s="96"/>
      <c r="U10" s="96"/>
      <c r="V10" s="96"/>
      <c r="W10" s="96"/>
      <c r="X10" s="96"/>
      <c r="Y10" s="96"/>
      <c r="Z10" s="96"/>
      <c r="AA10" s="96"/>
      <c r="AB10" s="96"/>
      <c r="AC10" s="407"/>
      <c r="AD10" s="407"/>
      <c r="AE10" s="407"/>
      <c r="AF10" s="407"/>
    </row>
    <row r="11" spans="1:32" ht="5.45" customHeight="1" thickBot="1">
      <c r="A11" s="9"/>
      <c r="B11" s="72"/>
      <c r="C11" s="44"/>
      <c r="D11" s="69"/>
      <c r="E11" s="69"/>
      <c r="F11" s="69"/>
      <c r="G11" s="69"/>
      <c r="H11" s="69"/>
      <c r="I11" s="69"/>
      <c r="J11" s="69"/>
      <c r="K11" s="69"/>
      <c r="L11" s="69"/>
      <c r="M11" s="69"/>
      <c r="N11" s="69"/>
      <c r="O11" s="69"/>
      <c r="P11" s="408"/>
      <c r="Q11" s="69"/>
      <c r="R11" s="69"/>
      <c r="S11" s="69"/>
      <c r="T11" s="69"/>
      <c r="U11" s="69"/>
      <c r="V11" s="69"/>
      <c r="W11" s="69"/>
      <c r="X11" s="69"/>
      <c r="Y11" s="69"/>
      <c r="Z11" s="69"/>
      <c r="AA11" s="69"/>
      <c r="AB11" s="69"/>
      <c r="AC11" s="408"/>
      <c r="AD11" s="408"/>
      <c r="AE11" s="408"/>
      <c r="AF11" s="408"/>
    </row>
    <row r="12" spans="1:32" ht="13.5" thickBot="1">
      <c r="A12" s="72"/>
      <c r="B12" s="305" t="s">
        <v>135</v>
      </c>
      <c r="C12" s="311" t="str">
        <f t="shared" ref="C12:H12" si="9">C6</f>
        <v>Annual</v>
      </c>
      <c r="D12" s="306">
        <f t="shared" si="9"/>
        <v>42370</v>
      </c>
      <c r="E12" s="211">
        <f t="shared" si="9"/>
        <v>42401</v>
      </c>
      <c r="F12" s="211">
        <f t="shared" si="9"/>
        <v>42432</v>
      </c>
      <c r="G12" s="211">
        <f t="shared" si="9"/>
        <v>42463</v>
      </c>
      <c r="H12" s="211">
        <f t="shared" si="9"/>
        <v>42494</v>
      </c>
      <c r="I12" s="211">
        <f>I6</f>
        <v>42525</v>
      </c>
      <c r="J12" s="211">
        <f t="shared" ref="J12:U12" si="10">J6</f>
        <v>42556</v>
      </c>
      <c r="K12" s="211">
        <f t="shared" si="10"/>
        <v>42587</v>
      </c>
      <c r="L12" s="211">
        <f t="shared" si="10"/>
        <v>42618</v>
      </c>
      <c r="M12" s="211">
        <f t="shared" si="10"/>
        <v>42649</v>
      </c>
      <c r="N12" s="211">
        <f t="shared" si="10"/>
        <v>42680</v>
      </c>
      <c r="O12" s="211">
        <f t="shared" si="10"/>
        <v>42711</v>
      </c>
      <c r="P12" s="409">
        <f t="shared" si="10"/>
        <v>2016</v>
      </c>
      <c r="Q12" s="306">
        <f t="shared" si="10"/>
        <v>42736</v>
      </c>
      <c r="R12" s="211">
        <f t="shared" si="10"/>
        <v>42767</v>
      </c>
      <c r="S12" s="211">
        <f t="shared" si="10"/>
        <v>42795</v>
      </c>
      <c r="T12" s="211">
        <f t="shared" si="10"/>
        <v>42826</v>
      </c>
      <c r="U12" s="211">
        <f t="shared" si="10"/>
        <v>42856</v>
      </c>
      <c r="V12" s="211">
        <f>V6</f>
        <v>42887</v>
      </c>
      <c r="W12" s="211">
        <f t="shared" ref="W12:AF12" si="11">W6</f>
        <v>42917</v>
      </c>
      <c r="X12" s="211">
        <f t="shared" si="11"/>
        <v>42948</v>
      </c>
      <c r="Y12" s="211">
        <f t="shared" si="11"/>
        <v>42979</v>
      </c>
      <c r="Z12" s="211">
        <f t="shared" si="11"/>
        <v>43009</v>
      </c>
      <c r="AA12" s="211">
        <f t="shared" si="11"/>
        <v>43040</v>
      </c>
      <c r="AB12" s="211">
        <f t="shared" si="11"/>
        <v>43070</v>
      </c>
      <c r="AC12" s="409">
        <f t="shared" si="11"/>
        <v>2017</v>
      </c>
      <c r="AD12" s="409">
        <f t="shared" si="11"/>
        <v>2018</v>
      </c>
      <c r="AE12" s="409">
        <f t="shared" si="11"/>
        <v>2019</v>
      </c>
      <c r="AF12" s="409">
        <f t="shared" si="11"/>
        <v>2020</v>
      </c>
    </row>
    <row r="13" spans="1:32" ht="12.75">
      <c r="A13" s="9"/>
      <c r="B13" s="209" t="str">
        <f>IF('2. Operating Budget'!A7="","",'2. Operating Budget'!A7)</f>
        <v>Worker Wages</v>
      </c>
      <c r="C13" s="312">
        <f>'2. Operating Budget'!K7</f>
        <v>0</v>
      </c>
      <c r="D13" s="307">
        <f>IF('2. Operating Budget'!$D7&gt;0,$C13/12,'2. Operating Budget'!$B7*4.3+'2. Operating Budget'!$C7+'2. Operating Budget'!$E7*D$7)</f>
        <v>0</v>
      </c>
      <c r="E13" s="93">
        <f>IF('2. Operating Budget'!$D7&gt;0,$C13/12,'2. Operating Budget'!$B7*4.3+'2. Operating Budget'!$C7+'2. Operating Budget'!$E7*E$7)</f>
        <v>0</v>
      </c>
      <c r="F13" s="93">
        <f>IF('2. Operating Budget'!$D7&gt;0,$C13/12,'2. Operating Budget'!$B7*4.3+'2. Operating Budget'!$C7+'2. Operating Budget'!$E7*F$7)</f>
        <v>0</v>
      </c>
      <c r="G13" s="93">
        <f>IF('2. Operating Budget'!$D7&gt;0,$C13/12,'2. Operating Budget'!$B7*4.3+'2. Operating Budget'!$C7+'2. Operating Budget'!$E7*G$7)</f>
        <v>0</v>
      </c>
      <c r="H13" s="93">
        <f>IF('2. Operating Budget'!$D7&gt;0,$C13/12,'2. Operating Budget'!$B7*4.3+'2. Operating Budget'!$C7+'2. Operating Budget'!$E7*H$7)</f>
        <v>0</v>
      </c>
      <c r="I13" s="93">
        <f>IF('2. Operating Budget'!$D7&gt;0,$C13/12,'2. Operating Budget'!$B7*4.3+'2. Operating Budget'!$C7+'2. Operating Budget'!$E7*I$7)</f>
        <v>0</v>
      </c>
      <c r="J13" s="93">
        <f>IF('2. Operating Budget'!$D7&gt;0,$C13/12,'2. Operating Budget'!$B7*4.3+'2. Operating Budget'!$C7+'2. Operating Budget'!$E7*J$7)</f>
        <v>0</v>
      </c>
      <c r="K13" s="93">
        <f>IF('2. Operating Budget'!$D7&gt;0,$C13/12,'2. Operating Budget'!$B7*4.3+'2. Operating Budget'!$C7+'2. Operating Budget'!$E7*K$7)</f>
        <v>0</v>
      </c>
      <c r="L13" s="93">
        <f>IF('2. Operating Budget'!$D7&gt;0,$C13/12,'2. Operating Budget'!$B7*4.3+'2. Operating Budget'!$C7+'2. Operating Budget'!$E7*L$7)</f>
        <v>0</v>
      </c>
      <c r="M13" s="93">
        <f>IF('2. Operating Budget'!$D7&gt;0,$C13/12,'2. Operating Budget'!$B7*4.3+'2. Operating Budget'!$C7+'2. Operating Budget'!$E7*M$7)</f>
        <v>0</v>
      </c>
      <c r="N13" s="93">
        <f>IF('2. Operating Budget'!$D7&gt;0,$C13/12,'2. Operating Budget'!$B7*4.3+'2. Operating Budget'!$C7+'2. Operating Budget'!$E7*N$7)</f>
        <v>0</v>
      </c>
      <c r="O13" s="93">
        <f>IF('2. Operating Budget'!$D7&gt;0,$C13/12,'2. Operating Budget'!$B7*4.3+'2. Operating Budget'!$C7+'2. Operating Budget'!$E7*O$7)</f>
        <v>0</v>
      </c>
      <c r="P13" s="410">
        <f>SUM(D13:O13)</f>
        <v>0</v>
      </c>
      <c r="Q13" s="307">
        <f>IF('2. Operating Budget'!$D7&gt;0,$C13/12,'2. Operating Budget'!$B7*4.3+'2. Operating Budget'!$C7+'2. Operating Budget'!$E7*Q$7)</f>
        <v>0</v>
      </c>
      <c r="R13" s="93">
        <f>IF('2. Operating Budget'!$D7&gt;0,$C13/12,'2. Operating Budget'!$B7*4.3+'2. Operating Budget'!$C7+'2. Operating Budget'!$E7*R$7)</f>
        <v>0</v>
      </c>
      <c r="S13" s="93">
        <f>IF('2. Operating Budget'!$D7&gt;0,$C13/12,'2. Operating Budget'!$B7*4.3+'2. Operating Budget'!$C7+'2. Operating Budget'!$E7*S$7)</f>
        <v>0</v>
      </c>
      <c r="T13" s="93">
        <f>IF('2. Operating Budget'!$D7&gt;0,$C13/12,'2. Operating Budget'!$B7*4.3+'2. Operating Budget'!$C7+'2. Operating Budget'!$E7*T$7)</f>
        <v>0</v>
      </c>
      <c r="U13" s="93">
        <f>IF('2. Operating Budget'!$D7&gt;0,$C13/12,'2. Operating Budget'!$B7*4.3+'2. Operating Budget'!$C7+'2. Operating Budget'!$E7*U$7)</f>
        <v>0</v>
      </c>
      <c r="V13" s="93">
        <f>IF('2. Operating Budget'!$D7&gt;0,$C13/12,'2. Operating Budget'!$B7*4.3+'2. Operating Budget'!$C7+'2. Operating Budget'!$E7*V$7)</f>
        <v>0</v>
      </c>
      <c r="W13" s="93">
        <f>IF('2. Operating Budget'!$D7&gt;0,$C13/12,'2. Operating Budget'!$B7*4.3+'2. Operating Budget'!$C7+'2. Operating Budget'!$E7*W$7)</f>
        <v>0</v>
      </c>
      <c r="X13" s="93">
        <f>IF('2. Operating Budget'!$D7&gt;0,$C13/12,'2. Operating Budget'!$B7*4.3+'2. Operating Budget'!$C7+'2. Operating Budget'!$E7*X$7)</f>
        <v>0</v>
      </c>
      <c r="Y13" s="93">
        <f>IF('2. Operating Budget'!$D7&gt;0,$C13/12,'2. Operating Budget'!$B7*4.3+'2. Operating Budget'!$C7+'2. Operating Budget'!$E7*Y$7)</f>
        <v>0</v>
      </c>
      <c r="Z13" s="93">
        <f>IF('2. Operating Budget'!$D7&gt;0,$C13/12,'2. Operating Budget'!$B7*4.3+'2. Operating Budget'!$C7+'2. Operating Budget'!$E7*Z$7)</f>
        <v>0</v>
      </c>
      <c r="AA13" s="93">
        <f>IF('2. Operating Budget'!$D7&gt;0,$C13/12,'2. Operating Budget'!$B7*4.3+'2. Operating Budget'!$C7+'2. Operating Budget'!$E7*AA$7)</f>
        <v>0</v>
      </c>
      <c r="AB13" s="93">
        <f>IF('2. Operating Budget'!$D7&gt;0,$C13/12,'2. Operating Budget'!$B7*4.3+'2. Operating Budget'!$C7+'2. Operating Budget'!$E7*AB$7)</f>
        <v>0</v>
      </c>
      <c r="AC13" s="410">
        <f>SUM(Q13:AB13)</f>
        <v>0</v>
      </c>
      <c r="AD13" s="410">
        <f>IF('2. Operating Budget'!$E7&gt;0,'2. Operating Budget'!$E7*'8. P&amp;L and Cashflow'!AD$7,'2. Operating Budget'!$K7)</f>
        <v>0</v>
      </c>
      <c r="AE13" s="410">
        <f>IF('2. Operating Budget'!$E7&gt;0,'2. Operating Budget'!$E7*'8. P&amp;L and Cashflow'!AE$7,'2. Operating Budget'!$K7)</f>
        <v>0</v>
      </c>
      <c r="AF13" s="410">
        <f>IF('2. Operating Budget'!$E7&gt;0,'2. Operating Budget'!$E7*'8. P&amp;L and Cashflow'!AF$7,'2. Operating Budget'!$K7)</f>
        <v>0</v>
      </c>
    </row>
    <row r="14" spans="1:32" ht="12.75">
      <c r="A14" s="9"/>
      <c r="B14" s="341" t="str">
        <f>IF('2. Operating Budget'!A8="","",'2. Operating Budget'!A8)</f>
        <v>Owner Pay</v>
      </c>
      <c r="C14" s="342">
        <f>'2. Operating Budget'!K8</f>
        <v>11892</v>
      </c>
      <c r="D14" s="343">
        <f>IF('2. Operating Budget'!$D8&gt;0,$C14/12,'2. Operating Budget'!$B8*4.3+'2. Operating Budget'!$C8+'2. Operating Budget'!$E8*D$7)</f>
        <v>991</v>
      </c>
      <c r="E14" s="344">
        <f>IF('2. Operating Budget'!$D8&gt;0,$C14/12,'2. Operating Budget'!$B8*4.3+'2. Operating Budget'!$C8+'2. Operating Budget'!$E8*E$7)</f>
        <v>991</v>
      </c>
      <c r="F14" s="344">
        <f>IF('2. Operating Budget'!$D8&gt;0,$C14/12,'2. Operating Budget'!$B8*4.3+'2. Operating Budget'!$C8+'2. Operating Budget'!$E8*F$7)</f>
        <v>991</v>
      </c>
      <c r="G14" s="344">
        <f>IF('2. Operating Budget'!$D8&gt;0,$C14/12,'2. Operating Budget'!$B8*4.3+'2. Operating Budget'!$C8+'2. Operating Budget'!$E8*G$7)</f>
        <v>991</v>
      </c>
      <c r="H14" s="344">
        <f>IF('2. Operating Budget'!$D8&gt;0,$C14/12,'2. Operating Budget'!$B8*4.3+'2. Operating Budget'!$C8+'2. Operating Budget'!$E8*H$7)</f>
        <v>991</v>
      </c>
      <c r="I14" s="344">
        <f>IF('2. Operating Budget'!$D8&gt;0,$C14/12,'2. Operating Budget'!$B8*4.3+'2. Operating Budget'!$C8+'2. Operating Budget'!$E8*I$7)</f>
        <v>991</v>
      </c>
      <c r="J14" s="344">
        <f>IF('2. Operating Budget'!$D8&gt;0,$C14/12,'2. Operating Budget'!$B8*4.3+'2. Operating Budget'!$C8+'2. Operating Budget'!$E8*J$7)</f>
        <v>991</v>
      </c>
      <c r="K14" s="344">
        <f>IF('2. Operating Budget'!$D8&gt;0,$C14/12,'2. Operating Budget'!$B8*4.3+'2. Operating Budget'!$C8+'2. Operating Budget'!$E8*K$7)</f>
        <v>991</v>
      </c>
      <c r="L14" s="344">
        <f>IF('2. Operating Budget'!$D8&gt;0,$C14/12,'2. Operating Budget'!$B8*4.3+'2. Operating Budget'!$C8+'2. Operating Budget'!$E8*L$7)</f>
        <v>991</v>
      </c>
      <c r="M14" s="344">
        <f>IF('2. Operating Budget'!$D8&gt;0,$C14/12,'2. Operating Budget'!$B8*4.3+'2. Operating Budget'!$C8+'2. Operating Budget'!$E8*M$7)</f>
        <v>991</v>
      </c>
      <c r="N14" s="344">
        <f>IF('2. Operating Budget'!$D8&gt;0,$C14/12,'2. Operating Budget'!$B8*4.3+'2. Operating Budget'!$C8+'2. Operating Budget'!$E8*N$7)</f>
        <v>991</v>
      </c>
      <c r="O14" s="344">
        <f>IF('2. Operating Budget'!$D8&gt;0,$C14/12,'2. Operating Budget'!$B8*4.3+'2. Operating Budget'!$C8+'2. Operating Budget'!$E8*O$7)</f>
        <v>991</v>
      </c>
      <c r="P14" s="411">
        <f>SUM(D14:O14)</f>
        <v>11892</v>
      </c>
      <c r="Q14" s="343">
        <f>IF('2. Operating Budget'!$D8&gt;0,$C14/12,'2. Operating Budget'!$B8*4.3+'2. Operating Budget'!$C8+'2. Operating Budget'!$E8*Q$7)</f>
        <v>991</v>
      </c>
      <c r="R14" s="344">
        <f>IF('2. Operating Budget'!$D8&gt;0,$C14/12,'2. Operating Budget'!$B8*4.3+'2. Operating Budget'!$C8+'2. Operating Budget'!$E8*R$7)</f>
        <v>991</v>
      </c>
      <c r="S14" s="344">
        <f>IF('2. Operating Budget'!$D8&gt;0,$C14/12,'2. Operating Budget'!$B8*4.3+'2. Operating Budget'!$C8+'2. Operating Budget'!$E8*S$7)</f>
        <v>991</v>
      </c>
      <c r="T14" s="344">
        <f>IF('2. Operating Budget'!$D8&gt;0,$C14/12,'2. Operating Budget'!$B8*4.3+'2. Operating Budget'!$C8+'2. Operating Budget'!$E8*T$7)</f>
        <v>991</v>
      </c>
      <c r="U14" s="344">
        <f>IF('2. Operating Budget'!$D8&gt;0,$C14/12,'2. Operating Budget'!$B8*4.3+'2. Operating Budget'!$C8+'2. Operating Budget'!$E8*U$7)</f>
        <v>991</v>
      </c>
      <c r="V14" s="344">
        <f>IF('2. Operating Budget'!$D8&gt;0,$C14/12,'2. Operating Budget'!$B8*4.3+'2. Operating Budget'!$C8+'2. Operating Budget'!$E8*V$7)</f>
        <v>991</v>
      </c>
      <c r="W14" s="344">
        <f>IF('2. Operating Budget'!$D8&gt;0,$C14/12,'2. Operating Budget'!$B8*4.3+'2. Operating Budget'!$C8+'2. Operating Budget'!$E8*W$7)</f>
        <v>991</v>
      </c>
      <c r="X14" s="344">
        <f>IF('2. Operating Budget'!$D8&gt;0,$C14/12,'2. Operating Budget'!$B8*4.3+'2. Operating Budget'!$C8+'2. Operating Budget'!$E8*X$7)</f>
        <v>991</v>
      </c>
      <c r="Y14" s="344">
        <f>IF('2. Operating Budget'!$D8&gt;0,$C14/12,'2. Operating Budget'!$B8*4.3+'2. Operating Budget'!$C8+'2. Operating Budget'!$E8*Y$7)</f>
        <v>991</v>
      </c>
      <c r="Z14" s="344">
        <f>IF('2. Operating Budget'!$D8&gt;0,$C14/12,'2. Operating Budget'!$B8*4.3+'2. Operating Budget'!$C8+'2. Operating Budget'!$E8*Z$7)</f>
        <v>991</v>
      </c>
      <c r="AA14" s="344">
        <f>IF('2. Operating Budget'!$D8&gt;0,$C14/12,'2. Operating Budget'!$B8*4.3+'2. Operating Budget'!$C8+'2. Operating Budget'!$E8*AA$7)</f>
        <v>991</v>
      </c>
      <c r="AB14" s="344">
        <f>IF('2. Operating Budget'!$D8&gt;0,$C14/12,'2. Operating Budget'!$B8*4.3+'2. Operating Budget'!$C8+'2. Operating Budget'!$E8*AB$7)</f>
        <v>991</v>
      </c>
      <c r="AC14" s="411">
        <f>SUM(Q14:AB14)</f>
        <v>11892</v>
      </c>
      <c r="AD14" s="411">
        <f>IF('2. Operating Budget'!$D8&gt;0,$C14,'2. Operating Budget'!$B8*52+'2. Operating Budget'!$C8*12+'2. Operating Budget'!$E8*AD$7)</f>
        <v>11892</v>
      </c>
      <c r="AE14" s="411">
        <f>IF('2. Operating Budget'!$D8&gt;0,$C14,'2. Operating Budget'!$B8*52+'2. Operating Budget'!$C8*12+'2. Operating Budget'!$E8*AE$7)</f>
        <v>11892</v>
      </c>
      <c r="AF14" s="411">
        <f>IF('2. Operating Budget'!$D8&gt;0,$C14,'2. Operating Budget'!$B8*52+'2. Operating Budget'!$C8*12+'2. Operating Budget'!$E8*AF$7)</f>
        <v>11892</v>
      </c>
    </row>
    <row r="15" spans="1:32" ht="12.75">
      <c r="A15" s="9"/>
      <c r="B15" s="43">
        <f>'2. Operating Budget'!A9</f>
        <v>0.15</v>
      </c>
      <c r="C15" s="313">
        <f>'2. Operating Budget'!K9</f>
        <v>1783.8</v>
      </c>
      <c r="D15" s="308">
        <f>0.15*(D13+D14)</f>
        <v>148.65</v>
      </c>
      <c r="E15" s="5">
        <f>0.15*(E13+E14)</f>
        <v>148.65</v>
      </c>
      <c r="F15" s="5">
        <f t="shared" ref="F15:O15" si="12">0.15*(F13+F14)</f>
        <v>148.65</v>
      </c>
      <c r="G15" s="5">
        <f t="shared" si="12"/>
        <v>148.65</v>
      </c>
      <c r="H15" s="5">
        <f t="shared" si="12"/>
        <v>148.65</v>
      </c>
      <c r="I15" s="5">
        <f t="shared" si="12"/>
        <v>148.65</v>
      </c>
      <c r="J15" s="5">
        <f t="shared" si="12"/>
        <v>148.65</v>
      </c>
      <c r="K15" s="5">
        <f t="shared" si="12"/>
        <v>148.65</v>
      </c>
      <c r="L15" s="5">
        <f t="shared" si="12"/>
        <v>148.65</v>
      </c>
      <c r="M15" s="5">
        <f t="shared" si="12"/>
        <v>148.65</v>
      </c>
      <c r="N15" s="5">
        <f t="shared" si="12"/>
        <v>148.65</v>
      </c>
      <c r="O15" s="5">
        <f t="shared" si="12"/>
        <v>148.65</v>
      </c>
      <c r="P15" s="412">
        <f t="shared" ref="P15:P52" si="13">SUM(D15:O15)</f>
        <v>1783.8000000000004</v>
      </c>
      <c r="Q15" s="308">
        <f>0.15*(Q13+Q14)</f>
        <v>148.65</v>
      </c>
      <c r="R15" s="5">
        <f>0.15*(R13+R14)</f>
        <v>148.65</v>
      </c>
      <c r="S15" s="5">
        <f t="shared" ref="S15:AF15" si="14">0.15*(S13+S14)</f>
        <v>148.65</v>
      </c>
      <c r="T15" s="5">
        <f t="shared" si="14"/>
        <v>148.65</v>
      </c>
      <c r="U15" s="5">
        <f t="shared" si="14"/>
        <v>148.65</v>
      </c>
      <c r="V15" s="5">
        <f t="shared" si="14"/>
        <v>148.65</v>
      </c>
      <c r="W15" s="5">
        <f t="shared" si="14"/>
        <v>148.65</v>
      </c>
      <c r="X15" s="5">
        <f t="shared" si="14"/>
        <v>148.65</v>
      </c>
      <c r="Y15" s="5">
        <f t="shared" si="14"/>
        <v>148.65</v>
      </c>
      <c r="Z15" s="5">
        <f t="shared" si="14"/>
        <v>148.65</v>
      </c>
      <c r="AA15" s="5">
        <f t="shared" si="14"/>
        <v>148.65</v>
      </c>
      <c r="AB15" s="5">
        <f t="shared" si="14"/>
        <v>148.65</v>
      </c>
      <c r="AC15" s="412">
        <f t="shared" ref="AC15:AC16" si="15">SUM(Q15:AB15)</f>
        <v>1783.8000000000004</v>
      </c>
      <c r="AD15" s="412">
        <f t="shared" si="14"/>
        <v>1783.8</v>
      </c>
      <c r="AE15" s="412">
        <f t="shared" si="14"/>
        <v>1783.8</v>
      </c>
      <c r="AF15" s="412">
        <f t="shared" si="14"/>
        <v>1783.8</v>
      </c>
    </row>
    <row r="16" spans="1:32" ht="12.75">
      <c r="A16" s="23"/>
      <c r="B16" s="341" t="str">
        <f>'2. Operating Budget'!A10</f>
        <v>Workers Comp</v>
      </c>
      <c r="C16" s="342">
        <f>P13/100*'2. Operating Budget'!$E$10</f>
        <v>0</v>
      </c>
      <c r="D16" s="343">
        <f>C16/12</f>
        <v>0</v>
      </c>
      <c r="E16" s="344">
        <f t="shared" ref="E16:F51" si="16">D16</f>
        <v>0</v>
      </c>
      <c r="F16" s="344">
        <f t="shared" si="16"/>
        <v>0</v>
      </c>
      <c r="G16" s="344">
        <f t="shared" ref="G16:O16" si="17">F16</f>
        <v>0</v>
      </c>
      <c r="H16" s="344">
        <f t="shared" si="17"/>
        <v>0</v>
      </c>
      <c r="I16" s="344">
        <f t="shared" si="17"/>
        <v>0</v>
      </c>
      <c r="J16" s="344">
        <f t="shared" si="17"/>
        <v>0</v>
      </c>
      <c r="K16" s="344">
        <f t="shared" si="17"/>
        <v>0</v>
      </c>
      <c r="L16" s="344">
        <f t="shared" si="17"/>
        <v>0</v>
      </c>
      <c r="M16" s="344">
        <f t="shared" si="17"/>
        <v>0</v>
      </c>
      <c r="N16" s="344">
        <f t="shared" si="17"/>
        <v>0</v>
      </c>
      <c r="O16" s="344">
        <f t="shared" si="17"/>
        <v>0</v>
      </c>
      <c r="P16" s="411">
        <f t="shared" si="13"/>
        <v>0</v>
      </c>
      <c r="Q16" s="343">
        <f>AC13/100*'2. Operating Budget'!E10/12</f>
        <v>0</v>
      </c>
      <c r="R16" s="344">
        <f t="shared" ref="R16:AB16" si="18">Q16</f>
        <v>0</v>
      </c>
      <c r="S16" s="344">
        <f t="shared" si="18"/>
        <v>0</v>
      </c>
      <c r="T16" s="344">
        <f t="shared" si="18"/>
        <v>0</v>
      </c>
      <c r="U16" s="344">
        <f t="shared" si="18"/>
        <v>0</v>
      </c>
      <c r="V16" s="344">
        <f t="shared" si="18"/>
        <v>0</v>
      </c>
      <c r="W16" s="344">
        <f t="shared" si="18"/>
        <v>0</v>
      </c>
      <c r="X16" s="344">
        <f t="shared" si="18"/>
        <v>0</v>
      </c>
      <c r="Y16" s="344">
        <f t="shared" si="18"/>
        <v>0</v>
      </c>
      <c r="Z16" s="344">
        <f t="shared" si="18"/>
        <v>0</v>
      </c>
      <c r="AA16" s="344">
        <f t="shared" si="18"/>
        <v>0</v>
      </c>
      <c r="AB16" s="344">
        <f t="shared" si="18"/>
        <v>0</v>
      </c>
      <c r="AC16" s="411">
        <f t="shared" si="15"/>
        <v>0</v>
      </c>
      <c r="AD16" s="411">
        <f>AD13/100*'2. Operating Budget'!$E10</f>
        <v>0</v>
      </c>
      <c r="AE16" s="411">
        <f>AE13/100*'2. Operating Budget'!$E10</f>
        <v>0</v>
      </c>
      <c r="AF16" s="411">
        <f>AF13/100*'2. Operating Budget'!$E10</f>
        <v>0</v>
      </c>
    </row>
    <row r="17" spans="1:32" ht="12.75">
      <c r="A17" s="57"/>
      <c r="B17" s="209" t="str">
        <f>IF('2. Operating Budget'!A11="","",'2. Operating Budget'!A11)</f>
        <v>Rent</v>
      </c>
      <c r="C17" s="313">
        <f>'2. Operating Budget'!K11</f>
        <v>4800</v>
      </c>
      <c r="D17" s="307">
        <f>IF('2. Operating Budget'!$D11&gt;0,$C17/12,'2. Operating Budget'!$B11*4.3+'2. Operating Budget'!$C11+'2. Operating Budget'!$E11*D$7)</f>
        <v>400</v>
      </c>
      <c r="E17" s="93">
        <f>IF('2. Operating Budget'!$D11&gt;0,$C17/12,'2. Operating Budget'!$B11*4.3+'2. Operating Budget'!$C11+'2. Operating Budget'!$E11*E$7)</f>
        <v>400</v>
      </c>
      <c r="F17" s="93">
        <f>IF('2. Operating Budget'!$D11&gt;0,$C17/12,'2. Operating Budget'!$B11*4.3+'2. Operating Budget'!$C11+'2. Operating Budget'!$E11*F$7)</f>
        <v>400</v>
      </c>
      <c r="G17" s="93">
        <f>IF('2. Operating Budget'!$D11&gt;0,$C17/12,'2. Operating Budget'!$B11*4.3+'2. Operating Budget'!$C11+'2. Operating Budget'!$E11*G$7)</f>
        <v>400</v>
      </c>
      <c r="H17" s="93">
        <f>IF('2. Operating Budget'!$D11&gt;0,$C17/12,'2. Operating Budget'!$B11*4.3+'2. Operating Budget'!$C11+'2. Operating Budget'!$E11*H$7)</f>
        <v>400</v>
      </c>
      <c r="I17" s="93">
        <f>IF('2. Operating Budget'!$D11&gt;0,$C17/12,'2. Operating Budget'!$B11*4.3+'2. Operating Budget'!$C11+'2. Operating Budget'!$E11*I$7)</f>
        <v>400</v>
      </c>
      <c r="J17" s="93">
        <f>IF('2. Operating Budget'!$D11&gt;0,$C17/12,'2. Operating Budget'!$B11*4.3+'2. Operating Budget'!$C11+'2. Operating Budget'!$E11*J$7)</f>
        <v>400</v>
      </c>
      <c r="K17" s="93">
        <f>IF('2. Operating Budget'!$D11&gt;0,$C17/12,'2. Operating Budget'!$B11*4.3+'2. Operating Budget'!$C11+'2. Operating Budget'!$E11*K$7)</f>
        <v>400</v>
      </c>
      <c r="L17" s="93">
        <f>IF('2. Operating Budget'!$D11&gt;0,$C17/12,'2. Operating Budget'!$B11*4.3+'2. Operating Budget'!$C11+'2. Operating Budget'!$E11*L$7)</f>
        <v>400</v>
      </c>
      <c r="M17" s="93">
        <f>IF('2. Operating Budget'!$D11&gt;0,$C17/12,'2. Operating Budget'!$B11*4.3+'2. Operating Budget'!$C11+'2. Operating Budget'!$E11*M$7)</f>
        <v>400</v>
      </c>
      <c r="N17" s="93">
        <f>IF('2. Operating Budget'!$D11&gt;0,$C17/12,'2. Operating Budget'!$B11*4.3+'2. Operating Budget'!$C11+'2. Operating Budget'!$E11*N$7)</f>
        <v>400</v>
      </c>
      <c r="O17" s="93">
        <f>IF('2. Operating Budget'!$D11&gt;0,$C17/12,'2. Operating Budget'!$B11*4.3+'2. Operating Budget'!$C11+'2. Operating Budget'!$E11*O$7)</f>
        <v>400</v>
      </c>
      <c r="P17" s="412">
        <f>SUM(D17:O17)</f>
        <v>4800</v>
      </c>
      <c r="Q17" s="307">
        <f>IF('2. Operating Budget'!$D11&gt;0,$C17/12,'2. Operating Budget'!$B11*4.3+'2. Operating Budget'!$C11+'2. Operating Budget'!$E11*Q$7)</f>
        <v>400</v>
      </c>
      <c r="R17" s="93">
        <f>IF('2. Operating Budget'!$D11&gt;0,$C17/12,'2. Operating Budget'!$B11*4.3+'2. Operating Budget'!$C11+'2. Operating Budget'!$E11*R$7)</f>
        <v>400</v>
      </c>
      <c r="S17" s="93">
        <f>IF('2. Operating Budget'!$D11&gt;0,$C17/12,'2. Operating Budget'!$B11*4.3+'2. Operating Budget'!$C11+'2. Operating Budget'!$E11*S$7)</f>
        <v>400</v>
      </c>
      <c r="T17" s="93">
        <f>IF('2. Operating Budget'!$D11&gt;0,$C17/12,'2. Operating Budget'!$B11*4.3+'2. Operating Budget'!$C11+'2. Operating Budget'!$E11*T$7)</f>
        <v>400</v>
      </c>
      <c r="U17" s="93">
        <f>IF('2. Operating Budget'!$D11&gt;0,$C17/12,'2. Operating Budget'!$B11*4.3+'2. Operating Budget'!$C11+'2. Operating Budget'!$E11*U$7)</f>
        <v>400</v>
      </c>
      <c r="V17" s="93">
        <f>IF('2. Operating Budget'!$D11&gt;0,$C17/12,'2. Operating Budget'!$B11*4.3+'2. Operating Budget'!$C11+'2. Operating Budget'!$E11*V$7)</f>
        <v>400</v>
      </c>
      <c r="W17" s="93">
        <f>IF('2. Operating Budget'!$D11&gt;0,$C17/12,'2. Operating Budget'!$B11*4.3+'2. Operating Budget'!$C11+'2. Operating Budget'!$E11*W$7)</f>
        <v>400</v>
      </c>
      <c r="X17" s="93">
        <f>IF('2. Operating Budget'!$D11&gt;0,$C17/12,'2. Operating Budget'!$B11*4.3+'2. Operating Budget'!$C11+'2. Operating Budget'!$E11*X$7)</f>
        <v>400</v>
      </c>
      <c r="Y17" s="93">
        <f>IF('2. Operating Budget'!$D11&gt;0,$C17/12,'2. Operating Budget'!$B11*4.3+'2. Operating Budget'!$C11+'2. Operating Budget'!$E11*Y$7)</f>
        <v>400</v>
      </c>
      <c r="Z17" s="93">
        <f>IF('2. Operating Budget'!$D11&gt;0,$C17/12,'2. Operating Budget'!$B11*4.3+'2. Operating Budget'!$C11+'2. Operating Budget'!$E11*Z$7)</f>
        <v>400</v>
      </c>
      <c r="AA17" s="93">
        <f>IF('2. Operating Budget'!$D11&gt;0,$C17/12,'2. Operating Budget'!$B11*4.3+'2. Operating Budget'!$C11+'2. Operating Budget'!$E11*AA$7)</f>
        <v>400</v>
      </c>
      <c r="AB17" s="93">
        <f>IF('2. Operating Budget'!$D11&gt;0,$C17/12,'2. Operating Budget'!$B11*4.3+'2. Operating Budget'!$C11+'2. Operating Budget'!$E11*AB$7)</f>
        <v>400</v>
      </c>
      <c r="AC17" s="412">
        <f>SUM(Q17:AB17)</f>
        <v>4800</v>
      </c>
      <c r="AD17" s="412">
        <f>IF('2. Operating Budget'!$E11&gt;0,'2. Operating Budget'!$E11*'8. P&amp;L and Cashflow'!AD$7,'2. Operating Budget'!$K11)</f>
        <v>4800</v>
      </c>
      <c r="AE17" s="412">
        <f>IF('2. Operating Budget'!$E11&gt;0,'2. Operating Budget'!$E11*'8. P&amp;L and Cashflow'!AE$7,'2. Operating Budget'!$K11)</f>
        <v>4800</v>
      </c>
      <c r="AF17" s="412">
        <f>IF('2. Operating Budget'!$E11&gt;0,'2. Operating Budget'!$E11*'8. P&amp;L and Cashflow'!AF$7,'2. Operating Budget'!$K11)</f>
        <v>4800</v>
      </c>
    </row>
    <row r="18" spans="1:32" ht="12.75">
      <c r="A18" s="58"/>
      <c r="B18" s="341" t="str">
        <f>IF('2. Operating Budget'!A12="","",'2. Operating Budget'!A12)</f>
        <v>Phone/Internet/Cell</v>
      </c>
      <c r="C18" s="342">
        <f>'2. Operating Budget'!K12</f>
        <v>1800</v>
      </c>
      <c r="D18" s="343">
        <f>IF('2. Operating Budget'!$D12&gt;0,$C18/12,'2. Operating Budget'!$B12*4.3+'2. Operating Budget'!$C12+'2. Operating Budget'!$E12*D$7)</f>
        <v>150</v>
      </c>
      <c r="E18" s="344">
        <f>IF('2. Operating Budget'!$D12&gt;0,$C18/12,'2. Operating Budget'!$B12*4.3+'2. Operating Budget'!$C12+'2. Operating Budget'!$E12*E$7)</f>
        <v>150</v>
      </c>
      <c r="F18" s="344">
        <f>IF('2. Operating Budget'!$D12&gt;0,$C18/12,'2. Operating Budget'!$B12*4.3+'2. Operating Budget'!$C12+'2. Operating Budget'!$E12*F$7)</f>
        <v>150</v>
      </c>
      <c r="G18" s="344">
        <f>IF('2. Operating Budget'!$D12&gt;0,$C18/12,'2. Operating Budget'!$B12*4.3+'2. Operating Budget'!$C12+'2. Operating Budget'!$E12*G$7)</f>
        <v>150</v>
      </c>
      <c r="H18" s="344">
        <f>IF('2. Operating Budget'!$D12&gt;0,$C18/12,'2. Operating Budget'!$B12*4.3+'2. Operating Budget'!$C12+'2. Operating Budget'!$E12*H$7)</f>
        <v>150</v>
      </c>
      <c r="I18" s="344">
        <f>IF('2. Operating Budget'!$D12&gt;0,$C18/12,'2. Operating Budget'!$B12*4.3+'2. Operating Budget'!$C12+'2. Operating Budget'!$E12*I$7)</f>
        <v>150</v>
      </c>
      <c r="J18" s="344">
        <f>IF('2. Operating Budget'!$D12&gt;0,$C18/12,'2. Operating Budget'!$B12*4.3+'2. Operating Budget'!$C12+'2. Operating Budget'!$E12*J$7)</f>
        <v>150</v>
      </c>
      <c r="K18" s="344">
        <f>IF('2. Operating Budget'!$D12&gt;0,$C18/12,'2. Operating Budget'!$B12*4.3+'2. Operating Budget'!$C12+'2. Operating Budget'!$E12*K$7)</f>
        <v>150</v>
      </c>
      <c r="L18" s="344">
        <f>IF('2. Operating Budget'!$D12&gt;0,$C18/12,'2. Operating Budget'!$B12*4.3+'2. Operating Budget'!$C12+'2. Operating Budget'!$E12*L$7)</f>
        <v>150</v>
      </c>
      <c r="M18" s="344">
        <f>IF('2. Operating Budget'!$D12&gt;0,$C18/12,'2. Operating Budget'!$B12*4.3+'2. Operating Budget'!$C12+'2. Operating Budget'!$E12*M$7)</f>
        <v>150</v>
      </c>
      <c r="N18" s="344">
        <f>IF('2. Operating Budget'!$D12&gt;0,$C18/12,'2. Operating Budget'!$B12*4.3+'2. Operating Budget'!$C12+'2. Operating Budget'!$E12*N$7)</f>
        <v>150</v>
      </c>
      <c r="O18" s="344">
        <f>IF('2. Operating Budget'!$D12&gt;0,$C18/12,'2. Operating Budget'!$B12*4.3+'2. Operating Budget'!$C12+'2. Operating Budget'!$E12*O$7)</f>
        <v>150</v>
      </c>
      <c r="P18" s="411">
        <f t="shared" ref="P18:P50" si="19">SUM(D18:O18)</f>
        <v>1800</v>
      </c>
      <c r="Q18" s="343">
        <f>IF('2. Operating Budget'!$D12&gt;0,$C18/12,'2. Operating Budget'!$B12*4.3+'2. Operating Budget'!$C12+'2. Operating Budget'!$E12*Q$7)</f>
        <v>150</v>
      </c>
      <c r="R18" s="344">
        <f>IF('2. Operating Budget'!$D12&gt;0,$C18/12,'2. Operating Budget'!$B12*4.3+'2. Operating Budget'!$C12+'2. Operating Budget'!$E12*R$7)</f>
        <v>150</v>
      </c>
      <c r="S18" s="344">
        <f>IF('2. Operating Budget'!$D12&gt;0,$C18/12,'2. Operating Budget'!$B12*4.3+'2. Operating Budget'!$C12+'2. Operating Budget'!$E12*S$7)</f>
        <v>150</v>
      </c>
      <c r="T18" s="344">
        <f>IF('2. Operating Budget'!$D12&gt;0,$C18/12,'2. Operating Budget'!$B12*4.3+'2. Operating Budget'!$C12+'2. Operating Budget'!$E12*T$7)</f>
        <v>150</v>
      </c>
      <c r="U18" s="344">
        <f>IF('2. Operating Budget'!$D12&gt;0,$C18/12,'2. Operating Budget'!$B12*4.3+'2. Operating Budget'!$C12+'2. Operating Budget'!$E12*U$7)</f>
        <v>150</v>
      </c>
      <c r="V18" s="344">
        <f>IF('2. Operating Budget'!$D12&gt;0,$C18/12,'2. Operating Budget'!$B12*4.3+'2. Operating Budget'!$C12+'2. Operating Budget'!$E12*V$7)</f>
        <v>150</v>
      </c>
      <c r="W18" s="344">
        <f>IF('2. Operating Budget'!$D12&gt;0,$C18/12,'2. Operating Budget'!$B12*4.3+'2. Operating Budget'!$C12+'2. Operating Budget'!$E12*W$7)</f>
        <v>150</v>
      </c>
      <c r="X18" s="344">
        <f>IF('2. Operating Budget'!$D12&gt;0,$C18/12,'2. Operating Budget'!$B12*4.3+'2. Operating Budget'!$C12+'2. Operating Budget'!$E12*X$7)</f>
        <v>150</v>
      </c>
      <c r="Y18" s="344">
        <f>IF('2. Operating Budget'!$D12&gt;0,$C18/12,'2. Operating Budget'!$B12*4.3+'2. Operating Budget'!$C12+'2. Operating Budget'!$E12*Y$7)</f>
        <v>150</v>
      </c>
      <c r="Z18" s="344">
        <f>IF('2. Operating Budget'!$D12&gt;0,$C18/12,'2. Operating Budget'!$B12*4.3+'2. Operating Budget'!$C12+'2. Operating Budget'!$E12*Z$7)</f>
        <v>150</v>
      </c>
      <c r="AA18" s="344">
        <f>IF('2. Operating Budget'!$D12&gt;0,$C18/12,'2. Operating Budget'!$B12*4.3+'2. Operating Budget'!$C12+'2. Operating Budget'!$E12*AA$7)</f>
        <v>150</v>
      </c>
      <c r="AB18" s="344">
        <f>IF('2. Operating Budget'!$D12&gt;0,$C18/12,'2. Operating Budget'!$B12*4.3+'2. Operating Budget'!$C12+'2. Operating Budget'!$E12*AB$7)</f>
        <v>150</v>
      </c>
      <c r="AC18" s="411">
        <f t="shared" ref="AC18:AC50" si="20">SUM(Q18:AB18)</f>
        <v>1800</v>
      </c>
      <c r="AD18" s="411">
        <f>IF('2. Operating Budget'!$E12&gt;0,'2. Operating Budget'!$E12*'8. P&amp;L and Cashflow'!AD$7,'2. Operating Budget'!$K12)</f>
        <v>1800</v>
      </c>
      <c r="AE18" s="411">
        <f>IF('2. Operating Budget'!$E12&gt;0,'2. Operating Budget'!$E12*'8. P&amp;L and Cashflow'!AE$7,'2. Operating Budget'!$K12)</f>
        <v>1800</v>
      </c>
      <c r="AF18" s="411">
        <f>IF('2. Operating Budget'!$E12&gt;0,'2. Operating Budget'!$E12*'8. P&amp;L and Cashflow'!AF$7,'2. Operating Budget'!$K12)</f>
        <v>1800</v>
      </c>
    </row>
    <row r="19" spans="1:32" ht="12.75">
      <c r="A19" s="9"/>
      <c r="B19" s="209" t="str">
        <f>IF('2. Operating Budget'!A13="","",'2. Operating Budget'!A13)</f>
        <v>Electricity</v>
      </c>
      <c r="C19" s="313">
        <f>'2. Operating Budget'!K13</f>
        <v>0</v>
      </c>
      <c r="D19" s="307">
        <f>IF('2. Operating Budget'!$D13&gt;0,$C19/12,'2. Operating Budget'!$B13*4.3+'2. Operating Budget'!$C13+'2. Operating Budget'!$E13*D$7)</f>
        <v>0</v>
      </c>
      <c r="E19" s="93">
        <f>IF('2. Operating Budget'!$D13&gt;0,$C19/12,'2. Operating Budget'!$B13*4.3+'2. Operating Budget'!$C13+'2. Operating Budget'!$E13*E$7)</f>
        <v>0</v>
      </c>
      <c r="F19" s="93">
        <f>IF('2. Operating Budget'!$D13&gt;0,$C19/12,'2. Operating Budget'!$B13*4.3+'2. Operating Budget'!$C13+'2. Operating Budget'!$E13*F$7)</f>
        <v>0</v>
      </c>
      <c r="G19" s="93">
        <f>IF('2. Operating Budget'!$D13&gt;0,$C19/12,'2. Operating Budget'!$B13*4.3+'2. Operating Budget'!$C13+'2. Operating Budget'!$E13*G$7)</f>
        <v>0</v>
      </c>
      <c r="H19" s="93">
        <f>IF('2. Operating Budget'!$D13&gt;0,$C19/12,'2. Operating Budget'!$B13*4.3+'2. Operating Budget'!$C13+'2. Operating Budget'!$E13*H$7)</f>
        <v>0</v>
      </c>
      <c r="I19" s="93">
        <f>IF('2. Operating Budget'!$D13&gt;0,$C19/12,'2. Operating Budget'!$B13*4.3+'2. Operating Budget'!$C13+'2. Operating Budget'!$E13*I$7)</f>
        <v>0</v>
      </c>
      <c r="J19" s="93">
        <f>IF('2. Operating Budget'!$D13&gt;0,$C19/12,'2. Operating Budget'!$B13*4.3+'2. Operating Budget'!$C13+'2. Operating Budget'!$E13*J$7)</f>
        <v>0</v>
      </c>
      <c r="K19" s="93">
        <f>IF('2. Operating Budget'!$D13&gt;0,$C19/12,'2. Operating Budget'!$B13*4.3+'2. Operating Budget'!$C13+'2. Operating Budget'!$E13*K$7)</f>
        <v>0</v>
      </c>
      <c r="L19" s="93">
        <f>IF('2. Operating Budget'!$D13&gt;0,$C19/12,'2. Operating Budget'!$B13*4.3+'2. Operating Budget'!$C13+'2. Operating Budget'!$E13*L$7)</f>
        <v>0</v>
      </c>
      <c r="M19" s="93">
        <f>IF('2. Operating Budget'!$D13&gt;0,$C19/12,'2. Operating Budget'!$B13*4.3+'2. Operating Budget'!$C13+'2. Operating Budget'!$E13*M$7)</f>
        <v>0</v>
      </c>
      <c r="N19" s="93">
        <f>IF('2. Operating Budget'!$D13&gt;0,$C19/12,'2. Operating Budget'!$B13*4.3+'2. Operating Budget'!$C13+'2. Operating Budget'!$E13*N$7)</f>
        <v>0</v>
      </c>
      <c r="O19" s="93">
        <f>IF('2. Operating Budget'!$D13&gt;0,$C19/12,'2. Operating Budget'!$B13*4.3+'2. Operating Budget'!$C13+'2. Operating Budget'!$E13*O$7)</f>
        <v>0</v>
      </c>
      <c r="P19" s="412">
        <f t="shared" si="19"/>
        <v>0</v>
      </c>
      <c r="Q19" s="307">
        <f>IF('2. Operating Budget'!$D13&gt;0,$C19/12,'2. Operating Budget'!$B13*4.3+'2. Operating Budget'!$C13+'2. Operating Budget'!$E13*Q$7)</f>
        <v>0</v>
      </c>
      <c r="R19" s="93">
        <f>IF('2. Operating Budget'!$D13&gt;0,$C19/12,'2. Operating Budget'!$B13*4.3+'2. Operating Budget'!$C13+'2. Operating Budget'!$E13*R$7)</f>
        <v>0</v>
      </c>
      <c r="S19" s="93">
        <f>IF('2. Operating Budget'!$D13&gt;0,$C19/12,'2. Operating Budget'!$B13*4.3+'2. Operating Budget'!$C13+'2. Operating Budget'!$E13*S$7)</f>
        <v>0</v>
      </c>
      <c r="T19" s="93">
        <f>IF('2. Operating Budget'!$D13&gt;0,$C19/12,'2. Operating Budget'!$B13*4.3+'2. Operating Budget'!$C13+'2. Operating Budget'!$E13*T$7)</f>
        <v>0</v>
      </c>
      <c r="U19" s="93">
        <f>IF('2. Operating Budget'!$D13&gt;0,$C19/12,'2. Operating Budget'!$B13*4.3+'2. Operating Budget'!$C13+'2. Operating Budget'!$E13*U$7)</f>
        <v>0</v>
      </c>
      <c r="V19" s="93">
        <f>IF('2. Operating Budget'!$D13&gt;0,$C19/12,'2. Operating Budget'!$B13*4.3+'2. Operating Budget'!$C13+'2. Operating Budget'!$E13*V$7)</f>
        <v>0</v>
      </c>
      <c r="W19" s="93">
        <f>IF('2. Operating Budget'!$D13&gt;0,$C19/12,'2. Operating Budget'!$B13*4.3+'2. Operating Budget'!$C13+'2. Operating Budget'!$E13*W$7)</f>
        <v>0</v>
      </c>
      <c r="X19" s="93">
        <f>IF('2. Operating Budget'!$D13&gt;0,$C19/12,'2. Operating Budget'!$B13*4.3+'2. Operating Budget'!$C13+'2. Operating Budget'!$E13*X$7)</f>
        <v>0</v>
      </c>
      <c r="Y19" s="93">
        <f>IF('2. Operating Budget'!$D13&gt;0,$C19/12,'2. Operating Budget'!$B13*4.3+'2. Operating Budget'!$C13+'2. Operating Budget'!$E13*Y$7)</f>
        <v>0</v>
      </c>
      <c r="Z19" s="93">
        <f>IF('2. Operating Budget'!$D13&gt;0,$C19/12,'2. Operating Budget'!$B13*4.3+'2. Operating Budget'!$C13+'2. Operating Budget'!$E13*Z$7)</f>
        <v>0</v>
      </c>
      <c r="AA19" s="93">
        <f>IF('2. Operating Budget'!$D13&gt;0,$C19/12,'2. Operating Budget'!$B13*4.3+'2. Operating Budget'!$C13+'2. Operating Budget'!$E13*AA$7)</f>
        <v>0</v>
      </c>
      <c r="AB19" s="93">
        <f>IF('2. Operating Budget'!$D13&gt;0,$C19/12,'2. Operating Budget'!$B13*4.3+'2. Operating Budget'!$C13+'2. Operating Budget'!$E13*AB$7)</f>
        <v>0</v>
      </c>
      <c r="AC19" s="412">
        <f t="shared" si="20"/>
        <v>0</v>
      </c>
      <c r="AD19" s="412">
        <f>IF('2. Operating Budget'!$E13&gt;0,'2. Operating Budget'!$E13*'8. P&amp;L and Cashflow'!AD$7,'2. Operating Budget'!$K13)</f>
        <v>0</v>
      </c>
      <c r="AE19" s="412">
        <f>IF('2. Operating Budget'!$E13&gt;0,'2. Operating Budget'!$E13*'8. P&amp;L and Cashflow'!AE$7,'2. Operating Budget'!$K13)</f>
        <v>0</v>
      </c>
      <c r="AF19" s="412">
        <f>IF('2. Operating Budget'!$E13&gt;0,'2. Operating Budget'!$E13*'8. P&amp;L and Cashflow'!AF$7,'2. Operating Budget'!$K13)</f>
        <v>0</v>
      </c>
    </row>
    <row r="20" spans="1:32" ht="12.75">
      <c r="A20" s="9"/>
      <c r="B20" s="341" t="str">
        <f>IF('2. Operating Budget'!A14="","",'2. Operating Budget'!A14)</f>
        <v>Dumpster/Waste</v>
      </c>
      <c r="C20" s="342">
        <f>'2. Operating Budget'!K14</f>
        <v>0</v>
      </c>
      <c r="D20" s="343">
        <f>IF('2. Operating Budget'!$D14&gt;0,$C20/12,'2. Operating Budget'!$B14*4.3+'2. Operating Budget'!$C14+'2. Operating Budget'!$E14*D$7)</f>
        <v>0</v>
      </c>
      <c r="E20" s="344">
        <f>IF('2. Operating Budget'!$D14&gt;0,$C20/12,'2. Operating Budget'!$B14*4.3+'2. Operating Budget'!$C14+'2. Operating Budget'!$E14*E$7)</f>
        <v>0</v>
      </c>
      <c r="F20" s="344">
        <f>IF('2. Operating Budget'!$D14&gt;0,$C20/12,'2. Operating Budget'!$B14*4.3+'2. Operating Budget'!$C14+'2. Operating Budget'!$E14*F$7)</f>
        <v>0</v>
      </c>
      <c r="G20" s="344">
        <f>IF('2. Operating Budget'!$D14&gt;0,$C20/12,'2. Operating Budget'!$B14*4.3+'2. Operating Budget'!$C14+'2. Operating Budget'!$E14*G$7)</f>
        <v>0</v>
      </c>
      <c r="H20" s="344">
        <f>IF('2. Operating Budget'!$D14&gt;0,$C20/12,'2. Operating Budget'!$B14*4.3+'2. Operating Budget'!$C14+'2. Operating Budget'!$E14*H$7)</f>
        <v>0</v>
      </c>
      <c r="I20" s="344">
        <f>IF('2. Operating Budget'!$D14&gt;0,$C20/12,'2. Operating Budget'!$B14*4.3+'2. Operating Budget'!$C14+'2. Operating Budget'!$E14*I$7)</f>
        <v>0</v>
      </c>
      <c r="J20" s="344">
        <f>IF('2. Operating Budget'!$D14&gt;0,$C20/12,'2. Operating Budget'!$B14*4.3+'2. Operating Budget'!$C14+'2. Operating Budget'!$E14*J$7)</f>
        <v>0</v>
      </c>
      <c r="K20" s="344">
        <f>IF('2. Operating Budget'!$D14&gt;0,$C20/12,'2. Operating Budget'!$B14*4.3+'2. Operating Budget'!$C14+'2. Operating Budget'!$E14*K$7)</f>
        <v>0</v>
      </c>
      <c r="L20" s="344">
        <f>IF('2. Operating Budget'!$D14&gt;0,$C20/12,'2. Operating Budget'!$B14*4.3+'2. Operating Budget'!$C14+'2. Operating Budget'!$E14*L$7)</f>
        <v>0</v>
      </c>
      <c r="M20" s="344">
        <f>IF('2. Operating Budget'!$D14&gt;0,$C20/12,'2. Operating Budget'!$B14*4.3+'2. Operating Budget'!$C14+'2. Operating Budget'!$E14*M$7)</f>
        <v>0</v>
      </c>
      <c r="N20" s="344">
        <f>IF('2. Operating Budget'!$D14&gt;0,$C20/12,'2. Operating Budget'!$B14*4.3+'2. Operating Budget'!$C14+'2. Operating Budget'!$E14*N$7)</f>
        <v>0</v>
      </c>
      <c r="O20" s="344">
        <f>IF('2. Operating Budget'!$D14&gt;0,$C20/12,'2. Operating Budget'!$B14*4.3+'2. Operating Budget'!$C14+'2. Operating Budget'!$E14*O$7)</f>
        <v>0</v>
      </c>
      <c r="P20" s="411">
        <f t="shared" si="19"/>
        <v>0</v>
      </c>
      <c r="Q20" s="343">
        <f>IF('2. Operating Budget'!$D14&gt;0,$C20/12,'2. Operating Budget'!$B14*4.3+'2. Operating Budget'!$C14+'2. Operating Budget'!$E14*Q$7)</f>
        <v>0</v>
      </c>
      <c r="R20" s="344">
        <f>IF('2. Operating Budget'!$D14&gt;0,$C20/12,'2. Operating Budget'!$B14*4.3+'2. Operating Budget'!$C14+'2. Operating Budget'!$E14*R$7)</f>
        <v>0</v>
      </c>
      <c r="S20" s="344">
        <f>IF('2. Operating Budget'!$D14&gt;0,$C20/12,'2. Operating Budget'!$B14*4.3+'2. Operating Budget'!$C14+'2. Operating Budget'!$E14*S$7)</f>
        <v>0</v>
      </c>
      <c r="T20" s="344">
        <f>IF('2. Operating Budget'!$D14&gt;0,$C20/12,'2. Operating Budget'!$B14*4.3+'2. Operating Budget'!$C14+'2. Operating Budget'!$E14*T$7)</f>
        <v>0</v>
      </c>
      <c r="U20" s="344">
        <f>IF('2. Operating Budget'!$D14&gt;0,$C20/12,'2. Operating Budget'!$B14*4.3+'2. Operating Budget'!$C14+'2. Operating Budget'!$E14*U$7)</f>
        <v>0</v>
      </c>
      <c r="V20" s="344">
        <f>IF('2. Operating Budget'!$D14&gt;0,$C20/12,'2. Operating Budget'!$B14*4.3+'2. Operating Budget'!$C14+'2. Operating Budget'!$E14*V$7)</f>
        <v>0</v>
      </c>
      <c r="W20" s="344">
        <f>IF('2. Operating Budget'!$D14&gt;0,$C20/12,'2. Operating Budget'!$B14*4.3+'2. Operating Budget'!$C14+'2. Operating Budget'!$E14*W$7)</f>
        <v>0</v>
      </c>
      <c r="X20" s="344">
        <f>IF('2. Operating Budget'!$D14&gt;0,$C20/12,'2. Operating Budget'!$B14*4.3+'2. Operating Budget'!$C14+'2. Operating Budget'!$E14*X$7)</f>
        <v>0</v>
      </c>
      <c r="Y20" s="344">
        <f>IF('2. Operating Budget'!$D14&gt;0,$C20/12,'2. Operating Budget'!$B14*4.3+'2. Operating Budget'!$C14+'2. Operating Budget'!$E14*Y$7)</f>
        <v>0</v>
      </c>
      <c r="Z20" s="344">
        <f>IF('2. Operating Budget'!$D14&gt;0,$C20/12,'2. Operating Budget'!$B14*4.3+'2. Operating Budget'!$C14+'2. Operating Budget'!$E14*Z$7)</f>
        <v>0</v>
      </c>
      <c r="AA20" s="344">
        <f>IF('2. Operating Budget'!$D14&gt;0,$C20/12,'2. Operating Budget'!$B14*4.3+'2. Operating Budget'!$C14+'2. Operating Budget'!$E14*AA$7)</f>
        <v>0</v>
      </c>
      <c r="AB20" s="344">
        <f>IF('2. Operating Budget'!$D14&gt;0,$C20/12,'2. Operating Budget'!$B14*4.3+'2. Operating Budget'!$C14+'2. Operating Budget'!$E14*AB$7)</f>
        <v>0</v>
      </c>
      <c r="AC20" s="411">
        <f t="shared" si="20"/>
        <v>0</v>
      </c>
      <c r="AD20" s="411">
        <f>IF('2. Operating Budget'!$E14&gt;0,'2. Operating Budget'!$E14*'8. P&amp;L and Cashflow'!AD$7,'2. Operating Budget'!$K14)</f>
        <v>0</v>
      </c>
      <c r="AE20" s="411">
        <f>IF('2. Operating Budget'!$E14&gt;0,'2. Operating Budget'!$E14*'8. P&amp;L and Cashflow'!AE$7,'2. Operating Budget'!$K14)</f>
        <v>0</v>
      </c>
      <c r="AF20" s="411">
        <f>IF('2. Operating Budget'!$E14&gt;0,'2. Operating Budget'!$E14*'8. P&amp;L and Cashflow'!AF$7,'2. Operating Budget'!$K14)</f>
        <v>0</v>
      </c>
    </row>
    <row r="21" spans="1:32" ht="12.75">
      <c r="A21" s="9"/>
      <c r="B21" s="209" t="str">
        <f>IF('2. Operating Budget'!A15="","",'2. Operating Budget'!A15)</f>
        <v>Liability Insurance</v>
      </c>
      <c r="C21" s="313">
        <f>'2. Operating Budget'!K15</f>
        <v>500</v>
      </c>
      <c r="D21" s="307">
        <f>IF('2. Operating Budget'!$D15&gt;0,$C21/12,'2. Operating Budget'!$B15*4.3+'2. Operating Budget'!$C15+'2. Operating Budget'!$E15*D$7)</f>
        <v>41.666666666666664</v>
      </c>
      <c r="E21" s="93">
        <f>IF('2. Operating Budget'!$D15&gt;0,$C21/12,'2. Operating Budget'!$B15*4.3+'2. Operating Budget'!$C15+'2. Operating Budget'!$E15*E$7)</f>
        <v>41.666666666666664</v>
      </c>
      <c r="F21" s="93">
        <f>IF('2. Operating Budget'!$D15&gt;0,$C21/12,'2. Operating Budget'!$B15*4.3+'2. Operating Budget'!$C15+'2. Operating Budget'!$E15*F$7)</f>
        <v>41.666666666666664</v>
      </c>
      <c r="G21" s="93">
        <f>IF('2. Operating Budget'!$D15&gt;0,$C21/12,'2. Operating Budget'!$B15*4.3+'2. Operating Budget'!$C15+'2. Operating Budget'!$E15*G$7)</f>
        <v>41.666666666666664</v>
      </c>
      <c r="H21" s="93">
        <f>IF('2. Operating Budget'!$D15&gt;0,$C21/12,'2. Operating Budget'!$B15*4.3+'2. Operating Budget'!$C15+'2. Operating Budget'!$E15*H$7)</f>
        <v>41.666666666666664</v>
      </c>
      <c r="I21" s="93">
        <f>IF('2. Operating Budget'!$D15&gt;0,$C21/12,'2. Operating Budget'!$B15*4.3+'2. Operating Budget'!$C15+'2. Operating Budget'!$E15*I$7)</f>
        <v>41.666666666666664</v>
      </c>
      <c r="J21" s="93">
        <f>IF('2. Operating Budget'!$D15&gt;0,$C21/12,'2. Operating Budget'!$B15*4.3+'2. Operating Budget'!$C15+'2. Operating Budget'!$E15*J$7)</f>
        <v>41.666666666666664</v>
      </c>
      <c r="K21" s="93">
        <f>IF('2. Operating Budget'!$D15&gt;0,$C21/12,'2. Operating Budget'!$B15*4.3+'2. Operating Budget'!$C15+'2. Operating Budget'!$E15*K$7)</f>
        <v>41.666666666666664</v>
      </c>
      <c r="L21" s="93">
        <f>IF('2. Operating Budget'!$D15&gt;0,$C21/12,'2. Operating Budget'!$B15*4.3+'2. Operating Budget'!$C15+'2. Operating Budget'!$E15*L$7)</f>
        <v>41.666666666666664</v>
      </c>
      <c r="M21" s="93">
        <f>IF('2. Operating Budget'!$D15&gt;0,$C21/12,'2. Operating Budget'!$B15*4.3+'2. Operating Budget'!$C15+'2. Operating Budget'!$E15*M$7)</f>
        <v>41.666666666666664</v>
      </c>
      <c r="N21" s="93">
        <f>IF('2. Operating Budget'!$D15&gt;0,$C21/12,'2. Operating Budget'!$B15*4.3+'2. Operating Budget'!$C15+'2. Operating Budget'!$E15*N$7)</f>
        <v>41.666666666666664</v>
      </c>
      <c r="O21" s="93">
        <f>IF('2. Operating Budget'!$D15&gt;0,$C21/12,'2. Operating Budget'!$B15*4.3+'2. Operating Budget'!$C15+'2. Operating Budget'!$E15*O$7)</f>
        <v>41.666666666666664</v>
      </c>
      <c r="P21" s="412">
        <f t="shared" si="19"/>
        <v>500.00000000000006</v>
      </c>
      <c r="Q21" s="307">
        <f>IF('2. Operating Budget'!$D15&gt;0,$C21/12,'2. Operating Budget'!$B15*4.3+'2. Operating Budget'!$C15+'2. Operating Budget'!$E15*Q$7)</f>
        <v>41.666666666666664</v>
      </c>
      <c r="R21" s="93">
        <f>IF('2. Operating Budget'!$D15&gt;0,$C21/12,'2. Operating Budget'!$B15*4.3+'2. Operating Budget'!$C15+'2. Operating Budget'!$E15*R$7)</f>
        <v>41.666666666666664</v>
      </c>
      <c r="S21" s="93">
        <f>IF('2. Operating Budget'!$D15&gt;0,$C21/12,'2. Operating Budget'!$B15*4.3+'2. Operating Budget'!$C15+'2. Operating Budget'!$E15*S$7)</f>
        <v>41.666666666666664</v>
      </c>
      <c r="T21" s="93">
        <f>IF('2. Operating Budget'!$D15&gt;0,$C21/12,'2. Operating Budget'!$B15*4.3+'2. Operating Budget'!$C15+'2. Operating Budget'!$E15*T$7)</f>
        <v>41.666666666666664</v>
      </c>
      <c r="U21" s="93">
        <f>IF('2. Operating Budget'!$D15&gt;0,$C21/12,'2. Operating Budget'!$B15*4.3+'2. Operating Budget'!$C15+'2. Operating Budget'!$E15*U$7)</f>
        <v>41.666666666666664</v>
      </c>
      <c r="V21" s="93">
        <f>IF('2. Operating Budget'!$D15&gt;0,$C21/12,'2. Operating Budget'!$B15*4.3+'2. Operating Budget'!$C15+'2. Operating Budget'!$E15*V$7)</f>
        <v>41.666666666666664</v>
      </c>
      <c r="W21" s="93">
        <f>IF('2. Operating Budget'!$D15&gt;0,$C21/12,'2. Operating Budget'!$B15*4.3+'2. Operating Budget'!$C15+'2. Operating Budget'!$E15*W$7)</f>
        <v>41.666666666666664</v>
      </c>
      <c r="X21" s="93">
        <f>IF('2. Operating Budget'!$D15&gt;0,$C21/12,'2. Operating Budget'!$B15*4.3+'2. Operating Budget'!$C15+'2. Operating Budget'!$E15*X$7)</f>
        <v>41.666666666666664</v>
      </c>
      <c r="Y21" s="93">
        <f>IF('2. Operating Budget'!$D15&gt;0,$C21/12,'2. Operating Budget'!$B15*4.3+'2. Operating Budget'!$C15+'2. Operating Budget'!$E15*Y$7)</f>
        <v>41.666666666666664</v>
      </c>
      <c r="Z21" s="93">
        <f>IF('2. Operating Budget'!$D15&gt;0,$C21/12,'2. Operating Budget'!$B15*4.3+'2. Operating Budget'!$C15+'2. Operating Budget'!$E15*Z$7)</f>
        <v>41.666666666666664</v>
      </c>
      <c r="AA21" s="93">
        <f>IF('2. Operating Budget'!$D15&gt;0,$C21/12,'2. Operating Budget'!$B15*4.3+'2. Operating Budget'!$C15+'2. Operating Budget'!$E15*AA$7)</f>
        <v>41.666666666666664</v>
      </c>
      <c r="AB21" s="93">
        <f>IF('2. Operating Budget'!$D15&gt;0,$C21/12,'2. Operating Budget'!$B15*4.3+'2. Operating Budget'!$C15+'2. Operating Budget'!$E15*AB$7)</f>
        <v>41.666666666666664</v>
      </c>
      <c r="AC21" s="412">
        <f t="shared" si="20"/>
        <v>500.00000000000006</v>
      </c>
      <c r="AD21" s="412">
        <f>IF('2. Operating Budget'!$E15&gt;0,'2. Operating Budget'!$E15*'8. P&amp;L and Cashflow'!AD$7,'2. Operating Budget'!$K15)</f>
        <v>500</v>
      </c>
      <c r="AE21" s="412">
        <f>IF('2. Operating Budget'!$E15&gt;0,'2. Operating Budget'!$E15*'8. P&amp;L and Cashflow'!AE$7,'2. Operating Budget'!$K15)</f>
        <v>500</v>
      </c>
      <c r="AF21" s="412">
        <f>IF('2. Operating Budget'!$E15&gt;0,'2. Operating Budget'!$E15*'8. P&amp;L and Cashflow'!AF$7,'2. Operating Budget'!$K15)</f>
        <v>500</v>
      </c>
    </row>
    <row r="22" spans="1:32" ht="12.75">
      <c r="A22" s="72"/>
      <c r="B22" s="341" t="str">
        <f>IF('2. Operating Budget'!A16="","",'2. Operating Budget'!A16)</f>
        <v/>
      </c>
      <c r="C22" s="342">
        <f>'2. Operating Budget'!K16</f>
        <v>0</v>
      </c>
      <c r="D22" s="343">
        <f>IF('2. Operating Budget'!$D16&gt;0,$C22/12,'2. Operating Budget'!$B16*4.3+'2. Operating Budget'!$C16+'2. Operating Budget'!$E16*D$7)</f>
        <v>0</v>
      </c>
      <c r="E22" s="344">
        <f>IF('2. Operating Budget'!$D16&gt;0,$C22/12,'2. Operating Budget'!$B16*4.3+'2. Operating Budget'!$C16+'2. Operating Budget'!$E16*E$7)</f>
        <v>0</v>
      </c>
      <c r="F22" s="344">
        <f>IF('2. Operating Budget'!$D16&gt;0,$C22/12,'2. Operating Budget'!$B16*4.3+'2. Operating Budget'!$C16+'2. Operating Budget'!$E16*F$7)</f>
        <v>0</v>
      </c>
      <c r="G22" s="344">
        <f>IF('2. Operating Budget'!$D16&gt;0,$C22/12,'2. Operating Budget'!$B16*4.3+'2. Operating Budget'!$C16+'2. Operating Budget'!$E16*G$7)</f>
        <v>0</v>
      </c>
      <c r="H22" s="344">
        <f>IF('2. Operating Budget'!$D16&gt;0,$C22/12,'2. Operating Budget'!$B16*4.3+'2. Operating Budget'!$C16+'2. Operating Budget'!$E16*H$7)</f>
        <v>0</v>
      </c>
      <c r="I22" s="344">
        <f>IF('2. Operating Budget'!$D16&gt;0,$C22/12,'2. Operating Budget'!$B16*4.3+'2. Operating Budget'!$C16+'2. Operating Budget'!$E16*I$7)</f>
        <v>0</v>
      </c>
      <c r="J22" s="344">
        <f>IF('2. Operating Budget'!$D16&gt;0,$C22/12,'2. Operating Budget'!$B16*4.3+'2. Operating Budget'!$C16+'2. Operating Budget'!$E16*J$7)</f>
        <v>0</v>
      </c>
      <c r="K22" s="344">
        <f>IF('2. Operating Budget'!$D16&gt;0,$C22/12,'2. Operating Budget'!$B16*4.3+'2. Operating Budget'!$C16+'2. Operating Budget'!$E16*K$7)</f>
        <v>0</v>
      </c>
      <c r="L22" s="344">
        <f>IF('2. Operating Budget'!$D16&gt;0,$C22/12,'2. Operating Budget'!$B16*4.3+'2. Operating Budget'!$C16+'2. Operating Budget'!$E16*L$7)</f>
        <v>0</v>
      </c>
      <c r="M22" s="344">
        <f>IF('2. Operating Budget'!$D16&gt;0,$C22/12,'2. Operating Budget'!$B16*4.3+'2. Operating Budget'!$C16+'2. Operating Budget'!$E16*M$7)</f>
        <v>0</v>
      </c>
      <c r="N22" s="344">
        <f>IF('2. Operating Budget'!$D16&gt;0,$C22/12,'2. Operating Budget'!$B16*4.3+'2. Operating Budget'!$C16+'2. Operating Budget'!$E16*N$7)</f>
        <v>0</v>
      </c>
      <c r="O22" s="344">
        <f>IF('2. Operating Budget'!$D16&gt;0,$C22/12,'2. Operating Budget'!$B16*4.3+'2. Operating Budget'!$C16+'2. Operating Budget'!$E16*O$7)</f>
        <v>0</v>
      </c>
      <c r="P22" s="411">
        <f t="shared" si="19"/>
        <v>0</v>
      </c>
      <c r="Q22" s="343">
        <f>IF('2. Operating Budget'!$D16&gt;0,$C22/12,'2. Operating Budget'!$B16*4.3+'2. Operating Budget'!$C16+'2. Operating Budget'!$E16*Q$7)</f>
        <v>0</v>
      </c>
      <c r="R22" s="344">
        <f>IF('2. Operating Budget'!$D16&gt;0,$C22/12,'2. Operating Budget'!$B16*4.3+'2. Operating Budget'!$C16+'2. Operating Budget'!$E16*R$7)</f>
        <v>0</v>
      </c>
      <c r="S22" s="344">
        <f>IF('2. Operating Budget'!$D16&gt;0,$C22/12,'2. Operating Budget'!$B16*4.3+'2. Operating Budget'!$C16+'2. Operating Budget'!$E16*S$7)</f>
        <v>0</v>
      </c>
      <c r="T22" s="344">
        <f>IF('2. Operating Budget'!$D16&gt;0,$C22/12,'2. Operating Budget'!$B16*4.3+'2. Operating Budget'!$C16+'2. Operating Budget'!$E16*T$7)</f>
        <v>0</v>
      </c>
      <c r="U22" s="344">
        <f>IF('2. Operating Budget'!$D16&gt;0,$C22/12,'2. Operating Budget'!$B16*4.3+'2. Operating Budget'!$C16+'2. Operating Budget'!$E16*U$7)</f>
        <v>0</v>
      </c>
      <c r="V22" s="344">
        <f>IF('2. Operating Budget'!$D16&gt;0,$C22/12,'2. Operating Budget'!$B16*4.3+'2. Operating Budget'!$C16+'2. Operating Budget'!$E16*V$7)</f>
        <v>0</v>
      </c>
      <c r="W22" s="344">
        <f>IF('2. Operating Budget'!$D16&gt;0,$C22/12,'2. Operating Budget'!$B16*4.3+'2. Operating Budget'!$C16+'2. Operating Budget'!$E16*W$7)</f>
        <v>0</v>
      </c>
      <c r="X22" s="344">
        <f>IF('2. Operating Budget'!$D16&gt;0,$C22/12,'2. Operating Budget'!$B16*4.3+'2. Operating Budget'!$C16+'2. Operating Budget'!$E16*X$7)</f>
        <v>0</v>
      </c>
      <c r="Y22" s="344">
        <f>IF('2. Operating Budget'!$D16&gt;0,$C22/12,'2. Operating Budget'!$B16*4.3+'2. Operating Budget'!$C16+'2. Operating Budget'!$E16*Y$7)</f>
        <v>0</v>
      </c>
      <c r="Z22" s="344">
        <f>IF('2. Operating Budget'!$D16&gt;0,$C22/12,'2. Operating Budget'!$B16*4.3+'2. Operating Budget'!$C16+'2. Operating Budget'!$E16*Z$7)</f>
        <v>0</v>
      </c>
      <c r="AA22" s="344">
        <f>IF('2. Operating Budget'!$D16&gt;0,$C22/12,'2. Operating Budget'!$B16*4.3+'2. Operating Budget'!$C16+'2. Operating Budget'!$E16*AA$7)</f>
        <v>0</v>
      </c>
      <c r="AB22" s="344">
        <f>IF('2. Operating Budget'!$D16&gt;0,$C22/12,'2. Operating Budget'!$B16*4.3+'2. Operating Budget'!$C16+'2. Operating Budget'!$E16*AB$7)</f>
        <v>0</v>
      </c>
      <c r="AC22" s="411">
        <f t="shared" si="20"/>
        <v>0</v>
      </c>
      <c r="AD22" s="411">
        <f>IF('2. Operating Budget'!$E16&gt;0,'2. Operating Budget'!$E16*'8. P&amp;L and Cashflow'!AD$7,'2. Operating Budget'!$K16)</f>
        <v>0</v>
      </c>
      <c r="AE22" s="411">
        <f>IF('2. Operating Budget'!$E16&gt;0,'2. Operating Budget'!$E16*'8. P&amp;L and Cashflow'!AE$7,'2. Operating Budget'!$K16)</f>
        <v>0</v>
      </c>
      <c r="AF22" s="411">
        <f>IF('2. Operating Budget'!$E16&gt;0,'2. Operating Budget'!$E16*'8. P&amp;L and Cashflow'!AF$7,'2. Operating Budget'!$K16)</f>
        <v>0</v>
      </c>
    </row>
    <row r="23" spans="1:32" ht="12.75">
      <c r="A23" s="73"/>
      <c r="B23" s="209" t="str">
        <f>IF('2. Operating Budget'!A17="","",'2. Operating Budget'!A17)</f>
        <v/>
      </c>
      <c r="C23" s="313">
        <f>'2. Operating Budget'!K17</f>
        <v>0</v>
      </c>
      <c r="D23" s="307">
        <f>IF('2. Operating Budget'!$D17&gt;0,$C23/12,'2. Operating Budget'!$B17*4.3+'2. Operating Budget'!$C17+'2. Operating Budget'!$E17*D$7)</f>
        <v>0</v>
      </c>
      <c r="E23" s="93">
        <f>IF('2. Operating Budget'!$D17&gt;0,$C23/12,'2. Operating Budget'!$B17*4.3+'2. Operating Budget'!$C17+'2. Operating Budget'!$E17*E$7)</f>
        <v>0</v>
      </c>
      <c r="F23" s="93">
        <f>IF('2. Operating Budget'!$D17&gt;0,$C23/12,'2. Operating Budget'!$B17*4.3+'2. Operating Budget'!$C17+'2. Operating Budget'!$E17*F$7)</f>
        <v>0</v>
      </c>
      <c r="G23" s="93">
        <f>IF('2. Operating Budget'!$D17&gt;0,$C23/12,'2. Operating Budget'!$B17*4.3+'2. Operating Budget'!$C17+'2. Operating Budget'!$E17*G$7)</f>
        <v>0</v>
      </c>
      <c r="H23" s="93">
        <f>IF('2. Operating Budget'!$D17&gt;0,$C23/12,'2. Operating Budget'!$B17*4.3+'2. Operating Budget'!$C17+'2. Operating Budget'!$E17*H$7)</f>
        <v>0</v>
      </c>
      <c r="I23" s="93">
        <f>IF('2. Operating Budget'!$D17&gt;0,$C23/12,'2. Operating Budget'!$B17*4.3+'2. Operating Budget'!$C17+'2. Operating Budget'!$E17*I$7)</f>
        <v>0</v>
      </c>
      <c r="J23" s="93">
        <f>IF('2. Operating Budget'!$D17&gt;0,$C23/12,'2. Operating Budget'!$B17*4.3+'2. Operating Budget'!$C17+'2. Operating Budget'!$E17*J$7)</f>
        <v>0</v>
      </c>
      <c r="K23" s="93">
        <f>IF('2. Operating Budget'!$D17&gt;0,$C23/12,'2. Operating Budget'!$B17*4.3+'2. Operating Budget'!$C17+'2. Operating Budget'!$E17*K$7)</f>
        <v>0</v>
      </c>
      <c r="L23" s="93">
        <f>IF('2. Operating Budget'!$D17&gt;0,$C23/12,'2. Operating Budget'!$B17*4.3+'2. Operating Budget'!$C17+'2. Operating Budget'!$E17*L$7)</f>
        <v>0</v>
      </c>
      <c r="M23" s="93">
        <f>IF('2. Operating Budget'!$D17&gt;0,$C23/12,'2. Operating Budget'!$B17*4.3+'2. Operating Budget'!$C17+'2. Operating Budget'!$E17*M$7)</f>
        <v>0</v>
      </c>
      <c r="N23" s="93">
        <f>IF('2. Operating Budget'!$D17&gt;0,$C23/12,'2. Operating Budget'!$B17*4.3+'2. Operating Budget'!$C17+'2. Operating Budget'!$E17*N$7)</f>
        <v>0</v>
      </c>
      <c r="O23" s="93">
        <f>IF('2. Operating Budget'!$D17&gt;0,$C23/12,'2. Operating Budget'!$B17*4.3+'2. Operating Budget'!$C17+'2. Operating Budget'!$E17*O$7)</f>
        <v>0</v>
      </c>
      <c r="P23" s="412">
        <f t="shared" si="19"/>
        <v>0</v>
      </c>
      <c r="Q23" s="307">
        <f>IF('2. Operating Budget'!$D17&gt;0,$C23/12,'2. Operating Budget'!$B17*4.3+'2. Operating Budget'!$C17+'2. Operating Budget'!$E17*Q$7)</f>
        <v>0</v>
      </c>
      <c r="R23" s="93">
        <f>IF('2. Operating Budget'!$D17&gt;0,$C23/12,'2. Operating Budget'!$B17*4.3+'2. Operating Budget'!$C17+'2. Operating Budget'!$E17*R$7)</f>
        <v>0</v>
      </c>
      <c r="S23" s="93">
        <f>IF('2. Operating Budget'!$D17&gt;0,$C23/12,'2. Operating Budget'!$B17*4.3+'2. Operating Budget'!$C17+'2. Operating Budget'!$E17*S$7)</f>
        <v>0</v>
      </c>
      <c r="T23" s="93">
        <f>IF('2. Operating Budget'!$D17&gt;0,$C23/12,'2. Operating Budget'!$B17*4.3+'2. Operating Budget'!$C17+'2. Operating Budget'!$E17*T$7)</f>
        <v>0</v>
      </c>
      <c r="U23" s="93">
        <f>IF('2. Operating Budget'!$D17&gt;0,$C23/12,'2. Operating Budget'!$B17*4.3+'2. Operating Budget'!$C17+'2. Operating Budget'!$E17*U$7)</f>
        <v>0</v>
      </c>
      <c r="V23" s="93">
        <f>IF('2. Operating Budget'!$D17&gt;0,$C23/12,'2. Operating Budget'!$B17*4.3+'2. Operating Budget'!$C17+'2. Operating Budget'!$E17*V$7)</f>
        <v>0</v>
      </c>
      <c r="W23" s="93">
        <f>IF('2. Operating Budget'!$D17&gt;0,$C23/12,'2. Operating Budget'!$B17*4.3+'2. Operating Budget'!$C17+'2. Operating Budget'!$E17*W$7)</f>
        <v>0</v>
      </c>
      <c r="X23" s="93">
        <f>IF('2. Operating Budget'!$D17&gt;0,$C23/12,'2. Operating Budget'!$B17*4.3+'2. Operating Budget'!$C17+'2. Operating Budget'!$E17*X$7)</f>
        <v>0</v>
      </c>
      <c r="Y23" s="93">
        <f>IF('2. Operating Budget'!$D17&gt;0,$C23/12,'2. Operating Budget'!$B17*4.3+'2. Operating Budget'!$C17+'2. Operating Budget'!$E17*Y$7)</f>
        <v>0</v>
      </c>
      <c r="Z23" s="93">
        <f>IF('2. Operating Budget'!$D17&gt;0,$C23/12,'2. Operating Budget'!$B17*4.3+'2. Operating Budget'!$C17+'2. Operating Budget'!$E17*Z$7)</f>
        <v>0</v>
      </c>
      <c r="AA23" s="93">
        <f>IF('2. Operating Budget'!$D17&gt;0,$C23/12,'2. Operating Budget'!$B17*4.3+'2. Operating Budget'!$C17+'2. Operating Budget'!$E17*AA$7)</f>
        <v>0</v>
      </c>
      <c r="AB23" s="93">
        <f>IF('2. Operating Budget'!$D17&gt;0,$C23/12,'2. Operating Budget'!$B17*4.3+'2. Operating Budget'!$C17+'2. Operating Budget'!$E17*AB$7)</f>
        <v>0</v>
      </c>
      <c r="AC23" s="412">
        <f t="shared" si="20"/>
        <v>0</v>
      </c>
      <c r="AD23" s="412">
        <f>IF('2. Operating Budget'!$E17&gt;0,'2. Operating Budget'!$E17*'8. P&amp;L and Cashflow'!AD$7,'2. Operating Budget'!$K17)</f>
        <v>0</v>
      </c>
      <c r="AE23" s="412">
        <f>IF('2. Operating Budget'!$E17&gt;0,'2. Operating Budget'!$E17*'8. P&amp;L and Cashflow'!AE$7,'2. Operating Budget'!$K17)</f>
        <v>0</v>
      </c>
      <c r="AF23" s="412">
        <f>IF('2. Operating Budget'!$E17&gt;0,'2. Operating Budget'!$E17*'8. P&amp;L and Cashflow'!AF$7,'2. Operating Budget'!$K17)</f>
        <v>0</v>
      </c>
    </row>
    <row r="24" spans="1:32" ht="12.75" hidden="1">
      <c r="A24" s="23"/>
      <c r="B24" s="341" t="str">
        <f>IF('2. Operating Budget'!A18="","",'2. Operating Budget'!A18)</f>
        <v/>
      </c>
      <c r="C24" s="342">
        <f>'2. Operating Budget'!K18</f>
        <v>0</v>
      </c>
      <c r="D24" s="343">
        <f>IF('2. Operating Budget'!$D18&gt;0,$C24/12,'2. Operating Budget'!$B18*4.3+'2. Operating Budget'!$C18+'2. Operating Budget'!$E18*D$7)</f>
        <v>0</v>
      </c>
      <c r="E24" s="344">
        <f>IF('2. Operating Budget'!$D18&gt;0,$C24/12,'2. Operating Budget'!$B18*4.3+'2. Operating Budget'!$C18+'2. Operating Budget'!$E18*E$7)</f>
        <v>0</v>
      </c>
      <c r="F24" s="344">
        <f>IF('2. Operating Budget'!$D18&gt;0,$C24/12,'2. Operating Budget'!$B18*4.3+'2. Operating Budget'!$C18+'2. Operating Budget'!$E18*F$7)</f>
        <v>0</v>
      </c>
      <c r="G24" s="344">
        <f>IF('2. Operating Budget'!$D18&gt;0,$C24/12,'2. Operating Budget'!$B18*4.3+'2. Operating Budget'!$C18+'2. Operating Budget'!$E18*G$7)</f>
        <v>0</v>
      </c>
      <c r="H24" s="344">
        <f>IF('2. Operating Budget'!$D18&gt;0,$C24/12,'2. Operating Budget'!$B18*4.3+'2. Operating Budget'!$C18+'2. Operating Budget'!$E18*H$7)</f>
        <v>0</v>
      </c>
      <c r="I24" s="344">
        <f>IF('2. Operating Budget'!$D18&gt;0,$C24/12,'2. Operating Budget'!$B18*4.3+'2. Operating Budget'!$C18+'2. Operating Budget'!$E18*I$7)</f>
        <v>0</v>
      </c>
      <c r="J24" s="344">
        <f>IF('2. Operating Budget'!$D18&gt;0,$C24/12,'2. Operating Budget'!$B18*4.3+'2. Operating Budget'!$C18+'2. Operating Budget'!$E18*J$7)</f>
        <v>0</v>
      </c>
      <c r="K24" s="344">
        <f>IF('2. Operating Budget'!$D18&gt;0,$C24/12,'2. Operating Budget'!$B18*4.3+'2. Operating Budget'!$C18+'2. Operating Budget'!$E18*K$7)</f>
        <v>0</v>
      </c>
      <c r="L24" s="344">
        <f>IF('2. Operating Budget'!$D18&gt;0,$C24/12,'2. Operating Budget'!$B18*4.3+'2. Operating Budget'!$C18+'2. Operating Budget'!$E18*L$7)</f>
        <v>0</v>
      </c>
      <c r="M24" s="344">
        <f>IF('2. Operating Budget'!$D18&gt;0,$C24/12,'2. Operating Budget'!$B18*4.3+'2. Operating Budget'!$C18+'2. Operating Budget'!$E18*M$7)</f>
        <v>0</v>
      </c>
      <c r="N24" s="344">
        <f>IF('2. Operating Budget'!$D18&gt;0,$C24/12,'2. Operating Budget'!$B18*4.3+'2. Operating Budget'!$C18+'2. Operating Budget'!$E18*N$7)</f>
        <v>0</v>
      </c>
      <c r="O24" s="344">
        <f>IF('2. Operating Budget'!$D18&gt;0,$C24/12,'2. Operating Budget'!$B18*4.3+'2. Operating Budget'!$C18+'2. Operating Budget'!$E18*O$7)</f>
        <v>0</v>
      </c>
      <c r="P24" s="411">
        <f t="shared" si="19"/>
        <v>0</v>
      </c>
      <c r="Q24" s="343">
        <f>IF('2. Operating Budget'!$D18&gt;0,$C24/12,'2. Operating Budget'!$B18*4.3+'2. Operating Budget'!$C18+'2. Operating Budget'!$E18*Q$7)</f>
        <v>0</v>
      </c>
      <c r="R24" s="344">
        <f>IF('2. Operating Budget'!$D18&gt;0,$C24/12,'2. Operating Budget'!$B18*4.3+'2. Operating Budget'!$C18+'2. Operating Budget'!$E18*R$7)</f>
        <v>0</v>
      </c>
      <c r="S24" s="344">
        <f>IF('2. Operating Budget'!$D18&gt;0,$C24/12,'2. Operating Budget'!$B18*4.3+'2. Operating Budget'!$C18+'2. Operating Budget'!$E18*S$7)</f>
        <v>0</v>
      </c>
      <c r="T24" s="344">
        <f>IF('2. Operating Budget'!$D18&gt;0,$C24/12,'2. Operating Budget'!$B18*4.3+'2. Operating Budget'!$C18+'2. Operating Budget'!$E18*T$7)</f>
        <v>0</v>
      </c>
      <c r="U24" s="344">
        <f>IF('2. Operating Budget'!$D18&gt;0,$C24/12,'2. Operating Budget'!$B18*4.3+'2. Operating Budget'!$C18+'2. Operating Budget'!$E18*U$7)</f>
        <v>0</v>
      </c>
      <c r="V24" s="344">
        <f>IF('2. Operating Budget'!$D18&gt;0,$C24/12,'2. Operating Budget'!$B18*4.3+'2. Operating Budget'!$C18+'2. Operating Budget'!$E18*V$7)</f>
        <v>0</v>
      </c>
      <c r="W24" s="344">
        <f>IF('2. Operating Budget'!$D18&gt;0,$C24/12,'2. Operating Budget'!$B18*4.3+'2. Operating Budget'!$C18+'2. Operating Budget'!$E18*W$7)</f>
        <v>0</v>
      </c>
      <c r="X24" s="344">
        <f>IF('2. Operating Budget'!$D18&gt;0,$C24/12,'2. Operating Budget'!$B18*4.3+'2. Operating Budget'!$C18+'2. Operating Budget'!$E18*X$7)</f>
        <v>0</v>
      </c>
      <c r="Y24" s="344">
        <f>IF('2. Operating Budget'!$D18&gt;0,$C24/12,'2. Operating Budget'!$B18*4.3+'2. Operating Budget'!$C18+'2. Operating Budget'!$E18*Y$7)</f>
        <v>0</v>
      </c>
      <c r="Z24" s="344">
        <f>IF('2. Operating Budget'!$D18&gt;0,$C24/12,'2. Operating Budget'!$B18*4.3+'2. Operating Budget'!$C18+'2. Operating Budget'!$E18*Z$7)</f>
        <v>0</v>
      </c>
      <c r="AA24" s="344">
        <f>IF('2. Operating Budget'!$D18&gt;0,$C24/12,'2. Operating Budget'!$B18*4.3+'2. Operating Budget'!$C18+'2. Operating Budget'!$E18*AA$7)</f>
        <v>0</v>
      </c>
      <c r="AB24" s="344">
        <f>IF('2. Operating Budget'!$D18&gt;0,$C24/12,'2. Operating Budget'!$B18*4.3+'2. Operating Budget'!$C18+'2. Operating Budget'!$E18*AB$7)</f>
        <v>0</v>
      </c>
      <c r="AC24" s="411">
        <f t="shared" si="20"/>
        <v>0</v>
      </c>
      <c r="AD24" s="411">
        <f>IF('2. Operating Budget'!$E18&gt;0,'2. Operating Budget'!$E18*'8. P&amp;L and Cashflow'!AD$7,'2. Operating Budget'!$K18)</f>
        <v>0</v>
      </c>
      <c r="AE24" s="411">
        <f>IF('2. Operating Budget'!$E18&gt;0,'2. Operating Budget'!$E18*'8. P&amp;L and Cashflow'!AE$7,'2. Operating Budget'!$K18)</f>
        <v>0</v>
      </c>
      <c r="AF24" s="411">
        <f>IF('2. Operating Budget'!$E18&gt;0,'2. Operating Budget'!$E18*'8. P&amp;L and Cashflow'!AF$7,'2. Operating Budget'!$K18)</f>
        <v>0</v>
      </c>
    </row>
    <row r="25" spans="1:32" ht="12.75">
      <c r="A25" s="57"/>
      <c r="B25" s="209" t="str">
        <f>IF('2. Operating Budget'!A19="","",'2. Operating Budget'!A19)</f>
        <v>Licenses</v>
      </c>
      <c r="C25" s="313">
        <f>'2. Operating Budget'!K19</f>
        <v>150</v>
      </c>
      <c r="D25" s="307">
        <f>IF('2. Operating Budget'!$D19&gt;0,$C25/12,'2. Operating Budget'!$B19*4.3+'2. Operating Budget'!$C19+'2. Operating Budget'!$E19*D$7)</f>
        <v>12.5</v>
      </c>
      <c r="E25" s="93">
        <f>IF('2. Operating Budget'!$D19&gt;0,$C25/12,'2. Operating Budget'!$B19*4.3+'2. Operating Budget'!$C19+'2. Operating Budget'!$E19*E$7)</f>
        <v>12.5</v>
      </c>
      <c r="F25" s="93">
        <f>IF('2. Operating Budget'!$D19&gt;0,$C25/12,'2. Operating Budget'!$B19*4.3+'2. Operating Budget'!$C19+'2. Operating Budget'!$E19*F$7)</f>
        <v>12.5</v>
      </c>
      <c r="G25" s="93">
        <f>IF('2. Operating Budget'!$D19&gt;0,$C25/12,'2. Operating Budget'!$B19*4.3+'2. Operating Budget'!$C19+'2. Operating Budget'!$E19*G$7)</f>
        <v>12.5</v>
      </c>
      <c r="H25" s="93">
        <f>IF('2. Operating Budget'!$D19&gt;0,$C25/12,'2. Operating Budget'!$B19*4.3+'2. Operating Budget'!$C19+'2. Operating Budget'!$E19*H$7)</f>
        <v>12.5</v>
      </c>
      <c r="I25" s="93">
        <f>IF('2. Operating Budget'!$D19&gt;0,$C25/12,'2. Operating Budget'!$B19*4.3+'2. Operating Budget'!$C19+'2. Operating Budget'!$E19*I$7)</f>
        <v>12.5</v>
      </c>
      <c r="J25" s="93">
        <f>IF('2. Operating Budget'!$D19&gt;0,$C25/12,'2. Operating Budget'!$B19*4.3+'2. Operating Budget'!$C19+'2. Operating Budget'!$E19*J$7)</f>
        <v>12.5</v>
      </c>
      <c r="K25" s="93">
        <f>IF('2. Operating Budget'!$D19&gt;0,$C25/12,'2. Operating Budget'!$B19*4.3+'2. Operating Budget'!$C19+'2. Operating Budget'!$E19*K$7)</f>
        <v>12.5</v>
      </c>
      <c r="L25" s="93">
        <f>IF('2. Operating Budget'!$D19&gt;0,$C25/12,'2. Operating Budget'!$B19*4.3+'2. Operating Budget'!$C19+'2. Operating Budget'!$E19*L$7)</f>
        <v>12.5</v>
      </c>
      <c r="M25" s="93">
        <f>IF('2. Operating Budget'!$D19&gt;0,$C25/12,'2. Operating Budget'!$B19*4.3+'2. Operating Budget'!$C19+'2. Operating Budget'!$E19*M$7)</f>
        <v>12.5</v>
      </c>
      <c r="N25" s="93">
        <f>IF('2. Operating Budget'!$D19&gt;0,$C25/12,'2. Operating Budget'!$B19*4.3+'2. Operating Budget'!$C19+'2. Operating Budget'!$E19*N$7)</f>
        <v>12.5</v>
      </c>
      <c r="O25" s="93">
        <f>IF('2. Operating Budget'!$D19&gt;0,$C25/12,'2. Operating Budget'!$B19*4.3+'2. Operating Budget'!$C19+'2. Operating Budget'!$E19*O$7)</f>
        <v>12.5</v>
      </c>
      <c r="P25" s="412">
        <f t="shared" si="19"/>
        <v>150</v>
      </c>
      <c r="Q25" s="307">
        <f>IF('2. Operating Budget'!$D19&gt;0,$C25/12,'2. Operating Budget'!$B19*4.3+'2. Operating Budget'!$C19+'2. Operating Budget'!$E19*Q$7)</f>
        <v>12.5</v>
      </c>
      <c r="R25" s="93">
        <f>IF('2. Operating Budget'!$D19&gt;0,$C25/12,'2. Operating Budget'!$B19*4.3+'2. Operating Budget'!$C19+'2. Operating Budget'!$E19*R$7)</f>
        <v>12.5</v>
      </c>
      <c r="S25" s="93">
        <f>IF('2. Operating Budget'!$D19&gt;0,$C25/12,'2. Operating Budget'!$B19*4.3+'2. Operating Budget'!$C19+'2. Operating Budget'!$E19*S$7)</f>
        <v>12.5</v>
      </c>
      <c r="T25" s="93">
        <f>IF('2. Operating Budget'!$D19&gt;0,$C25/12,'2. Operating Budget'!$B19*4.3+'2. Operating Budget'!$C19+'2. Operating Budget'!$E19*T$7)</f>
        <v>12.5</v>
      </c>
      <c r="U25" s="93">
        <f>IF('2. Operating Budget'!$D19&gt;0,$C25/12,'2. Operating Budget'!$B19*4.3+'2. Operating Budget'!$C19+'2. Operating Budget'!$E19*U$7)</f>
        <v>12.5</v>
      </c>
      <c r="V25" s="93">
        <f>IF('2. Operating Budget'!$D19&gt;0,$C25/12,'2. Operating Budget'!$B19*4.3+'2. Operating Budget'!$C19+'2. Operating Budget'!$E19*V$7)</f>
        <v>12.5</v>
      </c>
      <c r="W25" s="93">
        <f>IF('2. Operating Budget'!$D19&gt;0,$C25/12,'2. Operating Budget'!$B19*4.3+'2. Operating Budget'!$C19+'2. Operating Budget'!$E19*W$7)</f>
        <v>12.5</v>
      </c>
      <c r="X25" s="93">
        <f>IF('2. Operating Budget'!$D19&gt;0,$C25/12,'2. Operating Budget'!$B19*4.3+'2. Operating Budget'!$C19+'2. Operating Budget'!$E19*X$7)</f>
        <v>12.5</v>
      </c>
      <c r="Y25" s="93">
        <f>IF('2. Operating Budget'!$D19&gt;0,$C25/12,'2. Operating Budget'!$B19*4.3+'2. Operating Budget'!$C19+'2. Operating Budget'!$E19*Y$7)</f>
        <v>12.5</v>
      </c>
      <c r="Z25" s="93">
        <f>IF('2. Operating Budget'!$D19&gt;0,$C25/12,'2. Operating Budget'!$B19*4.3+'2. Operating Budget'!$C19+'2. Operating Budget'!$E19*Z$7)</f>
        <v>12.5</v>
      </c>
      <c r="AA25" s="93">
        <f>IF('2. Operating Budget'!$D19&gt;0,$C25/12,'2. Operating Budget'!$B19*4.3+'2. Operating Budget'!$C19+'2. Operating Budget'!$E19*AA$7)</f>
        <v>12.5</v>
      </c>
      <c r="AB25" s="93">
        <f>IF('2. Operating Budget'!$D19&gt;0,$C25/12,'2. Operating Budget'!$B19*4.3+'2. Operating Budget'!$C19+'2. Operating Budget'!$E19*AB$7)</f>
        <v>12.5</v>
      </c>
      <c r="AC25" s="412">
        <f t="shared" si="20"/>
        <v>150</v>
      </c>
      <c r="AD25" s="412">
        <f>IF('2. Operating Budget'!$E19&gt;0,'2. Operating Budget'!$E19*'8. P&amp;L and Cashflow'!AD$7,'2. Operating Budget'!$K19)</f>
        <v>150</v>
      </c>
      <c r="AE25" s="412">
        <f>IF('2. Operating Budget'!$E19&gt;0,'2. Operating Budget'!$E19*'8. P&amp;L and Cashflow'!AE$7,'2. Operating Budget'!$K19)</f>
        <v>150</v>
      </c>
      <c r="AF25" s="412">
        <f>IF('2. Operating Budget'!$E19&gt;0,'2. Operating Budget'!$E19*'8. P&amp;L and Cashflow'!AF$7,'2. Operating Budget'!$K19)</f>
        <v>150</v>
      </c>
    </row>
    <row r="26" spans="1:32" ht="12.75" hidden="1">
      <c r="A26" s="9"/>
      <c r="B26" s="341" t="str">
        <f>IF('2. Operating Budget'!A20="","",'2. Operating Budget'!A20)</f>
        <v/>
      </c>
      <c r="C26" s="342">
        <f>'2. Operating Budget'!K20</f>
        <v>0</v>
      </c>
      <c r="D26" s="343">
        <f>IF('2. Operating Budget'!$D20&gt;0,$C26/12,'2. Operating Budget'!$B20*4.3+'2. Operating Budget'!$C20+'2. Operating Budget'!$E20*D$7)</f>
        <v>0</v>
      </c>
      <c r="E26" s="344">
        <f>IF('2. Operating Budget'!$D20&gt;0,$C26/12,'2. Operating Budget'!$B20*4.3+'2. Operating Budget'!$C20+'2. Operating Budget'!$E20*E$7)</f>
        <v>0</v>
      </c>
      <c r="F26" s="344">
        <f>IF('2. Operating Budget'!$D20&gt;0,$C26/12,'2. Operating Budget'!$B20*4.3+'2. Operating Budget'!$C20+'2. Operating Budget'!$E20*F$7)</f>
        <v>0</v>
      </c>
      <c r="G26" s="344">
        <f>IF('2. Operating Budget'!$D20&gt;0,$C26/12,'2. Operating Budget'!$B20*4.3+'2. Operating Budget'!$C20+'2. Operating Budget'!$E20*G$7)</f>
        <v>0</v>
      </c>
      <c r="H26" s="344">
        <f>IF('2. Operating Budget'!$D20&gt;0,$C26/12,'2. Operating Budget'!$B20*4.3+'2. Operating Budget'!$C20+'2. Operating Budget'!$E20*H$7)</f>
        <v>0</v>
      </c>
      <c r="I26" s="344">
        <f>IF('2. Operating Budget'!$D20&gt;0,$C26/12,'2. Operating Budget'!$B20*4.3+'2. Operating Budget'!$C20+'2. Operating Budget'!$E20*I$7)</f>
        <v>0</v>
      </c>
      <c r="J26" s="344">
        <f>IF('2. Operating Budget'!$D20&gt;0,$C26/12,'2. Operating Budget'!$B20*4.3+'2. Operating Budget'!$C20+'2. Operating Budget'!$E20*J$7)</f>
        <v>0</v>
      </c>
      <c r="K26" s="344">
        <f>IF('2. Operating Budget'!$D20&gt;0,$C26/12,'2. Operating Budget'!$B20*4.3+'2. Operating Budget'!$C20+'2. Operating Budget'!$E20*K$7)</f>
        <v>0</v>
      </c>
      <c r="L26" s="344">
        <f>IF('2. Operating Budget'!$D20&gt;0,$C26/12,'2. Operating Budget'!$B20*4.3+'2. Operating Budget'!$C20+'2. Operating Budget'!$E20*L$7)</f>
        <v>0</v>
      </c>
      <c r="M26" s="344">
        <f>IF('2. Operating Budget'!$D20&gt;0,$C26/12,'2. Operating Budget'!$B20*4.3+'2. Operating Budget'!$C20+'2. Operating Budget'!$E20*M$7)</f>
        <v>0</v>
      </c>
      <c r="N26" s="344">
        <f>IF('2. Operating Budget'!$D20&gt;0,$C26/12,'2. Operating Budget'!$B20*4.3+'2. Operating Budget'!$C20+'2. Operating Budget'!$E20*N$7)</f>
        <v>0</v>
      </c>
      <c r="O26" s="344">
        <f>IF('2. Operating Budget'!$D20&gt;0,$C26/12,'2. Operating Budget'!$B20*4.3+'2. Operating Budget'!$C20+'2. Operating Budget'!$E20*O$7)</f>
        <v>0</v>
      </c>
      <c r="P26" s="411">
        <f t="shared" si="19"/>
        <v>0</v>
      </c>
      <c r="Q26" s="343">
        <f>IF('2. Operating Budget'!$D20&gt;0,$C26/12,'2. Operating Budget'!$B20*4.3+'2. Operating Budget'!$C20+'2. Operating Budget'!$E20*Q$7)</f>
        <v>0</v>
      </c>
      <c r="R26" s="344">
        <f>IF('2. Operating Budget'!$D20&gt;0,$C26/12,'2. Operating Budget'!$B20*4.3+'2. Operating Budget'!$C20+'2. Operating Budget'!$E20*R$7)</f>
        <v>0</v>
      </c>
      <c r="S26" s="344">
        <f>IF('2. Operating Budget'!$D20&gt;0,$C26/12,'2. Operating Budget'!$B20*4.3+'2. Operating Budget'!$C20+'2. Operating Budget'!$E20*S$7)</f>
        <v>0</v>
      </c>
      <c r="T26" s="344">
        <f>IF('2. Operating Budget'!$D20&gt;0,$C26/12,'2. Operating Budget'!$B20*4.3+'2. Operating Budget'!$C20+'2. Operating Budget'!$E20*T$7)</f>
        <v>0</v>
      </c>
      <c r="U26" s="344">
        <f>IF('2. Operating Budget'!$D20&gt;0,$C26/12,'2. Operating Budget'!$B20*4.3+'2. Operating Budget'!$C20+'2. Operating Budget'!$E20*U$7)</f>
        <v>0</v>
      </c>
      <c r="V26" s="344">
        <f>IF('2. Operating Budget'!$D20&gt;0,$C26/12,'2. Operating Budget'!$B20*4.3+'2. Operating Budget'!$C20+'2. Operating Budget'!$E20*V$7)</f>
        <v>0</v>
      </c>
      <c r="W26" s="344">
        <f>IF('2. Operating Budget'!$D20&gt;0,$C26/12,'2. Operating Budget'!$B20*4.3+'2. Operating Budget'!$C20+'2. Operating Budget'!$E20*W$7)</f>
        <v>0</v>
      </c>
      <c r="X26" s="344">
        <f>IF('2. Operating Budget'!$D20&gt;0,$C26/12,'2. Operating Budget'!$B20*4.3+'2. Operating Budget'!$C20+'2. Operating Budget'!$E20*X$7)</f>
        <v>0</v>
      </c>
      <c r="Y26" s="344">
        <f>IF('2. Operating Budget'!$D20&gt;0,$C26/12,'2. Operating Budget'!$B20*4.3+'2. Operating Budget'!$C20+'2. Operating Budget'!$E20*Y$7)</f>
        <v>0</v>
      </c>
      <c r="Z26" s="344">
        <f>IF('2. Operating Budget'!$D20&gt;0,$C26/12,'2. Operating Budget'!$B20*4.3+'2. Operating Budget'!$C20+'2. Operating Budget'!$E20*Z$7)</f>
        <v>0</v>
      </c>
      <c r="AA26" s="344">
        <f>IF('2. Operating Budget'!$D20&gt;0,$C26/12,'2. Operating Budget'!$B20*4.3+'2. Operating Budget'!$C20+'2. Operating Budget'!$E20*AA$7)</f>
        <v>0</v>
      </c>
      <c r="AB26" s="344">
        <f>IF('2. Operating Budget'!$D20&gt;0,$C26/12,'2. Operating Budget'!$B20*4.3+'2. Operating Budget'!$C20+'2. Operating Budget'!$E20*AB$7)</f>
        <v>0</v>
      </c>
      <c r="AC26" s="411">
        <f t="shared" si="20"/>
        <v>0</v>
      </c>
      <c r="AD26" s="411">
        <f>IF('2. Operating Budget'!$E20&gt;0,'2. Operating Budget'!$E20*'8. P&amp;L and Cashflow'!AD$7,'2. Operating Budget'!$K20)</f>
        <v>0</v>
      </c>
      <c r="AE26" s="411">
        <f>IF('2. Operating Budget'!$E20&gt;0,'2. Operating Budget'!$E20*'8. P&amp;L and Cashflow'!AE$7,'2. Operating Budget'!$K20)</f>
        <v>0</v>
      </c>
      <c r="AF26" s="411">
        <f>IF('2. Operating Budget'!$E20&gt;0,'2. Operating Budget'!$E20*'8. P&amp;L and Cashflow'!AF$7,'2. Operating Budget'!$K20)</f>
        <v>0</v>
      </c>
    </row>
    <row r="27" spans="1:32" ht="12.75">
      <c r="A27" s="9"/>
      <c r="B27" s="209" t="str">
        <f>IF('2. Operating Budget'!A21="","",'2. Operating Budget'!A21)</f>
        <v>Advertising Expenses</v>
      </c>
      <c r="C27" s="313">
        <f>'2. Operating Budget'!K21</f>
        <v>1035</v>
      </c>
      <c r="D27" s="307">
        <f>IF('2. Operating Budget'!$D21&gt;0,$C27/12,'2. Operating Budget'!$B21*4.3+'2. Operating Budget'!$C21+'2. Operating Budget'!$E21*D$7)</f>
        <v>45</v>
      </c>
      <c r="E27" s="93">
        <f>IF('2. Operating Budget'!$D21&gt;0,$C27/12,'2. Operating Budget'!$B21*4.3+'2. Operating Budget'!$C21+'2. Operating Budget'!$E21*E$7)</f>
        <v>90</v>
      </c>
      <c r="F27" s="93">
        <f>IF('2. Operating Budget'!$D21&gt;0,$C27/12,'2. Operating Budget'!$B21*4.3+'2. Operating Budget'!$C21+'2. Operating Budget'!$E21*F$7)</f>
        <v>90</v>
      </c>
      <c r="G27" s="93">
        <f>IF('2. Operating Budget'!$D21&gt;0,$C27/12,'2. Operating Budget'!$B21*4.3+'2. Operating Budget'!$C21+'2. Operating Budget'!$E21*G$7)</f>
        <v>90</v>
      </c>
      <c r="H27" s="93">
        <f>IF('2. Operating Budget'!$D21&gt;0,$C27/12,'2. Operating Budget'!$B21*4.3+'2. Operating Budget'!$C21+'2. Operating Budget'!$E21*H$7)</f>
        <v>90</v>
      </c>
      <c r="I27" s="93">
        <f>IF('2. Operating Budget'!$D21&gt;0,$C27/12,'2. Operating Budget'!$B21*4.3+'2. Operating Budget'!$C21+'2. Operating Budget'!$E21*I$7)</f>
        <v>90</v>
      </c>
      <c r="J27" s="93">
        <f>IF('2. Operating Budget'!$D21&gt;0,$C27/12,'2. Operating Budget'!$B21*4.3+'2. Operating Budget'!$C21+'2. Operating Budget'!$E21*J$7)</f>
        <v>90</v>
      </c>
      <c r="K27" s="93">
        <f>IF('2. Operating Budget'!$D21&gt;0,$C27/12,'2. Operating Budget'!$B21*4.3+'2. Operating Budget'!$C21+'2. Operating Budget'!$E21*K$7)</f>
        <v>90</v>
      </c>
      <c r="L27" s="93">
        <f>IF('2. Operating Budget'!$D21&gt;0,$C27/12,'2. Operating Budget'!$B21*4.3+'2. Operating Budget'!$C21+'2. Operating Budget'!$E21*L$7)</f>
        <v>90</v>
      </c>
      <c r="M27" s="93">
        <f>IF('2. Operating Budget'!$D21&gt;0,$C27/12,'2. Operating Budget'!$B21*4.3+'2. Operating Budget'!$C21+'2. Operating Budget'!$E21*M$7)</f>
        <v>90</v>
      </c>
      <c r="N27" s="93">
        <f>IF('2. Operating Budget'!$D21&gt;0,$C27/12,'2. Operating Budget'!$B21*4.3+'2. Operating Budget'!$C21+'2. Operating Budget'!$E21*N$7)</f>
        <v>90</v>
      </c>
      <c r="O27" s="93">
        <f>IF('2. Operating Budget'!$D21&gt;0,$C27/12,'2. Operating Budget'!$B21*4.3+'2. Operating Budget'!$C21+'2. Operating Budget'!$E21*O$7)</f>
        <v>90</v>
      </c>
      <c r="P27" s="412">
        <f t="shared" si="19"/>
        <v>1035</v>
      </c>
      <c r="Q27" s="307">
        <f>IF('2. Operating Budget'!$D21&gt;0,$C27/12,'2. Operating Budget'!$B21*4.3+'2. Operating Budget'!$C21+'2. Operating Budget'!$E21*Q$7)</f>
        <v>100.2</v>
      </c>
      <c r="R27" s="93">
        <f>IF('2. Operating Budget'!$D21&gt;0,$C27/12,'2. Operating Budget'!$B21*4.3+'2. Operating Budget'!$C21+'2. Operating Budget'!$E21*R$7)</f>
        <v>100.2</v>
      </c>
      <c r="S27" s="93">
        <f>IF('2. Operating Budget'!$D21&gt;0,$C27/12,'2. Operating Budget'!$B21*4.3+'2. Operating Budget'!$C21+'2. Operating Budget'!$E21*S$7)</f>
        <v>100.2</v>
      </c>
      <c r="T27" s="93">
        <f>IF('2. Operating Budget'!$D21&gt;0,$C27/12,'2. Operating Budget'!$B21*4.3+'2. Operating Budget'!$C21+'2. Operating Budget'!$E21*T$7)</f>
        <v>100.2</v>
      </c>
      <c r="U27" s="93">
        <f>IF('2. Operating Budget'!$D21&gt;0,$C27/12,'2. Operating Budget'!$B21*4.3+'2. Operating Budget'!$C21+'2. Operating Budget'!$E21*U$7)</f>
        <v>100.2</v>
      </c>
      <c r="V27" s="93">
        <f>IF('2. Operating Budget'!$D21&gt;0,$C27/12,'2. Operating Budget'!$B21*4.3+'2. Operating Budget'!$C21+'2. Operating Budget'!$E21*V$7)</f>
        <v>100.2</v>
      </c>
      <c r="W27" s="93">
        <f>IF('2. Operating Budget'!$D21&gt;0,$C27/12,'2. Operating Budget'!$B21*4.3+'2. Operating Budget'!$C21+'2. Operating Budget'!$E21*W$7)</f>
        <v>100.2</v>
      </c>
      <c r="X27" s="93">
        <f>IF('2. Operating Budget'!$D21&gt;0,$C27/12,'2. Operating Budget'!$B21*4.3+'2. Operating Budget'!$C21+'2. Operating Budget'!$E21*X$7)</f>
        <v>100.2</v>
      </c>
      <c r="Y27" s="93">
        <f>IF('2. Operating Budget'!$D21&gt;0,$C27/12,'2. Operating Budget'!$B21*4.3+'2. Operating Budget'!$C21+'2. Operating Budget'!$E21*Y$7)</f>
        <v>100.2</v>
      </c>
      <c r="Z27" s="93">
        <f>IF('2. Operating Budget'!$D21&gt;0,$C27/12,'2. Operating Budget'!$B21*4.3+'2. Operating Budget'!$C21+'2. Operating Budget'!$E21*Z$7)</f>
        <v>100.2</v>
      </c>
      <c r="AA27" s="93">
        <f>IF('2. Operating Budget'!$D21&gt;0,$C27/12,'2. Operating Budget'!$B21*4.3+'2. Operating Budget'!$C21+'2. Operating Budget'!$E21*AA$7)</f>
        <v>100.2</v>
      </c>
      <c r="AB27" s="93">
        <f>IF('2. Operating Budget'!$D21&gt;0,$C27/12,'2. Operating Budget'!$B21*4.3+'2. Operating Budget'!$C21+'2. Operating Budget'!$E21*AB$7)</f>
        <v>100.2</v>
      </c>
      <c r="AC27" s="412">
        <f t="shared" si="20"/>
        <v>1202.4000000000003</v>
      </c>
      <c r="AD27" s="412">
        <f>IF('2. Operating Budget'!$E21&gt;0,'2. Operating Budget'!$E21*'8. P&amp;L and Cashflow'!AD$7,'2. Operating Budget'!$K21)</f>
        <v>1339.2000000000003</v>
      </c>
      <c r="AE27" s="412">
        <f>IF('2. Operating Budget'!$E21&gt;0,'2. Operating Budget'!$E21*'8. P&amp;L and Cashflow'!AE$7,'2. Operating Budget'!$K21)</f>
        <v>1492.1640000000002</v>
      </c>
      <c r="AF27" s="412">
        <f>IF('2. Operating Budget'!$E21&gt;0,'2. Operating Budget'!$E21*'8. P&amp;L and Cashflow'!AF$7,'2. Operating Budget'!$K21)</f>
        <v>1663.2810000000002</v>
      </c>
    </row>
    <row r="28" spans="1:32" ht="12.75">
      <c r="A28" s="9"/>
      <c r="B28" s="341" t="str">
        <f>IF('2. Operating Budget'!A22="","",'2. Operating Budget'!A22)</f>
        <v/>
      </c>
      <c r="C28" s="342">
        <f>'2. Operating Budget'!K22</f>
        <v>0</v>
      </c>
      <c r="D28" s="343">
        <f>IF('2. Operating Budget'!$D22&gt;0,$C28/12,'2. Operating Budget'!$B22*4.3+'2. Operating Budget'!$C22+'2. Operating Budget'!$E22*D$7)</f>
        <v>0</v>
      </c>
      <c r="E28" s="344">
        <f>IF('2. Operating Budget'!$D22&gt;0,$C28/12,'2. Operating Budget'!$B22*4.3+'2. Operating Budget'!$C22+'2. Operating Budget'!$E22*E$7)</f>
        <v>0</v>
      </c>
      <c r="F28" s="344">
        <f>IF('2. Operating Budget'!$D22&gt;0,$C28/12,'2. Operating Budget'!$B22*4.3+'2. Operating Budget'!$C22+'2. Operating Budget'!$E22*F$7)</f>
        <v>0</v>
      </c>
      <c r="G28" s="344">
        <f>IF('2. Operating Budget'!$D22&gt;0,$C28/12,'2. Operating Budget'!$B22*4.3+'2. Operating Budget'!$C22+'2. Operating Budget'!$E22*G$7)</f>
        <v>0</v>
      </c>
      <c r="H28" s="344">
        <f>IF('2. Operating Budget'!$D22&gt;0,$C28/12,'2. Operating Budget'!$B22*4.3+'2. Operating Budget'!$C22+'2. Operating Budget'!$E22*H$7)</f>
        <v>0</v>
      </c>
      <c r="I28" s="344">
        <f>IF('2. Operating Budget'!$D22&gt;0,$C28/12,'2. Operating Budget'!$B22*4.3+'2. Operating Budget'!$C22+'2. Operating Budget'!$E22*I$7)</f>
        <v>0</v>
      </c>
      <c r="J28" s="344">
        <f>IF('2. Operating Budget'!$D22&gt;0,$C28/12,'2. Operating Budget'!$B22*4.3+'2. Operating Budget'!$C22+'2. Operating Budget'!$E22*J$7)</f>
        <v>0</v>
      </c>
      <c r="K28" s="344">
        <f>IF('2. Operating Budget'!$D22&gt;0,$C28/12,'2. Operating Budget'!$B22*4.3+'2. Operating Budget'!$C22+'2. Operating Budget'!$E22*K$7)</f>
        <v>0</v>
      </c>
      <c r="L28" s="344">
        <f>IF('2. Operating Budget'!$D22&gt;0,$C28/12,'2. Operating Budget'!$B22*4.3+'2. Operating Budget'!$C22+'2. Operating Budget'!$E22*L$7)</f>
        <v>0</v>
      </c>
      <c r="M28" s="344">
        <f>IF('2. Operating Budget'!$D22&gt;0,$C28/12,'2. Operating Budget'!$B22*4.3+'2. Operating Budget'!$C22+'2. Operating Budget'!$E22*M$7)</f>
        <v>0</v>
      </c>
      <c r="N28" s="344">
        <f>IF('2. Operating Budget'!$D22&gt;0,$C28/12,'2. Operating Budget'!$B22*4.3+'2. Operating Budget'!$C22+'2. Operating Budget'!$E22*N$7)</f>
        <v>0</v>
      </c>
      <c r="O28" s="344">
        <f>IF('2. Operating Budget'!$D22&gt;0,$C28/12,'2. Operating Budget'!$B22*4.3+'2. Operating Budget'!$C22+'2. Operating Budget'!$E22*O$7)</f>
        <v>0</v>
      </c>
      <c r="P28" s="411">
        <f t="shared" si="19"/>
        <v>0</v>
      </c>
      <c r="Q28" s="343">
        <f>IF('2. Operating Budget'!$D22&gt;0,$C28/12,'2. Operating Budget'!$B22*4.3+'2. Operating Budget'!$C22+'2. Operating Budget'!$E22*Q$7)</f>
        <v>0</v>
      </c>
      <c r="R28" s="344">
        <f>IF('2. Operating Budget'!$D22&gt;0,$C28/12,'2. Operating Budget'!$B22*4.3+'2. Operating Budget'!$C22+'2. Operating Budget'!$E22*R$7)</f>
        <v>0</v>
      </c>
      <c r="S28" s="344">
        <f>IF('2. Operating Budget'!$D22&gt;0,$C28/12,'2. Operating Budget'!$B22*4.3+'2. Operating Budget'!$C22+'2. Operating Budget'!$E22*S$7)</f>
        <v>0</v>
      </c>
      <c r="T28" s="344">
        <f>IF('2. Operating Budget'!$D22&gt;0,$C28/12,'2. Operating Budget'!$B22*4.3+'2. Operating Budget'!$C22+'2. Operating Budget'!$E22*T$7)</f>
        <v>0</v>
      </c>
      <c r="U28" s="344">
        <f>IF('2. Operating Budget'!$D22&gt;0,$C28/12,'2. Operating Budget'!$B22*4.3+'2. Operating Budget'!$C22+'2. Operating Budget'!$E22*U$7)</f>
        <v>0</v>
      </c>
      <c r="V28" s="344">
        <f>IF('2. Operating Budget'!$D22&gt;0,$C28/12,'2. Operating Budget'!$B22*4.3+'2. Operating Budget'!$C22+'2. Operating Budget'!$E22*V$7)</f>
        <v>0</v>
      </c>
      <c r="W28" s="344">
        <f>IF('2. Operating Budget'!$D22&gt;0,$C28/12,'2. Operating Budget'!$B22*4.3+'2. Operating Budget'!$C22+'2. Operating Budget'!$E22*W$7)</f>
        <v>0</v>
      </c>
      <c r="X28" s="344">
        <f>IF('2. Operating Budget'!$D22&gt;0,$C28/12,'2. Operating Budget'!$B22*4.3+'2. Operating Budget'!$C22+'2. Operating Budget'!$E22*X$7)</f>
        <v>0</v>
      </c>
      <c r="Y28" s="344">
        <f>IF('2. Operating Budget'!$D22&gt;0,$C28/12,'2. Operating Budget'!$B22*4.3+'2. Operating Budget'!$C22+'2. Operating Budget'!$E22*Y$7)</f>
        <v>0</v>
      </c>
      <c r="Z28" s="344">
        <f>IF('2. Operating Budget'!$D22&gt;0,$C28/12,'2. Operating Budget'!$B22*4.3+'2. Operating Budget'!$C22+'2. Operating Budget'!$E22*Z$7)</f>
        <v>0</v>
      </c>
      <c r="AA28" s="344">
        <f>IF('2. Operating Budget'!$D22&gt;0,$C28/12,'2. Operating Budget'!$B22*4.3+'2. Operating Budget'!$C22+'2. Operating Budget'!$E22*AA$7)</f>
        <v>0</v>
      </c>
      <c r="AB28" s="344">
        <f>IF('2. Operating Budget'!$D22&gt;0,$C28/12,'2. Operating Budget'!$B22*4.3+'2. Operating Budget'!$C22+'2. Operating Budget'!$E22*AB$7)</f>
        <v>0</v>
      </c>
      <c r="AC28" s="411">
        <f t="shared" si="20"/>
        <v>0</v>
      </c>
      <c r="AD28" s="411">
        <f>IF('2. Operating Budget'!$E22&gt;0,'2. Operating Budget'!$E22*'8. P&amp;L and Cashflow'!AD$7,'2. Operating Budget'!$K22)</f>
        <v>0</v>
      </c>
      <c r="AE28" s="411">
        <f>IF('2. Operating Budget'!$E22&gt;0,'2. Operating Budget'!$E22*'8. P&amp;L and Cashflow'!AE$7,'2. Operating Budget'!$K22)</f>
        <v>0</v>
      </c>
      <c r="AF28" s="411">
        <f>IF('2. Operating Budget'!$E22&gt;0,'2. Operating Budget'!$E22*'8. P&amp;L and Cashflow'!AF$7,'2. Operating Budget'!$K22)</f>
        <v>0</v>
      </c>
    </row>
    <row r="29" spans="1:32" ht="12.75">
      <c r="A29" s="9"/>
      <c r="B29" s="209" t="str">
        <f>IF('2. Operating Budget'!A23="","",'2. Operating Budget'!A23)</f>
        <v/>
      </c>
      <c r="C29" s="313">
        <f>'2. Operating Budget'!K23</f>
        <v>0</v>
      </c>
      <c r="D29" s="307">
        <f>IF('2. Operating Budget'!$D23&gt;0,$C29/12,'2. Operating Budget'!$B23*4.3+'2. Operating Budget'!$C23+'2. Operating Budget'!$E23*D$7)</f>
        <v>0</v>
      </c>
      <c r="E29" s="93">
        <f>IF('2. Operating Budget'!$D23&gt;0,$C29/12,'2. Operating Budget'!$B23*4.3+'2. Operating Budget'!$C23+'2. Operating Budget'!$E23*E$7)</f>
        <v>0</v>
      </c>
      <c r="F29" s="93">
        <f>IF('2. Operating Budget'!$D23&gt;0,$C29/12,'2. Operating Budget'!$B23*4.3+'2. Operating Budget'!$C23+'2. Operating Budget'!$E23*F$7)</f>
        <v>0</v>
      </c>
      <c r="G29" s="93">
        <f>IF('2. Operating Budget'!$D23&gt;0,$C29/12,'2. Operating Budget'!$B23*4.3+'2. Operating Budget'!$C23+'2. Operating Budget'!$E23*G$7)</f>
        <v>0</v>
      </c>
      <c r="H29" s="93">
        <f>IF('2. Operating Budget'!$D23&gt;0,$C29/12,'2. Operating Budget'!$B23*4.3+'2. Operating Budget'!$C23+'2. Operating Budget'!$E23*H$7)</f>
        <v>0</v>
      </c>
      <c r="I29" s="93">
        <f>IF('2. Operating Budget'!$D23&gt;0,$C29/12,'2. Operating Budget'!$B23*4.3+'2. Operating Budget'!$C23+'2. Operating Budget'!$E23*I$7)</f>
        <v>0</v>
      </c>
      <c r="J29" s="93">
        <f>IF('2. Operating Budget'!$D23&gt;0,$C29/12,'2. Operating Budget'!$B23*4.3+'2. Operating Budget'!$C23+'2. Operating Budget'!$E23*J$7)</f>
        <v>0</v>
      </c>
      <c r="K29" s="93">
        <f>IF('2. Operating Budget'!$D23&gt;0,$C29/12,'2. Operating Budget'!$B23*4.3+'2. Operating Budget'!$C23+'2. Operating Budget'!$E23*K$7)</f>
        <v>0</v>
      </c>
      <c r="L29" s="93">
        <f>IF('2. Operating Budget'!$D23&gt;0,$C29/12,'2. Operating Budget'!$B23*4.3+'2. Operating Budget'!$C23+'2. Operating Budget'!$E23*L$7)</f>
        <v>0</v>
      </c>
      <c r="M29" s="93">
        <f>IF('2. Operating Budget'!$D23&gt;0,$C29/12,'2. Operating Budget'!$B23*4.3+'2. Operating Budget'!$C23+'2. Operating Budget'!$E23*M$7)</f>
        <v>0</v>
      </c>
      <c r="N29" s="93">
        <f>IF('2. Operating Budget'!$D23&gt;0,$C29/12,'2. Operating Budget'!$B23*4.3+'2. Operating Budget'!$C23+'2. Operating Budget'!$E23*N$7)</f>
        <v>0</v>
      </c>
      <c r="O29" s="93">
        <f>IF('2. Operating Budget'!$D23&gt;0,$C29/12,'2. Operating Budget'!$B23*4.3+'2. Operating Budget'!$C23+'2. Operating Budget'!$E23*O$7)</f>
        <v>0</v>
      </c>
      <c r="P29" s="412">
        <f t="shared" ref="P29:P39" si="21">SUM(D29:O29)</f>
        <v>0</v>
      </c>
      <c r="Q29" s="307">
        <f>IF('2. Operating Budget'!$D23&gt;0,$C29/12,'2. Operating Budget'!$B23*4.3+'2. Operating Budget'!$C23+'2. Operating Budget'!$E23*Q$7)</f>
        <v>0</v>
      </c>
      <c r="R29" s="93">
        <f>IF('2. Operating Budget'!$D23&gt;0,$C29/12,'2. Operating Budget'!$B23*4.3+'2. Operating Budget'!$C23+'2. Operating Budget'!$E23*R$7)</f>
        <v>0</v>
      </c>
      <c r="S29" s="93">
        <f>IF('2. Operating Budget'!$D23&gt;0,$C29/12,'2. Operating Budget'!$B23*4.3+'2. Operating Budget'!$C23+'2. Operating Budget'!$E23*S$7)</f>
        <v>0</v>
      </c>
      <c r="T29" s="93">
        <f>IF('2. Operating Budget'!$D23&gt;0,$C29/12,'2. Operating Budget'!$B23*4.3+'2. Operating Budget'!$C23+'2. Operating Budget'!$E23*T$7)</f>
        <v>0</v>
      </c>
      <c r="U29" s="93">
        <f>IF('2. Operating Budget'!$D23&gt;0,$C29/12,'2. Operating Budget'!$B23*4.3+'2. Operating Budget'!$C23+'2. Operating Budget'!$E23*U$7)</f>
        <v>0</v>
      </c>
      <c r="V29" s="93">
        <f>IF('2. Operating Budget'!$D23&gt;0,$C29/12,'2. Operating Budget'!$B23*4.3+'2. Operating Budget'!$C23+'2. Operating Budget'!$E23*V$7)</f>
        <v>0</v>
      </c>
      <c r="W29" s="93">
        <f>IF('2. Operating Budget'!$D23&gt;0,$C29/12,'2. Operating Budget'!$B23*4.3+'2. Operating Budget'!$C23+'2. Operating Budget'!$E23*W$7)</f>
        <v>0</v>
      </c>
      <c r="X29" s="93">
        <f>IF('2. Operating Budget'!$D23&gt;0,$C29/12,'2. Operating Budget'!$B23*4.3+'2. Operating Budget'!$C23+'2. Operating Budget'!$E23*X$7)</f>
        <v>0</v>
      </c>
      <c r="Y29" s="93">
        <f>IF('2. Operating Budget'!$D23&gt;0,$C29/12,'2. Operating Budget'!$B23*4.3+'2. Operating Budget'!$C23+'2. Operating Budget'!$E23*Y$7)</f>
        <v>0</v>
      </c>
      <c r="Z29" s="93">
        <f>IF('2. Operating Budget'!$D23&gt;0,$C29/12,'2. Operating Budget'!$B23*4.3+'2. Operating Budget'!$C23+'2. Operating Budget'!$E23*Z$7)</f>
        <v>0</v>
      </c>
      <c r="AA29" s="93">
        <f>IF('2. Operating Budget'!$D23&gt;0,$C29/12,'2. Operating Budget'!$B23*4.3+'2. Operating Budget'!$C23+'2. Operating Budget'!$E23*AA$7)</f>
        <v>0</v>
      </c>
      <c r="AB29" s="93">
        <f>IF('2. Operating Budget'!$D23&gt;0,$C29/12,'2. Operating Budget'!$B23*4.3+'2. Operating Budget'!$C23+'2. Operating Budget'!$E23*AB$7)</f>
        <v>0</v>
      </c>
      <c r="AC29" s="412">
        <f t="shared" si="20"/>
        <v>0</v>
      </c>
      <c r="AD29" s="412">
        <f>IF('2. Operating Budget'!$E23&gt;0,'2. Operating Budget'!$E23*'8. P&amp;L and Cashflow'!AD$7,'2. Operating Budget'!$K23)</f>
        <v>0</v>
      </c>
      <c r="AE29" s="412">
        <f>IF('2. Operating Budget'!$E23&gt;0,'2. Operating Budget'!$E23*'8. P&amp;L and Cashflow'!AE$7,'2. Operating Budget'!$K23)</f>
        <v>0</v>
      </c>
      <c r="AF29" s="412">
        <f>IF('2. Operating Budget'!$E23&gt;0,'2. Operating Budget'!$E23*'8. P&amp;L and Cashflow'!AF$7,'2. Operating Budget'!$K23)</f>
        <v>0</v>
      </c>
    </row>
    <row r="30" spans="1:32" ht="12.75" hidden="1">
      <c r="A30" s="9"/>
      <c r="B30" s="341" t="str">
        <f>IF('2. Operating Budget'!A24="","",'2. Operating Budget'!A24)</f>
        <v/>
      </c>
      <c r="C30" s="342">
        <f>'2. Operating Budget'!K24</f>
        <v>0</v>
      </c>
      <c r="D30" s="343">
        <f>IF('2. Operating Budget'!$D24&gt;0,$C30/12,'2. Operating Budget'!$B24*4.3+'2. Operating Budget'!$C24+'2. Operating Budget'!$E24*D$7)</f>
        <v>0</v>
      </c>
      <c r="E30" s="344">
        <f>IF('2. Operating Budget'!$D24&gt;0,$C30/12,'2. Operating Budget'!$B24*4.3+'2. Operating Budget'!$C24+'2. Operating Budget'!$E24*E$7)</f>
        <v>0</v>
      </c>
      <c r="F30" s="344">
        <f>IF('2. Operating Budget'!$D24&gt;0,$C30/12,'2. Operating Budget'!$B24*4.3+'2. Operating Budget'!$C24+'2. Operating Budget'!$E24*F$7)</f>
        <v>0</v>
      </c>
      <c r="G30" s="344">
        <f>IF('2. Operating Budget'!$D24&gt;0,$C30/12,'2. Operating Budget'!$B24*4.3+'2. Operating Budget'!$C24+'2. Operating Budget'!$E24*G$7)</f>
        <v>0</v>
      </c>
      <c r="H30" s="344">
        <f>IF('2. Operating Budget'!$D24&gt;0,$C30/12,'2. Operating Budget'!$B24*4.3+'2. Operating Budget'!$C24+'2. Operating Budget'!$E24*H$7)</f>
        <v>0</v>
      </c>
      <c r="I30" s="344">
        <f>IF('2. Operating Budget'!$D24&gt;0,$C30/12,'2. Operating Budget'!$B24*4.3+'2. Operating Budget'!$C24+'2. Operating Budget'!$E24*I$7)</f>
        <v>0</v>
      </c>
      <c r="J30" s="344">
        <f>IF('2. Operating Budget'!$D24&gt;0,$C30/12,'2. Operating Budget'!$B24*4.3+'2. Operating Budget'!$C24+'2. Operating Budget'!$E24*J$7)</f>
        <v>0</v>
      </c>
      <c r="K30" s="344">
        <f>IF('2. Operating Budget'!$D24&gt;0,$C30/12,'2. Operating Budget'!$B24*4.3+'2. Operating Budget'!$C24+'2. Operating Budget'!$E24*K$7)</f>
        <v>0</v>
      </c>
      <c r="L30" s="344">
        <f>IF('2. Operating Budget'!$D24&gt;0,$C30/12,'2. Operating Budget'!$B24*4.3+'2. Operating Budget'!$C24+'2. Operating Budget'!$E24*L$7)</f>
        <v>0</v>
      </c>
      <c r="M30" s="344">
        <f>IF('2. Operating Budget'!$D24&gt;0,$C30/12,'2. Operating Budget'!$B24*4.3+'2. Operating Budget'!$C24+'2. Operating Budget'!$E24*M$7)</f>
        <v>0</v>
      </c>
      <c r="N30" s="344">
        <f>IF('2. Operating Budget'!$D24&gt;0,$C30/12,'2. Operating Budget'!$B24*4.3+'2. Operating Budget'!$C24+'2. Operating Budget'!$E24*N$7)</f>
        <v>0</v>
      </c>
      <c r="O30" s="344">
        <f>IF('2. Operating Budget'!$D24&gt;0,$C30/12,'2. Operating Budget'!$B24*4.3+'2. Operating Budget'!$C24+'2. Operating Budget'!$E24*O$7)</f>
        <v>0</v>
      </c>
      <c r="P30" s="411">
        <f t="shared" si="21"/>
        <v>0</v>
      </c>
      <c r="Q30" s="343">
        <f>IF('2. Operating Budget'!$D24&gt;0,$C30/12,'2. Operating Budget'!$B24*4.3+'2. Operating Budget'!$C24+'2. Operating Budget'!$E24*Q$7)</f>
        <v>0</v>
      </c>
      <c r="R30" s="344">
        <f>IF('2. Operating Budget'!$D24&gt;0,$C30/12,'2. Operating Budget'!$B24*4.3+'2. Operating Budget'!$C24+'2. Operating Budget'!$E24*R$7)</f>
        <v>0</v>
      </c>
      <c r="S30" s="344">
        <f>IF('2. Operating Budget'!$D24&gt;0,$C30/12,'2. Operating Budget'!$B24*4.3+'2. Operating Budget'!$C24+'2. Operating Budget'!$E24*S$7)</f>
        <v>0</v>
      </c>
      <c r="T30" s="344">
        <f>IF('2. Operating Budget'!$D24&gt;0,$C30/12,'2. Operating Budget'!$B24*4.3+'2. Operating Budget'!$C24+'2. Operating Budget'!$E24*T$7)</f>
        <v>0</v>
      </c>
      <c r="U30" s="344">
        <f>IF('2. Operating Budget'!$D24&gt;0,$C30/12,'2. Operating Budget'!$B24*4.3+'2. Operating Budget'!$C24+'2. Operating Budget'!$E24*U$7)</f>
        <v>0</v>
      </c>
      <c r="V30" s="344">
        <f>IF('2. Operating Budget'!$D24&gt;0,$C30/12,'2. Operating Budget'!$B24*4.3+'2. Operating Budget'!$C24+'2. Operating Budget'!$E24*V$7)</f>
        <v>0</v>
      </c>
      <c r="W30" s="344">
        <f>IF('2. Operating Budget'!$D24&gt;0,$C30/12,'2. Operating Budget'!$B24*4.3+'2. Operating Budget'!$C24+'2. Operating Budget'!$E24*W$7)</f>
        <v>0</v>
      </c>
      <c r="X30" s="344">
        <f>IF('2. Operating Budget'!$D24&gt;0,$C30/12,'2. Operating Budget'!$B24*4.3+'2. Operating Budget'!$C24+'2. Operating Budget'!$E24*X$7)</f>
        <v>0</v>
      </c>
      <c r="Y30" s="344">
        <f>IF('2. Operating Budget'!$D24&gt;0,$C30/12,'2. Operating Budget'!$B24*4.3+'2. Operating Budget'!$C24+'2. Operating Budget'!$E24*Y$7)</f>
        <v>0</v>
      </c>
      <c r="Z30" s="344">
        <f>IF('2. Operating Budget'!$D24&gt;0,$C30/12,'2. Operating Budget'!$B24*4.3+'2. Operating Budget'!$C24+'2. Operating Budget'!$E24*Z$7)</f>
        <v>0</v>
      </c>
      <c r="AA30" s="344">
        <f>IF('2. Operating Budget'!$D24&gt;0,$C30/12,'2. Operating Budget'!$B24*4.3+'2. Operating Budget'!$C24+'2. Operating Budget'!$E24*AA$7)</f>
        <v>0</v>
      </c>
      <c r="AB30" s="344">
        <f>IF('2. Operating Budget'!$D24&gt;0,$C30/12,'2. Operating Budget'!$B24*4.3+'2. Operating Budget'!$C24+'2. Operating Budget'!$E24*AB$7)</f>
        <v>0</v>
      </c>
      <c r="AC30" s="411">
        <f t="shared" si="20"/>
        <v>0</v>
      </c>
      <c r="AD30" s="411">
        <f>IF('2. Operating Budget'!$E24&gt;0,'2. Operating Budget'!$E24*'8. P&amp;L and Cashflow'!AD$7,'2. Operating Budget'!$K24)</f>
        <v>0</v>
      </c>
      <c r="AE30" s="411">
        <f>IF('2. Operating Budget'!$E24&gt;0,'2. Operating Budget'!$E24*'8. P&amp;L and Cashflow'!AE$7,'2. Operating Budget'!$K24)</f>
        <v>0</v>
      </c>
      <c r="AF30" s="411">
        <f>IF('2. Operating Budget'!$E24&gt;0,'2. Operating Budget'!$E24*'8. P&amp;L and Cashflow'!AF$7,'2. Operating Budget'!$K24)</f>
        <v>0</v>
      </c>
    </row>
    <row r="31" spans="1:32" ht="12.75" hidden="1">
      <c r="A31" s="9"/>
      <c r="B31" s="209" t="str">
        <f>IF('2. Operating Budget'!A25="","",'2. Operating Budget'!A25)</f>
        <v/>
      </c>
      <c r="C31" s="313">
        <f>'2. Operating Budget'!K25</f>
        <v>0</v>
      </c>
      <c r="D31" s="307">
        <f>IF('2. Operating Budget'!$D25&gt;0,$C31/12,'2. Operating Budget'!$B25*4.3+'2. Operating Budget'!$C25+'2. Operating Budget'!$E25*D$7)</f>
        <v>0</v>
      </c>
      <c r="E31" s="93">
        <f>IF('2. Operating Budget'!$D25&gt;0,$C31/12,'2. Operating Budget'!$B25*4.3+'2. Operating Budget'!$C25+'2. Operating Budget'!$E25*E$7)</f>
        <v>0</v>
      </c>
      <c r="F31" s="93">
        <f>IF('2. Operating Budget'!$D25&gt;0,$C31/12,'2. Operating Budget'!$B25*4.3+'2. Operating Budget'!$C25+'2. Operating Budget'!$E25*F$7)</f>
        <v>0</v>
      </c>
      <c r="G31" s="93">
        <f>IF('2. Operating Budget'!$D25&gt;0,$C31/12,'2. Operating Budget'!$B25*4.3+'2. Operating Budget'!$C25+'2. Operating Budget'!$E25*G$7)</f>
        <v>0</v>
      </c>
      <c r="H31" s="93">
        <f>IF('2. Operating Budget'!$D25&gt;0,$C31/12,'2. Operating Budget'!$B25*4.3+'2. Operating Budget'!$C25+'2. Operating Budget'!$E25*H$7)</f>
        <v>0</v>
      </c>
      <c r="I31" s="93">
        <f>IF('2. Operating Budget'!$D25&gt;0,$C31/12,'2. Operating Budget'!$B25*4.3+'2. Operating Budget'!$C25+'2. Operating Budget'!$E25*I$7)</f>
        <v>0</v>
      </c>
      <c r="J31" s="93">
        <f>IF('2. Operating Budget'!$D25&gt;0,$C31/12,'2. Operating Budget'!$B25*4.3+'2. Operating Budget'!$C25+'2. Operating Budget'!$E25*J$7)</f>
        <v>0</v>
      </c>
      <c r="K31" s="93">
        <f>IF('2. Operating Budget'!$D25&gt;0,$C31/12,'2. Operating Budget'!$B25*4.3+'2. Operating Budget'!$C25+'2. Operating Budget'!$E25*K$7)</f>
        <v>0</v>
      </c>
      <c r="L31" s="93">
        <f>IF('2. Operating Budget'!$D25&gt;0,$C31/12,'2. Operating Budget'!$B25*4.3+'2. Operating Budget'!$C25+'2. Operating Budget'!$E25*L$7)</f>
        <v>0</v>
      </c>
      <c r="M31" s="93">
        <f>IF('2. Operating Budget'!$D25&gt;0,$C31/12,'2. Operating Budget'!$B25*4.3+'2. Operating Budget'!$C25+'2. Operating Budget'!$E25*M$7)</f>
        <v>0</v>
      </c>
      <c r="N31" s="93">
        <f>IF('2. Operating Budget'!$D25&gt;0,$C31/12,'2. Operating Budget'!$B25*4.3+'2. Operating Budget'!$C25+'2. Operating Budget'!$E25*N$7)</f>
        <v>0</v>
      </c>
      <c r="O31" s="93">
        <f>IF('2. Operating Budget'!$D25&gt;0,$C31/12,'2. Operating Budget'!$B25*4.3+'2. Operating Budget'!$C25+'2. Operating Budget'!$E25*O$7)</f>
        <v>0</v>
      </c>
      <c r="P31" s="412">
        <f t="shared" si="21"/>
        <v>0</v>
      </c>
      <c r="Q31" s="307">
        <f>IF('2. Operating Budget'!$D25&gt;0,$C31/12,'2. Operating Budget'!$B25*4.3+'2. Operating Budget'!$C25+'2. Operating Budget'!$E25*Q$7)</f>
        <v>0</v>
      </c>
      <c r="R31" s="93">
        <f>IF('2. Operating Budget'!$D25&gt;0,$C31/12,'2. Operating Budget'!$B25*4.3+'2. Operating Budget'!$C25+'2. Operating Budget'!$E25*R$7)</f>
        <v>0</v>
      </c>
      <c r="S31" s="93">
        <f>IF('2. Operating Budget'!$D25&gt;0,$C31/12,'2. Operating Budget'!$B25*4.3+'2. Operating Budget'!$C25+'2. Operating Budget'!$E25*S$7)</f>
        <v>0</v>
      </c>
      <c r="T31" s="93">
        <f>IF('2. Operating Budget'!$D25&gt;0,$C31/12,'2. Operating Budget'!$B25*4.3+'2. Operating Budget'!$C25+'2. Operating Budget'!$E25*T$7)</f>
        <v>0</v>
      </c>
      <c r="U31" s="93">
        <f>IF('2. Operating Budget'!$D25&gt;0,$C31/12,'2. Operating Budget'!$B25*4.3+'2. Operating Budget'!$C25+'2. Operating Budget'!$E25*U$7)</f>
        <v>0</v>
      </c>
      <c r="V31" s="93">
        <f>IF('2. Operating Budget'!$D25&gt;0,$C31/12,'2. Operating Budget'!$B25*4.3+'2. Operating Budget'!$C25+'2. Operating Budget'!$E25*V$7)</f>
        <v>0</v>
      </c>
      <c r="W31" s="93">
        <f>IF('2. Operating Budget'!$D25&gt;0,$C31/12,'2. Operating Budget'!$B25*4.3+'2. Operating Budget'!$C25+'2. Operating Budget'!$E25*W$7)</f>
        <v>0</v>
      </c>
      <c r="X31" s="93">
        <f>IF('2. Operating Budget'!$D25&gt;0,$C31/12,'2. Operating Budget'!$B25*4.3+'2. Operating Budget'!$C25+'2. Operating Budget'!$E25*X$7)</f>
        <v>0</v>
      </c>
      <c r="Y31" s="93">
        <f>IF('2. Operating Budget'!$D25&gt;0,$C31/12,'2. Operating Budget'!$B25*4.3+'2. Operating Budget'!$C25+'2. Operating Budget'!$E25*Y$7)</f>
        <v>0</v>
      </c>
      <c r="Z31" s="93">
        <f>IF('2. Operating Budget'!$D25&gt;0,$C31/12,'2. Operating Budget'!$B25*4.3+'2. Operating Budget'!$C25+'2. Operating Budget'!$E25*Z$7)</f>
        <v>0</v>
      </c>
      <c r="AA31" s="93">
        <f>IF('2. Operating Budget'!$D25&gt;0,$C31/12,'2. Operating Budget'!$B25*4.3+'2. Operating Budget'!$C25+'2. Operating Budget'!$E25*AA$7)</f>
        <v>0</v>
      </c>
      <c r="AB31" s="93">
        <f>IF('2. Operating Budget'!$D25&gt;0,$C31/12,'2. Operating Budget'!$B25*4.3+'2. Operating Budget'!$C25+'2. Operating Budget'!$E25*AB$7)</f>
        <v>0</v>
      </c>
      <c r="AC31" s="412">
        <f t="shared" si="20"/>
        <v>0</v>
      </c>
      <c r="AD31" s="412">
        <f>IF('2. Operating Budget'!$E25&gt;0,'2. Operating Budget'!$E25*'8. P&amp;L and Cashflow'!AD$7,'2. Operating Budget'!$K25)</f>
        <v>0</v>
      </c>
      <c r="AE31" s="412">
        <f>IF('2. Operating Budget'!$E25&gt;0,'2. Operating Budget'!$E25*'8. P&amp;L and Cashflow'!AE$7,'2. Operating Budget'!$K25)</f>
        <v>0</v>
      </c>
      <c r="AF31" s="412">
        <f>IF('2. Operating Budget'!$E25&gt;0,'2. Operating Budget'!$E25*'8. P&amp;L and Cashflow'!AF$7,'2. Operating Budget'!$K25)</f>
        <v>0</v>
      </c>
    </row>
    <row r="32" spans="1:32" ht="12.75" hidden="1">
      <c r="A32" s="9"/>
      <c r="B32" s="341" t="str">
        <f>IF('2. Operating Budget'!A26="","",'2. Operating Budget'!A26)</f>
        <v/>
      </c>
      <c r="C32" s="342">
        <f>'2. Operating Budget'!K26</f>
        <v>0</v>
      </c>
      <c r="D32" s="343">
        <f>IF('2. Operating Budget'!$D26&gt;0,$C32/12,'2. Operating Budget'!$B26*4.3+'2. Operating Budget'!$C26+'2. Operating Budget'!$E26*D$7)</f>
        <v>0</v>
      </c>
      <c r="E32" s="344">
        <f>IF('2. Operating Budget'!$D26&gt;0,$C32/12,'2. Operating Budget'!$B26*4.3+'2. Operating Budget'!$C26+'2. Operating Budget'!$E26*E$7)</f>
        <v>0</v>
      </c>
      <c r="F32" s="344">
        <f>IF('2. Operating Budget'!$D26&gt;0,$C32/12,'2. Operating Budget'!$B26*4.3+'2. Operating Budget'!$C26+'2. Operating Budget'!$E26*F$7)</f>
        <v>0</v>
      </c>
      <c r="G32" s="344">
        <f>IF('2. Operating Budget'!$D26&gt;0,$C32/12,'2. Operating Budget'!$B26*4.3+'2. Operating Budget'!$C26+'2. Operating Budget'!$E26*G$7)</f>
        <v>0</v>
      </c>
      <c r="H32" s="344">
        <f>IF('2. Operating Budget'!$D26&gt;0,$C32/12,'2. Operating Budget'!$B26*4.3+'2. Operating Budget'!$C26+'2. Operating Budget'!$E26*H$7)</f>
        <v>0</v>
      </c>
      <c r="I32" s="344">
        <f>IF('2. Operating Budget'!$D26&gt;0,$C32/12,'2. Operating Budget'!$B26*4.3+'2. Operating Budget'!$C26+'2. Operating Budget'!$E26*I$7)</f>
        <v>0</v>
      </c>
      <c r="J32" s="344">
        <f>IF('2. Operating Budget'!$D26&gt;0,$C32/12,'2. Operating Budget'!$B26*4.3+'2. Operating Budget'!$C26+'2. Operating Budget'!$E26*J$7)</f>
        <v>0</v>
      </c>
      <c r="K32" s="344">
        <f>IF('2. Operating Budget'!$D26&gt;0,$C32/12,'2. Operating Budget'!$B26*4.3+'2. Operating Budget'!$C26+'2. Operating Budget'!$E26*K$7)</f>
        <v>0</v>
      </c>
      <c r="L32" s="344">
        <f>IF('2. Operating Budget'!$D26&gt;0,$C32/12,'2. Operating Budget'!$B26*4.3+'2. Operating Budget'!$C26+'2. Operating Budget'!$E26*L$7)</f>
        <v>0</v>
      </c>
      <c r="M32" s="344">
        <f>IF('2. Operating Budget'!$D26&gt;0,$C32/12,'2. Operating Budget'!$B26*4.3+'2. Operating Budget'!$C26+'2. Operating Budget'!$E26*M$7)</f>
        <v>0</v>
      </c>
      <c r="N32" s="344">
        <f>IF('2. Operating Budget'!$D26&gt;0,$C32/12,'2. Operating Budget'!$B26*4.3+'2. Operating Budget'!$C26+'2. Operating Budget'!$E26*N$7)</f>
        <v>0</v>
      </c>
      <c r="O32" s="344">
        <f>IF('2. Operating Budget'!$D26&gt;0,$C32/12,'2. Operating Budget'!$B26*4.3+'2. Operating Budget'!$C26+'2. Operating Budget'!$E26*O$7)</f>
        <v>0</v>
      </c>
      <c r="P32" s="411">
        <f t="shared" si="21"/>
        <v>0</v>
      </c>
      <c r="Q32" s="343">
        <f>IF('2. Operating Budget'!$D26&gt;0,$C32/12,'2. Operating Budget'!$B26*4.3+'2. Operating Budget'!$C26+'2. Operating Budget'!$E26*Q$7)</f>
        <v>0</v>
      </c>
      <c r="R32" s="344">
        <f>IF('2. Operating Budget'!$D26&gt;0,$C32/12,'2. Operating Budget'!$B26*4.3+'2. Operating Budget'!$C26+'2. Operating Budget'!$E26*R$7)</f>
        <v>0</v>
      </c>
      <c r="S32" s="344">
        <f>IF('2. Operating Budget'!$D26&gt;0,$C32/12,'2. Operating Budget'!$B26*4.3+'2. Operating Budget'!$C26+'2. Operating Budget'!$E26*S$7)</f>
        <v>0</v>
      </c>
      <c r="T32" s="344">
        <f>IF('2. Operating Budget'!$D26&gt;0,$C32/12,'2. Operating Budget'!$B26*4.3+'2. Operating Budget'!$C26+'2. Operating Budget'!$E26*T$7)</f>
        <v>0</v>
      </c>
      <c r="U32" s="344">
        <f>IF('2. Operating Budget'!$D26&gt;0,$C32/12,'2. Operating Budget'!$B26*4.3+'2. Operating Budget'!$C26+'2. Operating Budget'!$E26*U$7)</f>
        <v>0</v>
      </c>
      <c r="V32" s="344">
        <f>IF('2. Operating Budget'!$D26&gt;0,$C32/12,'2. Operating Budget'!$B26*4.3+'2. Operating Budget'!$C26+'2. Operating Budget'!$E26*V$7)</f>
        <v>0</v>
      </c>
      <c r="W32" s="344">
        <f>IF('2. Operating Budget'!$D26&gt;0,$C32/12,'2. Operating Budget'!$B26*4.3+'2. Operating Budget'!$C26+'2. Operating Budget'!$E26*W$7)</f>
        <v>0</v>
      </c>
      <c r="X32" s="344">
        <f>IF('2. Operating Budget'!$D26&gt;0,$C32/12,'2. Operating Budget'!$B26*4.3+'2. Operating Budget'!$C26+'2. Operating Budget'!$E26*X$7)</f>
        <v>0</v>
      </c>
      <c r="Y32" s="344">
        <f>IF('2. Operating Budget'!$D26&gt;0,$C32/12,'2. Operating Budget'!$B26*4.3+'2. Operating Budget'!$C26+'2. Operating Budget'!$E26*Y$7)</f>
        <v>0</v>
      </c>
      <c r="Z32" s="344">
        <f>IF('2. Operating Budget'!$D26&gt;0,$C32/12,'2. Operating Budget'!$B26*4.3+'2. Operating Budget'!$C26+'2. Operating Budget'!$E26*Z$7)</f>
        <v>0</v>
      </c>
      <c r="AA32" s="344">
        <f>IF('2. Operating Budget'!$D26&gt;0,$C32/12,'2. Operating Budget'!$B26*4.3+'2. Operating Budget'!$C26+'2. Operating Budget'!$E26*AA$7)</f>
        <v>0</v>
      </c>
      <c r="AB32" s="344">
        <f>IF('2. Operating Budget'!$D26&gt;0,$C32/12,'2. Operating Budget'!$B26*4.3+'2. Operating Budget'!$C26+'2. Operating Budget'!$E26*AB$7)</f>
        <v>0</v>
      </c>
      <c r="AC32" s="411">
        <f t="shared" si="20"/>
        <v>0</v>
      </c>
      <c r="AD32" s="411">
        <f>IF('2. Operating Budget'!$E26&gt;0,'2. Operating Budget'!$E26*'8. P&amp;L and Cashflow'!AD$7,'2. Operating Budget'!$K26)</f>
        <v>0</v>
      </c>
      <c r="AE32" s="411">
        <f>IF('2. Operating Budget'!$E26&gt;0,'2. Operating Budget'!$E26*'8. P&amp;L and Cashflow'!AE$7,'2. Operating Budget'!$K26)</f>
        <v>0</v>
      </c>
      <c r="AF32" s="411">
        <f>IF('2. Operating Budget'!$E26&gt;0,'2. Operating Budget'!$E26*'8. P&amp;L and Cashflow'!AF$7,'2. Operating Budget'!$K26)</f>
        <v>0</v>
      </c>
    </row>
    <row r="33" spans="1:32" ht="12.75">
      <c r="A33" s="9"/>
      <c r="B33" s="209" t="str">
        <f>IF('2. Operating Budget'!A27="","",'2. Operating Budget'!A27)</f>
        <v>Delivery Expense (Fuel, S&amp;H)</v>
      </c>
      <c r="C33" s="313">
        <f>'2. Operating Budget'!K27</f>
        <v>2070</v>
      </c>
      <c r="D33" s="307">
        <f>IF('2. Operating Budget'!$D27&gt;0,$C33/12,'2. Operating Budget'!$B27*4.3+'2. Operating Budget'!$C27+'2. Operating Budget'!$E27*D$7)</f>
        <v>90</v>
      </c>
      <c r="E33" s="93">
        <f>IF('2. Operating Budget'!$D27&gt;0,$C33/12,'2. Operating Budget'!$B27*4.3+'2. Operating Budget'!$C27+'2. Operating Budget'!$E27*E$7)</f>
        <v>180</v>
      </c>
      <c r="F33" s="93">
        <f>IF('2. Operating Budget'!$D27&gt;0,$C33/12,'2. Operating Budget'!$B27*4.3+'2. Operating Budget'!$C27+'2. Operating Budget'!$E27*F$7)</f>
        <v>180</v>
      </c>
      <c r="G33" s="93">
        <f>IF('2. Operating Budget'!$D27&gt;0,$C33/12,'2. Operating Budget'!$B27*4.3+'2. Operating Budget'!$C27+'2. Operating Budget'!$E27*G$7)</f>
        <v>180</v>
      </c>
      <c r="H33" s="93">
        <f>IF('2. Operating Budget'!$D27&gt;0,$C33/12,'2. Operating Budget'!$B27*4.3+'2. Operating Budget'!$C27+'2. Operating Budget'!$E27*H$7)</f>
        <v>180</v>
      </c>
      <c r="I33" s="93">
        <f>IF('2. Operating Budget'!$D27&gt;0,$C33/12,'2. Operating Budget'!$B27*4.3+'2. Operating Budget'!$C27+'2. Operating Budget'!$E27*I$7)</f>
        <v>180</v>
      </c>
      <c r="J33" s="93">
        <f>IF('2. Operating Budget'!$D27&gt;0,$C33/12,'2. Operating Budget'!$B27*4.3+'2. Operating Budget'!$C27+'2. Operating Budget'!$E27*J$7)</f>
        <v>180</v>
      </c>
      <c r="K33" s="93">
        <f>IF('2. Operating Budget'!$D27&gt;0,$C33/12,'2. Operating Budget'!$B27*4.3+'2. Operating Budget'!$C27+'2. Operating Budget'!$E27*K$7)</f>
        <v>180</v>
      </c>
      <c r="L33" s="93">
        <f>IF('2. Operating Budget'!$D27&gt;0,$C33/12,'2. Operating Budget'!$B27*4.3+'2. Operating Budget'!$C27+'2. Operating Budget'!$E27*L$7)</f>
        <v>180</v>
      </c>
      <c r="M33" s="93">
        <f>IF('2. Operating Budget'!$D27&gt;0,$C33/12,'2. Operating Budget'!$B27*4.3+'2. Operating Budget'!$C27+'2. Operating Budget'!$E27*M$7)</f>
        <v>180</v>
      </c>
      <c r="N33" s="93">
        <f>IF('2. Operating Budget'!$D27&gt;0,$C33/12,'2. Operating Budget'!$B27*4.3+'2. Operating Budget'!$C27+'2. Operating Budget'!$E27*N$7)</f>
        <v>180</v>
      </c>
      <c r="O33" s="93">
        <f>IF('2. Operating Budget'!$D27&gt;0,$C33/12,'2. Operating Budget'!$B27*4.3+'2. Operating Budget'!$C27+'2. Operating Budget'!$E27*O$7)</f>
        <v>180</v>
      </c>
      <c r="P33" s="412">
        <f t="shared" si="21"/>
        <v>2070</v>
      </c>
      <c r="Q33" s="307">
        <f>IF('2. Operating Budget'!$D27&gt;0,$C33/12,'2. Operating Budget'!$B27*4.3+'2. Operating Budget'!$C27+'2. Operating Budget'!$E27*Q$7)</f>
        <v>200.4</v>
      </c>
      <c r="R33" s="93">
        <f>IF('2. Operating Budget'!$D27&gt;0,$C33/12,'2. Operating Budget'!$B27*4.3+'2. Operating Budget'!$C27+'2. Operating Budget'!$E27*R$7)</f>
        <v>200.4</v>
      </c>
      <c r="S33" s="93">
        <f>IF('2. Operating Budget'!$D27&gt;0,$C33/12,'2. Operating Budget'!$B27*4.3+'2. Operating Budget'!$C27+'2. Operating Budget'!$E27*S$7)</f>
        <v>200.4</v>
      </c>
      <c r="T33" s="93">
        <f>IF('2. Operating Budget'!$D27&gt;0,$C33/12,'2. Operating Budget'!$B27*4.3+'2. Operating Budget'!$C27+'2. Operating Budget'!$E27*T$7)</f>
        <v>200.4</v>
      </c>
      <c r="U33" s="93">
        <f>IF('2. Operating Budget'!$D27&gt;0,$C33/12,'2. Operating Budget'!$B27*4.3+'2. Operating Budget'!$C27+'2. Operating Budget'!$E27*U$7)</f>
        <v>200.4</v>
      </c>
      <c r="V33" s="93">
        <f>IF('2. Operating Budget'!$D27&gt;0,$C33/12,'2. Operating Budget'!$B27*4.3+'2. Operating Budget'!$C27+'2. Operating Budget'!$E27*V$7)</f>
        <v>200.4</v>
      </c>
      <c r="W33" s="93">
        <f>IF('2. Operating Budget'!$D27&gt;0,$C33/12,'2. Operating Budget'!$B27*4.3+'2. Operating Budget'!$C27+'2. Operating Budget'!$E27*W$7)</f>
        <v>200.4</v>
      </c>
      <c r="X33" s="93">
        <f>IF('2. Operating Budget'!$D27&gt;0,$C33/12,'2. Operating Budget'!$B27*4.3+'2. Operating Budget'!$C27+'2. Operating Budget'!$E27*X$7)</f>
        <v>200.4</v>
      </c>
      <c r="Y33" s="93">
        <f>IF('2. Operating Budget'!$D27&gt;0,$C33/12,'2. Operating Budget'!$B27*4.3+'2. Operating Budget'!$C27+'2. Operating Budget'!$E27*Y$7)</f>
        <v>200.4</v>
      </c>
      <c r="Z33" s="93">
        <f>IF('2. Operating Budget'!$D27&gt;0,$C33/12,'2. Operating Budget'!$B27*4.3+'2. Operating Budget'!$C27+'2. Operating Budget'!$E27*Z$7)</f>
        <v>200.4</v>
      </c>
      <c r="AA33" s="93">
        <f>IF('2. Operating Budget'!$D27&gt;0,$C33/12,'2. Operating Budget'!$B27*4.3+'2. Operating Budget'!$C27+'2. Operating Budget'!$E27*AA$7)</f>
        <v>200.4</v>
      </c>
      <c r="AB33" s="93">
        <f>IF('2. Operating Budget'!$D27&gt;0,$C33/12,'2. Operating Budget'!$B27*4.3+'2. Operating Budget'!$C27+'2. Operating Budget'!$E27*AB$7)</f>
        <v>200.4</v>
      </c>
      <c r="AC33" s="412">
        <f t="shared" si="20"/>
        <v>2404.8000000000006</v>
      </c>
      <c r="AD33" s="412">
        <f>IF('2. Operating Budget'!$E27&gt;0,'2. Operating Budget'!$E27*'8. P&amp;L and Cashflow'!AD$7,'2. Operating Budget'!$K27)</f>
        <v>2678.4000000000005</v>
      </c>
      <c r="AE33" s="412">
        <f>IF('2. Operating Budget'!$E27&gt;0,'2. Operating Budget'!$E27*'8. P&amp;L and Cashflow'!AE$7,'2. Operating Budget'!$K27)</f>
        <v>2984.3280000000004</v>
      </c>
      <c r="AF33" s="412">
        <f>IF('2. Operating Budget'!$E27&gt;0,'2. Operating Budget'!$E27*'8. P&amp;L and Cashflow'!AF$7,'2. Operating Budget'!$K27)</f>
        <v>3326.5620000000004</v>
      </c>
    </row>
    <row r="34" spans="1:32" ht="12.75" hidden="1">
      <c r="A34" s="9"/>
      <c r="B34" s="341" t="str">
        <f>IF('2. Operating Budget'!A28="","",'2. Operating Budget'!A28)</f>
        <v/>
      </c>
      <c r="C34" s="342">
        <f>'2. Operating Budget'!K28</f>
        <v>0</v>
      </c>
      <c r="D34" s="343">
        <f>IF('2. Operating Budget'!$D28&gt;0,$C34/12,'2. Operating Budget'!$B28*4.3+'2. Operating Budget'!$C28+'2. Operating Budget'!$E28*D$7)</f>
        <v>0</v>
      </c>
      <c r="E34" s="344">
        <f>IF('2. Operating Budget'!$D28&gt;0,$C34/12,'2. Operating Budget'!$B28*4.3+'2. Operating Budget'!$C28+'2. Operating Budget'!$E28*E$7)</f>
        <v>0</v>
      </c>
      <c r="F34" s="344">
        <f>IF('2. Operating Budget'!$D28&gt;0,$C34/12,'2. Operating Budget'!$B28*4.3+'2. Operating Budget'!$C28+'2. Operating Budget'!$E28*F$7)</f>
        <v>0</v>
      </c>
      <c r="G34" s="344">
        <f>IF('2. Operating Budget'!$D28&gt;0,$C34/12,'2. Operating Budget'!$B28*4.3+'2. Operating Budget'!$C28+'2. Operating Budget'!$E28*G$7)</f>
        <v>0</v>
      </c>
      <c r="H34" s="344">
        <f>IF('2. Operating Budget'!$D28&gt;0,$C34/12,'2. Operating Budget'!$B28*4.3+'2. Operating Budget'!$C28+'2. Operating Budget'!$E28*H$7)</f>
        <v>0</v>
      </c>
      <c r="I34" s="344">
        <f>IF('2. Operating Budget'!$D28&gt;0,$C34/12,'2. Operating Budget'!$B28*4.3+'2. Operating Budget'!$C28+'2. Operating Budget'!$E28*I$7)</f>
        <v>0</v>
      </c>
      <c r="J34" s="344">
        <f>IF('2. Operating Budget'!$D28&gt;0,$C34/12,'2. Operating Budget'!$B28*4.3+'2. Operating Budget'!$C28+'2. Operating Budget'!$E28*J$7)</f>
        <v>0</v>
      </c>
      <c r="K34" s="344">
        <f>IF('2. Operating Budget'!$D28&gt;0,$C34/12,'2. Operating Budget'!$B28*4.3+'2. Operating Budget'!$C28+'2. Operating Budget'!$E28*K$7)</f>
        <v>0</v>
      </c>
      <c r="L34" s="344">
        <f>IF('2. Operating Budget'!$D28&gt;0,$C34/12,'2. Operating Budget'!$B28*4.3+'2. Operating Budget'!$C28+'2. Operating Budget'!$E28*L$7)</f>
        <v>0</v>
      </c>
      <c r="M34" s="344">
        <f>IF('2. Operating Budget'!$D28&gt;0,$C34/12,'2. Operating Budget'!$B28*4.3+'2. Operating Budget'!$C28+'2. Operating Budget'!$E28*M$7)</f>
        <v>0</v>
      </c>
      <c r="N34" s="344">
        <f>IF('2. Operating Budget'!$D28&gt;0,$C34/12,'2. Operating Budget'!$B28*4.3+'2. Operating Budget'!$C28+'2. Operating Budget'!$E28*N$7)</f>
        <v>0</v>
      </c>
      <c r="O34" s="344">
        <f>IF('2. Operating Budget'!$D28&gt;0,$C34/12,'2. Operating Budget'!$B28*4.3+'2. Operating Budget'!$C28+'2. Operating Budget'!$E28*O$7)</f>
        <v>0</v>
      </c>
      <c r="P34" s="411">
        <f t="shared" si="21"/>
        <v>0</v>
      </c>
      <c r="Q34" s="343">
        <f>IF('2. Operating Budget'!$D28&gt;0,$C34/12,'2. Operating Budget'!$B28*4.3+'2. Operating Budget'!$C28+'2. Operating Budget'!$E28*Q$7)</f>
        <v>0</v>
      </c>
      <c r="R34" s="344">
        <f>IF('2. Operating Budget'!$D28&gt;0,$C34/12,'2. Operating Budget'!$B28*4.3+'2. Operating Budget'!$C28+'2. Operating Budget'!$E28*R$7)</f>
        <v>0</v>
      </c>
      <c r="S34" s="344">
        <f>IF('2. Operating Budget'!$D28&gt;0,$C34/12,'2. Operating Budget'!$B28*4.3+'2. Operating Budget'!$C28+'2. Operating Budget'!$E28*S$7)</f>
        <v>0</v>
      </c>
      <c r="T34" s="344">
        <f>IF('2. Operating Budget'!$D28&gt;0,$C34/12,'2. Operating Budget'!$B28*4.3+'2. Operating Budget'!$C28+'2. Operating Budget'!$E28*T$7)</f>
        <v>0</v>
      </c>
      <c r="U34" s="344">
        <f>IF('2. Operating Budget'!$D28&gt;0,$C34/12,'2. Operating Budget'!$B28*4.3+'2. Operating Budget'!$C28+'2. Operating Budget'!$E28*U$7)</f>
        <v>0</v>
      </c>
      <c r="V34" s="344">
        <f>IF('2. Operating Budget'!$D28&gt;0,$C34/12,'2. Operating Budget'!$B28*4.3+'2. Operating Budget'!$C28+'2. Operating Budget'!$E28*V$7)</f>
        <v>0</v>
      </c>
      <c r="W34" s="344">
        <f>IF('2. Operating Budget'!$D28&gt;0,$C34/12,'2. Operating Budget'!$B28*4.3+'2. Operating Budget'!$C28+'2. Operating Budget'!$E28*W$7)</f>
        <v>0</v>
      </c>
      <c r="X34" s="344">
        <f>IF('2. Operating Budget'!$D28&gt;0,$C34/12,'2. Operating Budget'!$B28*4.3+'2. Operating Budget'!$C28+'2. Operating Budget'!$E28*X$7)</f>
        <v>0</v>
      </c>
      <c r="Y34" s="344">
        <f>IF('2. Operating Budget'!$D28&gt;0,$C34/12,'2. Operating Budget'!$B28*4.3+'2. Operating Budget'!$C28+'2. Operating Budget'!$E28*Y$7)</f>
        <v>0</v>
      </c>
      <c r="Z34" s="344">
        <f>IF('2. Operating Budget'!$D28&gt;0,$C34/12,'2. Operating Budget'!$B28*4.3+'2. Operating Budget'!$C28+'2. Operating Budget'!$E28*Z$7)</f>
        <v>0</v>
      </c>
      <c r="AA34" s="344">
        <f>IF('2. Operating Budget'!$D28&gt;0,$C34/12,'2. Operating Budget'!$B28*4.3+'2. Operating Budget'!$C28+'2. Operating Budget'!$E28*AA$7)</f>
        <v>0</v>
      </c>
      <c r="AB34" s="344">
        <f>IF('2. Operating Budget'!$D28&gt;0,$C34/12,'2. Operating Budget'!$B28*4.3+'2. Operating Budget'!$C28+'2. Operating Budget'!$E28*AB$7)</f>
        <v>0</v>
      </c>
      <c r="AC34" s="411">
        <f t="shared" si="20"/>
        <v>0</v>
      </c>
      <c r="AD34" s="411">
        <f>IF('2. Operating Budget'!$E28&gt;0,'2. Operating Budget'!$E28*'8. P&amp;L and Cashflow'!AD$7,'2. Operating Budget'!$K28)</f>
        <v>0</v>
      </c>
      <c r="AE34" s="411">
        <f>IF('2. Operating Budget'!$E28&gt;0,'2. Operating Budget'!$E28*'8. P&amp;L and Cashflow'!AE$7,'2. Operating Budget'!$K28)</f>
        <v>0</v>
      </c>
      <c r="AF34" s="411">
        <f>IF('2. Operating Budget'!$E28&gt;0,'2. Operating Budget'!$E28*'8. P&amp;L and Cashflow'!AF$7,'2. Operating Budget'!$K28)</f>
        <v>0</v>
      </c>
    </row>
    <row r="35" spans="1:32" ht="12.75">
      <c r="A35" s="9"/>
      <c r="B35" s="209" t="str">
        <f>IF('2. Operating Budget'!A29="","",'2. Operating Budget'!A29)</f>
        <v>Accounting Services</v>
      </c>
      <c r="C35" s="313">
        <f>'2. Operating Budget'!K29</f>
        <v>300</v>
      </c>
      <c r="D35" s="307">
        <f>IF('2. Operating Budget'!$D29&gt;0,$C35/12,'2. Operating Budget'!$B29*4.3+'2. Operating Budget'!$C29+'2. Operating Budget'!$E29*D$7)</f>
        <v>25</v>
      </c>
      <c r="E35" s="93">
        <f>IF('2. Operating Budget'!$D29&gt;0,$C35/12,'2. Operating Budget'!$B29*4.3+'2. Operating Budget'!$C29+'2. Operating Budget'!$E29*E$7)</f>
        <v>25</v>
      </c>
      <c r="F35" s="93">
        <f>IF('2. Operating Budget'!$D29&gt;0,$C35/12,'2. Operating Budget'!$B29*4.3+'2. Operating Budget'!$C29+'2. Operating Budget'!$E29*F$7)</f>
        <v>25</v>
      </c>
      <c r="G35" s="93">
        <f>IF('2. Operating Budget'!$D29&gt;0,$C35/12,'2. Operating Budget'!$B29*4.3+'2. Operating Budget'!$C29+'2. Operating Budget'!$E29*G$7)</f>
        <v>25</v>
      </c>
      <c r="H35" s="93">
        <f>IF('2. Operating Budget'!$D29&gt;0,$C35/12,'2. Operating Budget'!$B29*4.3+'2. Operating Budget'!$C29+'2. Operating Budget'!$E29*H$7)</f>
        <v>25</v>
      </c>
      <c r="I35" s="93">
        <f>IF('2. Operating Budget'!$D29&gt;0,$C35/12,'2. Operating Budget'!$B29*4.3+'2. Operating Budget'!$C29+'2. Operating Budget'!$E29*I$7)</f>
        <v>25</v>
      </c>
      <c r="J35" s="93">
        <f>IF('2. Operating Budget'!$D29&gt;0,$C35/12,'2. Operating Budget'!$B29*4.3+'2. Operating Budget'!$C29+'2. Operating Budget'!$E29*J$7)</f>
        <v>25</v>
      </c>
      <c r="K35" s="93">
        <f>IF('2. Operating Budget'!$D29&gt;0,$C35/12,'2. Operating Budget'!$B29*4.3+'2. Operating Budget'!$C29+'2. Operating Budget'!$E29*K$7)</f>
        <v>25</v>
      </c>
      <c r="L35" s="93">
        <f>IF('2. Operating Budget'!$D29&gt;0,$C35/12,'2. Operating Budget'!$B29*4.3+'2. Operating Budget'!$C29+'2. Operating Budget'!$E29*L$7)</f>
        <v>25</v>
      </c>
      <c r="M35" s="93">
        <f>IF('2. Operating Budget'!$D29&gt;0,$C35/12,'2. Operating Budget'!$B29*4.3+'2. Operating Budget'!$C29+'2. Operating Budget'!$E29*M$7)</f>
        <v>25</v>
      </c>
      <c r="N35" s="93">
        <f>IF('2. Operating Budget'!$D29&gt;0,$C35/12,'2. Operating Budget'!$B29*4.3+'2. Operating Budget'!$C29+'2. Operating Budget'!$E29*N$7)</f>
        <v>25</v>
      </c>
      <c r="O35" s="93">
        <f>IF('2. Operating Budget'!$D29&gt;0,$C35/12,'2. Operating Budget'!$B29*4.3+'2. Operating Budget'!$C29+'2. Operating Budget'!$E29*O$7)</f>
        <v>25</v>
      </c>
      <c r="P35" s="412">
        <f t="shared" si="21"/>
        <v>300</v>
      </c>
      <c r="Q35" s="307">
        <f>IF('2. Operating Budget'!$D29&gt;0,$C35/12,'2. Operating Budget'!$B29*4.3+'2. Operating Budget'!$C29+'2. Operating Budget'!$E29*Q$7)</f>
        <v>25</v>
      </c>
      <c r="R35" s="93">
        <f>IF('2. Operating Budget'!$D29&gt;0,$C35/12,'2. Operating Budget'!$B29*4.3+'2. Operating Budget'!$C29+'2. Operating Budget'!$E29*R$7)</f>
        <v>25</v>
      </c>
      <c r="S35" s="93">
        <f>IF('2. Operating Budget'!$D29&gt;0,$C35/12,'2. Operating Budget'!$B29*4.3+'2. Operating Budget'!$C29+'2. Operating Budget'!$E29*S$7)</f>
        <v>25</v>
      </c>
      <c r="T35" s="93">
        <f>IF('2. Operating Budget'!$D29&gt;0,$C35/12,'2. Operating Budget'!$B29*4.3+'2. Operating Budget'!$C29+'2. Operating Budget'!$E29*T$7)</f>
        <v>25</v>
      </c>
      <c r="U35" s="93">
        <f>IF('2. Operating Budget'!$D29&gt;0,$C35/12,'2. Operating Budget'!$B29*4.3+'2. Operating Budget'!$C29+'2. Operating Budget'!$E29*U$7)</f>
        <v>25</v>
      </c>
      <c r="V35" s="93">
        <f>IF('2. Operating Budget'!$D29&gt;0,$C35/12,'2. Operating Budget'!$B29*4.3+'2. Operating Budget'!$C29+'2. Operating Budget'!$E29*V$7)</f>
        <v>25</v>
      </c>
      <c r="W35" s="93">
        <f>IF('2. Operating Budget'!$D29&gt;0,$C35/12,'2. Operating Budget'!$B29*4.3+'2. Operating Budget'!$C29+'2. Operating Budget'!$E29*W$7)</f>
        <v>25</v>
      </c>
      <c r="X35" s="93">
        <f>IF('2. Operating Budget'!$D29&gt;0,$C35/12,'2. Operating Budget'!$B29*4.3+'2. Operating Budget'!$C29+'2. Operating Budget'!$E29*X$7)</f>
        <v>25</v>
      </c>
      <c r="Y35" s="93">
        <f>IF('2. Operating Budget'!$D29&gt;0,$C35/12,'2. Operating Budget'!$B29*4.3+'2. Operating Budget'!$C29+'2. Operating Budget'!$E29*Y$7)</f>
        <v>25</v>
      </c>
      <c r="Z35" s="93">
        <f>IF('2. Operating Budget'!$D29&gt;0,$C35/12,'2. Operating Budget'!$B29*4.3+'2. Operating Budget'!$C29+'2. Operating Budget'!$E29*Z$7)</f>
        <v>25</v>
      </c>
      <c r="AA35" s="93">
        <f>IF('2. Operating Budget'!$D29&gt;0,$C35/12,'2. Operating Budget'!$B29*4.3+'2. Operating Budget'!$C29+'2. Operating Budget'!$E29*AA$7)</f>
        <v>25</v>
      </c>
      <c r="AB35" s="93">
        <f>IF('2. Operating Budget'!$D29&gt;0,$C35/12,'2. Operating Budget'!$B29*4.3+'2. Operating Budget'!$C29+'2. Operating Budget'!$E29*AB$7)</f>
        <v>25</v>
      </c>
      <c r="AC35" s="412">
        <f t="shared" si="20"/>
        <v>300</v>
      </c>
      <c r="AD35" s="412">
        <f>IF('2. Operating Budget'!$E29&gt;0,'2. Operating Budget'!$E29*'8. P&amp;L and Cashflow'!AD$7,'2. Operating Budget'!$K29)</f>
        <v>300</v>
      </c>
      <c r="AE35" s="412">
        <f>IF('2. Operating Budget'!$E29&gt;0,'2. Operating Budget'!$E29*'8. P&amp;L and Cashflow'!AE$7,'2. Operating Budget'!$K29)</f>
        <v>300</v>
      </c>
      <c r="AF35" s="412">
        <f>IF('2. Operating Budget'!$E29&gt;0,'2. Operating Budget'!$E29*'8. P&amp;L and Cashflow'!AF$7,'2. Operating Budget'!$K29)</f>
        <v>300</v>
      </c>
    </row>
    <row r="36" spans="1:32" ht="12.75">
      <c r="A36" s="9"/>
      <c r="B36" s="341" t="str">
        <f>IF('2. Operating Budget'!A30="","",'2. Operating Budget'!A30)</f>
        <v>Banking Fees</v>
      </c>
      <c r="C36" s="342">
        <f>'2. Operating Budget'!K30</f>
        <v>85</v>
      </c>
      <c r="D36" s="343">
        <f>IF('2. Operating Budget'!$D30&gt;0,$C36/12,'2. Operating Budget'!$B30*4.3+'2. Operating Budget'!$C30+'2. Operating Budget'!$E30*D$7)</f>
        <v>7.083333333333333</v>
      </c>
      <c r="E36" s="344">
        <f>IF('2. Operating Budget'!$D30&gt;0,$C36/12,'2. Operating Budget'!$B30*4.3+'2. Operating Budget'!$C30+'2. Operating Budget'!$E30*E$7)</f>
        <v>7.083333333333333</v>
      </c>
      <c r="F36" s="344">
        <f>IF('2. Operating Budget'!$D30&gt;0,$C36/12,'2. Operating Budget'!$B30*4.3+'2. Operating Budget'!$C30+'2. Operating Budget'!$E30*F$7)</f>
        <v>7.083333333333333</v>
      </c>
      <c r="G36" s="344">
        <f>IF('2. Operating Budget'!$D30&gt;0,$C36/12,'2. Operating Budget'!$B30*4.3+'2. Operating Budget'!$C30+'2. Operating Budget'!$E30*G$7)</f>
        <v>7.083333333333333</v>
      </c>
      <c r="H36" s="344">
        <f>IF('2. Operating Budget'!$D30&gt;0,$C36/12,'2. Operating Budget'!$B30*4.3+'2. Operating Budget'!$C30+'2. Operating Budget'!$E30*H$7)</f>
        <v>7.083333333333333</v>
      </c>
      <c r="I36" s="344">
        <f>IF('2. Operating Budget'!$D30&gt;0,$C36/12,'2. Operating Budget'!$B30*4.3+'2. Operating Budget'!$C30+'2. Operating Budget'!$E30*I$7)</f>
        <v>7.083333333333333</v>
      </c>
      <c r="J36" s="344">
        <f>IF('2. Operating Budget'!$D30&gt;0,$C36/12,'2. Operating Budget'!$B30*4.3+'2. Operating Budget'!$C30+'2. Operating Budget'!$E30*J$7)</f>
        <v>7.083333333333333</v>
      </c>
      <c r="K36" s="344">
        <f>IF('2. Operating Budget'!$D30&gt;0,$C36/12,'2. Operating Budget'!$B30*4.3+'2. Operating Budget'!$C30+'2. Operating Budget'!$E30*K$7)</f>
        <v>7.083333333333333</v>
      </c>
      <c r="L36" s="344">
        <f>IF('2. Operating Budget'!$D30&gt;0,$C36/12,'2. Operating Budget'!$B30*4.3+'2. Operating Budget'!$C30+'2. Operating Budget'!$E30*L$7)</f>
        <v>7.083333333333333</v>
      </c>
      <c r="M36" s="344">
        <f>IF('2. Operating Budget'!$D30&gt;0,$C36/12,'2. Operating Budget'!$B30*4.3+'2. Operating Budget'!$C30+'2. Operating Budget'!$E30*M$7)</f>
        <v>7.083333333333333</v>
      </c>
      <c r="N36" s="344">
        <f>IF('2. Operating Budget'!$D30&gt;0,$C36/12,'2. Operating Budget'!$B30*4.3+'2. Operating Budget'!$C30+'2. Operating Budget'!$E30*N$7)</f>
        <v>7.083333333333333</v>
      </c>
      <c r="O36" s="344">
        <f>IF('2. Operating Budget'!$D30&gt;0,$C36/12,'2. Operating Budget'!$B30*4.3+'2. Operating Budget'!$C30+'2. Operating Budget'!$E30*O$7)</f>
        <v>7.083333333333333</v>
      </c>
      <c r="P36" s="411">
        <f t="shared" si="21"/>
        <v>85</v>
      </c>
      <c r="Q36" s="343">
        <f>IF('2. Operating Budget'!$D30&gt;0,$C36/12,'2. Operating Budget'!$B30*4.3+'2. Operating Budget'!$C30+'2. Operating Budget'!$E30*Q$7)</f>
        <v>7.083333333333333</v>
      </c>
      <c r="R36" s="344">
        <f>IF('2. Operating Budget'!$D30&gt;0,$C36/12,'2. Operating Budget'!$B30*4.3+'2. Operating Budget'!$C30+'2. Operating Budget'!$E30*R$7)</f>
        <v>7.083333333333333</v>
      </c>
      <c r="S36" s="344">
        <f>IF('2. Operating Budget'!$D30&gt;0,$C36/12,'2. Operating Budget'!$B30*4.3+'2. Operating Budget'!$C30+'2. Operating Budget'!$E30*S$7)</f>
        <v>7.083333333333333</v>
      </c>
      <c r="T36" s="344">
        <f>IF('2. Operating Budget'!$D30&gt;0,$C36/12,'2. Operating Budget'!$B30*4.3+'2. Operating Budget'!$C30+'2. Operating Budget'!$E30*T$7)</f>
        <v>7.083333333333333</v>
      </c>
      <c r="U36" s="344">
        <f>IF('2. Operating Budget'!$D30&gt;0,$C36/12,'2. Operating Budget'!$B30*4.3+'2. Operating Budget'!$C30+'2. Operating Budget'!$E30*U$7)</f>
        <v>7.083333333333333</v>
      </c>
      <c r="V36" s="344">
        <f>IF('2. Operating Budget'!$D30&gt;0,$C36/12,'2. Operating Budget'!$B30*4.3+'2. Operating Budget'!$C30+'2. Operating Budget'!$E30*V$7)</f>
        <v>7.083333333333333</v>
      </c>
      <c r="W36" s="344">
        <f>IF('2. Operating Budget'!$D30&gt;0,$C36/12,'2. Operating Budget'!$B30*4.3+'2. Operating Budget'!$C30+'2. Operating Budget'!$E30*W$7)</f>
        <v>7.083333333333333</v>
      </c>
      <c r="X36" s="344">
        <f>IF('2. Operating Budget'!$D30&gt;0,$C36/12,'2. Operating Budget'!$B30*4.3+'2. Operating Budget'!$C30+'2. Operating Budget'!$E30*X$7)</f>
        <v>7.083333333333333</v>
      </c>
      <c r="Y36" s="344">
        <f>IF('2. Operating Budget'!$D30&gt;0,$C36/12,'2. Operating Budget'!$B30*4.3+'2. Operating Budget'!$C30+'2. Operating Budget'!$E30*Y$7)</f>
        <v>7.083333333333333</v>
      </c>
      <c r="Z36" s="344">
        <f>IF('2. Operating Budget'!$D30&gt;0,$C36/12,'2. Operating Budget'!$B30*4.3+'2. Operating Budget'!$C30+'2. Operating Budget'!$E30*Z$7)</f>
        <v>7.083333333333333</v>
      </c>
      <c r="AA36" s="344">
        <f>IF('2. Operating Budget'!$D30&gt;0,$C36/12,'2. Operating Budget'!$B30*4.3+'2. Operating Budget'!$C30+'2. Operating Budget'!$E30*AA$7)</f>
        <v>7.083333333333333</v>
      </c>
      <c r="AB36" s="344">
        <f>IF('2. Operating Budget'!$D30&gt;0,$C36/12,'2. Operating Budget'!$B30*4.3+'2. Operating Budget'!$C30+'2. Operating Budget'!$E30*AB$7)</f>
        <v>7.083333333333333</v>
      </c>
      <c r="AC36" s="411">
        <f t="shared" si="20"/>
        <v>85</v>
      </c>
      <c r="AD36" s="411">
        <f>IF('2. Operating Budget'!$E30&gt;0,'2. Operating Budget'!$E30*'8. P&amp;L and Cashflow'!AD$7,'2. Operating Budget'!$K30)</f>
        <v>85</v>
      </c>
      <c r="AE36" s="411">
        <f>IF('2. Operating Budget'!$E30&gt;0,'2. Operating Budget'!$E30*'8. P&amp;L and Cashflow'!AE$7,'2. Operating Budget'!$K30)</f>
        <v>85</v>
      </c>
      <c r="AF36" s="411">
        <f>IF('2. Operating Budget'!$E30&gt;0,'2. Operating Budget'!$E30*'8. P&amp;L and Cashflow'!AF$7,'2. Operating Budget'!$K30)</f>
        <v>85</v>
      </c>
    </row>
    <row r="37" spans="1:32" ht="12.75">
      <c r="A37" s="9"/>
      <c r="B37" s="209" t="str">
        <f>IF('2. Operating Budget'!A31="","",'2. Operating Budget'!A31)</f>
        <v>Merchant Account Fee</v>
      </c>
      <c r="C37" s="313">
        <f>'2. Operating Budget'!K31</f>
        <v>1207.5000000000002</v>
      </c>
      <c r="D37" s="307">
        <f>IF('2. Operating Budget'!$D31&gt;0,$C37/12,'2. Operating Budget'!$B31*4.3+'2. Operating Budget'!$C31+'2. Operating Budget'!$E31*D$7)</f>
        <v>52.500000000000007</v>
      </c>
      <c r="E37" s="93">
        <f>IF('2. Operating Budget'!$D31&gt;0,$C37/12,'2. Operating Budget'!$B31*4.3+'2. Operating Budget'!$C31+'2. Operating Budget'!$E31*E$7)</f>
        <v>105.00000000000001</v>
      </c>
      <c r="F37" s="93">
        <f>IF('2. Operating Budget'!$D31&gt;0,$C37/12,'2. Operating Budget'!$B31*4.3+'2. Operating Budget'!$C31+'2. Operating Budget'!$E31*F$7)</f>
        <v>105.00000000000001</v>
      </c>
      <c r="G37" s="93">
        <f>IF('2. Operating Budget'!$D31&gt;0,$C37/12,'2. Operating Budget'!$B31*4.3+'2. Operating Budget'!$C31+'2. Operating Budget'!$E31*G$7)</f>
        <v>105.00000000000001</v>
      </c>
      <c r="H37" s="93">
        <f>IF('2. Operating Budget'!$D31&gt;0,$C37/12,'2. Operating Budget'!$B31*4.3+'2. Operating Budget'!$C31+'2. Operating Budget'!$E31*H$7)</f>
        <v>105.00000000000001</v>
      </c>
      <c r="I37" s="93">
        <f>IF('2. Operating Budget'!$D31&gt;0,$C37/12,'2. Operating Budget'!$B31*4.3+'2. Operating Budget'!$C31+'2. Operating Budget'!$E31*I$7)</f>
        <v>105.00000000000001</v>
      </c>
      <c r="J37" s="93">
        <f>IF('2. Operating Budget'!$D31&gt;0,$C37/12,'2. Operating Budget'!$B31*4.3+'2. Operating Budget'!$C31+'2. Operating Budget'!$E31*J$7)</f>
        <v>105.00000000000001</v>
      </c>
      <c r="K37" s="93">
        <f>IF('2. Operating Budget'!$D31&gt;0,$C37/12,'2. Operating Budget'!$B31*4.3+'2. Operating Budget'!$C31+'2. Operating Budget'!$E31*K$7)</f>
        <v>105.00000000000001</v>
      </c>
      <c r="L37" s="93">
        <f>IF('2. Operating Budget'!$D31&gt;0,$C37/12,'2. Operating Budget'!$B31*4.3+'2. Operating Budget'!$C31+'2. Operating Budget'!$E31*L$7)</f>
        <v>105.00000000000001</v>
      </c>
      <c r="M37" s="93">
        <f>IF('2. Operating Budget'!$D31&gt;0,$C37/12,'2. Operating Budget'!$B31*4.3+'2. Operating Budget'!$C31+'2. Operating Budget'!$E31*M$7)</f>
        <v>105.00000000000001</v>
      </c>
      <c r="N37" s="93">
        <f>IF('2. Operating Budget'!$D31&gt;0,$C37/12,'2. Operating Budget'!$B31*4.3+'2. Operating Budget'!$C31+'2. Operating Budget'!$E31*N$7)</f>
        <v>105.00000000000001</v>
      </c>
      <c r="O37" s="93">
        <f>IF('2. Operating Budget'!$D31&gt;0,$C37/12,'2. Operating Budget'!$B31*4.3+'2. Operating Budget'!$C31+'2. Operating Budget'!$E31*O$7)</f>
        <v>105.00000000000001</v>
      </c>
      <c r="P37" s="412">
        <f t="shared" si="21"/>
        <v>1207.5000000000002</v>
      </c>
      <c r="Q37" s="307">
        <f>IF('2. Operating Budget'!$D31&gt;0,$C37/12,'2. Operating Budget'!$B31*4.3+'2. Operating Budget'!$C31+'2. Operating Budget'!$E31*Q$7)</f>
        <v>116.9</v>
      </c>
      <c r="R37" s="93">
        <f>IF('2. Operating Budget'!$D31&gt;0,$C37/12,'2. Operating Budget'!$B31*4.3+'2. Operating Budget'!$C31+'2. Operating Budget'!$E31*R$7)</f>
        <v>116.9</v>
      </c>
      <c r="S37" s="93">
        <f>IF('2. Operating Budget'!$D31&gt;0,$C37/12,'2. Operating Budget'!$B31*4.3+'2. Operating Budget'!$C31+'2. Operating Budget'!$E31*S$7)</f>
        <v>116.9</v>
      </c>
      <c r="T37" s="93">
        <f>IF('2. Operating Budget'!$D31&gt;0,$C37/12,'2. Operating Budget'!$B31*4.3+'2. Operating Budget'!$C31+'2. Operating Budget'!$E31*T$7)</f>
        <v>116.9</v>
      </c>
      <c r="U37" s="93">
        <f>IF('2. Operating Budget'!$D31&gt;0,$C37/12,'2. Operating Budget'!$B31*4.3+'2. Operating Budget'!$C31+'2. Operating Budget'!$E31*U$7)</f>
        <v>116.9</v>
      </c>
      <c r="V37" s="93">
        <f>IF('2. Operating Budget'!$D31&gt;0,$C37/12,'2. Operating Budget'!$B31*4.3+'2. Operating Budget'!$C31+'2. Operating Budget'!$E31*V$7)</f>
        <v>116.9</v>
      </c>
      <c r="W37" s="93">
        <f>IF('2. Operating Budget'!$D31&gt;0,$C37/12,'2. Operating Budget'!$B31*4.3+'2. Operating Budget'!$C31+'2. Operating Budget'!$E31*W$7)</f>
        <v>116.9</v>
      </c>
      <c r="X37" s="93">
        <f>IF('2. Operating Budget'!$D31&gt;0,$C37/12,'2. Operating Budget'!$B31*4.3+'2. Operating Budget'!$C31+'2. Operating Budget'!$E31*X$7)</f>
        <v>116.9</v>
      </c>
      <c r="Y37" s="93">
        <f>IF('2. Operating Budget'!$D31&gt;0,$C37/12,'2. Operating Budget'!$B31*4.3+'2. Operating Budget'!$C31+'2. Operating Budget'!$E31*Y$7)</f>
        <v>116.9</v>
      </c>
      <c r="Z37" s="93">
        <f>IF('2. Operating Budget'!$D31&gt;0,$C37/12,'2. Operating Budget'!$B31*4.3+'2. Operating Budget'!$C31+'2. Operating Budget'!$E31*Z$7)</f>
        <v>116.9</v>
      </c>
      <c r="AA37" s="93">
        <f>IF('2. Operating Budget'!$D31&gt;0,$C37/12,'2. Operating Budget'!$B31*4.3+'2. Operating Budget'!$C31+'2. Operating Budget'!$E31*AA$7)</f>
        <v>116.9</v>
      </c>
      <c r="AB37" s="93">
        <f>IF('2. Operating Budget'!$D31&gt;0,$C37/12,'2. Operating Budget'!$B31*4.3+'2. Operating Budget'!$C31+'2. Operating Budget'!$E31*AB$7)</f>
        <v>116.9</v>
      </c>
      <c r="AC37" s="412">
        <f t="shared" si="20"/>
        <v>1402.8000000000002</v>
      </c>
      <c r="AD37" s="412">
        <f>IF('2. Operating Budget'!$E31&gt;0,'2. Operating Budget'!$E31*'8. P&amp;L and Cashflow'!AD$7,'2. Operating Budget'!$K31)</f>
        <v>1562.4000000000003</v>
      </c>
      <c r="AE37" s="412">
        <f>IF('2. Operating Budget'!$E31&gt;0,'2. Operating Budget'!$E31*'8. P&amp;L and Cashflow'!AE$7,'2. Operating Budget'!$K31)</f>
        <v>1740.8580000000006</v>
      </c>
      <c r="AF37" s="412">
        <f>IF('2. Operating Budget'!$E31&gt;0,'2. Operating Budget'!$E31*'8. P&amp;L and Cashflow'!AF$7,'2. Operating Budget'!$K31)</f>
        <v>1940.4945000000002</v>
      </c>
    </row>
    <row r="38" spans="1:32" ht="13.5" hidden="1" customHeight="1">
      <c r="A38" s="9"/>
      <c r="B38" s="341" t="str">
        <f>IF('2. Operating Budget'!A32="","",'2. Operating Budget'!A32)</f>
        <v/>
      </c>
      <c r="C38" s="342">
        <f>'2. Operating Budget'!K32</f>
        <v>0</v>
      </c>
      <c r="D38" s="343">
        <f>IF('2. Operating Budget'!$D32&gt;0,$C38/12,'2. Operating Budget'!$B32*4.3+'2. Operating Budget'!$C32+'2. Operating Budget'!$E32*D$7)</f>
        <v>0</v>
      </c>
      <c r="E38" s="344">
        <f>IF('2. Operating Budget'!$D32&gt;0,$C38/12,'2. Operating Budget'!$B32*4.3+'2. Operating Budget'!$C32+'2. Operating Budget'!$E32*E$7)</f>
        <v>0</v>
      </c>
      <c r="F38" s="344">
        <f>IF('2. Operating Budget'!$D32&gt;0,$C38/12,'2. Operating Budget'!$B32*4.3+'2. Operating Budget'!$C32+'2. Operating Budget'!$E32*F$7)</f>
        <v>0</v>
      </c>
      <c r="G38" s="344">
        <f>IF('2. Operating Budget'!$D32&gt;0,$C38/12,'2. Operating Budget'!$B32*4.3+'2. Operating Budget'!$C32+'2. Operating Budget'!$E32*G$7)</f>
        <v>0</v>
      </c>
      <c r="H38" s="344">
        <f>IF('2. Operating Budget'!$D32&gt;0,$C38/12,'2. Operating Budget'!$B32*4.3+'2. Operating Budget'!$C32+'2. Operating Budget'!$E32*H$7)</f>
        <v>0</v>
      </c>
      <c r="I38" s="344">
        <f>IF('2. Operating Budget'!$D32&gt;0,$C38/12,'2. Operating Budget'!$B32*4.3+'2. Operating Budget'!$C32+'2. Operating Budget'!$E32*I$7)</f>
        <v>0</v>
      </c>
      <c r="J38" s="344">
        <f>IF('2. Operating Budget'!$D32&gt;0,$C38/12,'2. Operating Budget'!$B32*4.3+'2. Operating Budget'!$C32+'2. Operating Budget'!$E32*J$7)</f>
        <v>0</v>
      </c>
      <c r="K38" s="344">
        <f>IF('2. Operating Budget'!$D32&gt;0,$C38/12,'2. Operating Budget'!$B32*4.3+'2. Operating Budget'!$C32+'2. Operating Budget'!$E32*K$7)</f>
        <v>0</v>
      </c>
      <c r="L38" s="344">
        <f>IF('2. Operating Budget'!$D32&gt;0,$C38/12,'2. Operating Budget'!$B32*4.3+'2. Operating Budget'!$C32+'2. Operating Budget'!$E32*L$7)</f>
        <v>0</v>
      </c>
      <c r="M38" s="344">
        <f>IF('2. Operating Budget'!$D32&gt;0,$C38/12,'2. Operating Budget'!$B32*4.3+'2. Operating Budget'!$C32+'2. Operating Budget'!$E32*M$7)</f>
        <v>0</v>
      </c>
      <c r="N38" s="344">
        <f>IF('2. Operating Budget'!$D32&gt;0,$C38/12,'2. Operating Budget'!$B32*4.3+'2. Operating Budget'!$C32+'2. Operating Budget'!$E32*N$7)</f>
        <v>0</v>
      </c>
      <c r="O38" s="344">
        <f>IF('2. Operating Budget'!$D32&gt;0,$C38/12,'2. Operating Budget'!$B32*4.3+'2. Operating Budget'!$C32+'2. Operating Budget'!$E32*O$7)</f>
        <v>0</v>
      </c>
      <c r="P38" s="411">
        <f t="shared" si="21"/>
        <v>0</v>
      </c>
      <c r="Q38" s="343">
        <f>IF('2. Operating Budget'!$D32&gt;0,$C38/12,'2. Operating Budget'!$B32*4.3+'2. Operating Budget'!$C32+'2. Operating Budget'!$E32*Q$7)</f>
        <v>0</v>
      </c>
      <c r="R38" s="344">
        <f>IF('2. Operating Budget'!$D32&gt;0,$C38/12,'2. Operating Budget'!$B32*4.3+'2. Operating Budget'!$C32+'2. Operating Budget'!$E32*R$7)</f>
        <v>0</v>
      </c>
      <c r="S38" s="344">
        <f>IF('2. Operating Budget'!$D32&gt;0,$C38/12,'2. Operating Budget'!$B32*4.3+'2. Operating Budget'!$C32+'2. Operating Budget'!$E32*S$7)</f>
        <v>0</v>
      </c>
      <c r="T38" s="344">
        <f>IF('2. Operating Budget'!$D32&gt;0,$C38/12,'2. Operating Budget'!$B32*4.3+'2. Operating Budget'!$C32+'2. Operating Budget'!$E32*T$7)</f>
        <v>0</v>
      </c>
      <c r="U38" s="344">
        <f>IF('2. Operating Budget'!$D32&gt;0,$C38/12,'2. Operating Budget'!$B32*4.3+'2. Operating Budget'!$C32+'2. Operating Budget'!$E32*U$7)</f>
        <v>0</v>
      </c>
      <c r="V38" s="344">
        <f>IF('2. Operating Budget'!$D32&gt;0,$C38/12,'2. Operating Budget'!$B32*4.3+'2. Operating Budget'!$C32+'2. Operating Budget'!$E32*V$7)</f>
        <v>0</v>
      </c>
      <c r="W38" s="344">
        <f>IF('2. Operating Budget'!$D32&gt;0,$C38/12,'2. Operating Budget'!$B32*4.3+'2. Operating Budget'!$C32+'2. Operating Budget'!$E32*W$7)</f>
        <v>0</v>
      </c>
      <c r="X38" s="344">
        <f>IF('2. Operating Budget'!$D32&gt;0,$C38/12,'2. Operating Budget'!$B32*4.3+'2. Operating Budget'!$C32+'2. Operating Budget'!$E32*X$7)</f>
        <v>0</v>
      </c>
      <c r="Y38" s="344">
        <f>IF('2. Operating Budget'!$D32&gt;0,$C38/12,'2. Operating Budget'!$B32*4.3+'2. Operating Budget'!$C32+'2. Operating Budget'!$E32*Y$7)</f>
        <v>0</v>
      </c>
      <c r="Z38" s="344">
        <f>IF('2. Operating Budget'!$D32&gt;0,$C38/12,'2. Operating Budget'!$B32*4.3+'2. Operating Budget'!$C32+'2. Operating Budget'!$E32*Z$7)</f>
        <v>0</v>
      </c>
      <c r="AA38" s="344">
        <f>IF('2. Operating Budget'!$D32&gt;0,$C38/12,'2. Operating Budget'!$B32*4.3+'2. Operating Budget'!$C32+'2. Operating Budget'!$E32*AA$7)</f>
        <v>0</v>
      </c>
      <c r="AB38" s="344">
        <f>IF('2. Operating Budget'!$D32&gt;0,$C38/12,'2. Operating Budget'!$B32*4.3+'2. Operating Budget'!$C32+'2. Operating Budget'!$E32*AB$7)</f>
        <v>0</v>
      </c>
      <c r="AC38" s="411">
        <f t="shared" si="20"/>
        <v>0</v>
      </c>
      <c r="AD38" s="411">
        <f>IF('2. Operating Budget'!$E32&gt;0,'2. Operating Budget'!$E32*'8. P&amp;L and Cashflow'!AD$7,'2. Operating Budget'!$K32)</f>
        <v>0</v>
      </c>
      <c r="AE38" s="411">
        <f>IF('2. Operating Budget'!$E32&gt;0,'2. Operating Budget'!$E32*'8. P&amp;L and Cashflow'!AE$7,'2. Operating Budget'!$K32)</f>
        <v>0</v>
      </c>
      <c r="AF38" s="411">
        <f>IF('2. Operating Budget'!$E32&gt;0,'2. Operating Budget'!$E32*'8. P&amp;L and Cashflow'!AF$7,'2. Operating Budget'!$K32)</f>
        <v>0</v>
      </c>
    </row>
    <row r="39" spans="1:32" ht="12.75" hidden="1">
      <c r="A39" s="9"/>
      <c r="B39" s="209" t="str">
        <f>IF('2. Operating Budget'!A33="","",'2. Operating Budget'!A33)</f>
        <v/>
      </c>
      <c r="C39" s="313">
        <f>'2. Operating Budget'!K33</f>
        <v>0</v>
      </c>
      <c r="D39" s="307">
        <f>IF('2. Operating Budget'!$D33&gt;0,$C39/12,'2. Operating Budget'!$B33*4.3+'2. Operating Budget'!$C33+'2. Operating Budget'!$E33*D$7)</f>
        <v>0</v>
      </c>
      <c r="E39" s="93">
        <f>IF('2. Operating Budget'!$D33&gt;0,$C39/12,'2. Operating Budget'!$B33*4.3+'2. Operating Budget'!$C33+'2. Operating Budget'!$E33*E$7)</f>
        <v>0</v>
      </c>
      <c r="F39" s="93">
        <f>IF('2. Operating Budget'!$D33&gt;0,$C39/12,'2. Operating Budget'!$B33*4.3+'2. Operating Budget'!$C33+'2. Operating Budget'!$E33*F$7)</f>
        <v>0</v>
      </c>
      <c r="G39" s="93">
        <f>IF('2. Operating Budget'!$D33&gt;0,$C39/12,'2. Operating Budget'!$B33*4.3+'2. Operating Budget'!$C33+'2. Operating Budget'!$E33*G$7)</f>
        <v>0</v>
      </c>
      <c r="H39" s="93">
        <f>IF('2. Operating Budget'!$D33&gt;0,$C39/12,'2. Operating Budget'!$B33*4.3+'2. Operating Budget'!$C33+'2. Operating Budget'!$E33*H$7)</f>
        <v>0</v>
      </c>
      <c r="I39" s="93">
        <f>IF('2. Operating Budget'!$D33&gt;0,$C39/12,'2. Operating Budget'!$B33*4.3+'2. Operating Budget'!$C33+'2. Operating Budget'!$E33*I$7)</f>
        <v>0</v>
      </c>
      <c r="J39" s="93">
        <f>IF('2. Operating Budget'!$D33&gt;0,$C39/12,'2. Operating Budget'!$B33*4.3+'2. Operating Budget'!$C33+'2. Operating Budget'!$E33*J$7)</f>
        <v>0</v>
      </c>
      <c r="K39" s="93">
        <f>IF('2. Operating Budget'!$D33&gt;0,$C39/12,'2. Operating Budget'!$B33*4.3+'2. Operating Budget'!$C33+'2. Operating Budget'!$E33*K$7)</f>
        <v>0</v>
      </c>
      <c r="L39" s="93">
        <f>IF('2. Operating Budget'!$D33&gt;0,$C39/12,'2. Operating Budget'!$B33*4.3+'2. Operating Budget'!$C33+'2. Operating Budget'!$E33*L$7)</f>
        <v>0</v>
      </c>
      <c r="M39" s="93">
        <f>IF('2. Operating Budget'!$D33&gt;0,$C39/12,'2. Operating Budget'!$B33*4.3+'2. Operating Budget'!$C33+'2. Operating Budget'!$E33*M$7)</f>
        <v>0</v>
      </c>
      <c r="N39" s="93">
        <f>IF('2. Operating Budget'!$D33&gt;0,$C39/12,'2. Operating Budget'!$B33*4.3+'2. Operating Budget'!$C33+'2. Operating Budget'!$E33*N$7)</f>
        <v>0</v>
      </c>
      <c r="O39" s="93">
        <f>IF('2. Operating Budget'!$D33&gt;0,$C39/12,'2. Operating Budget'!$B33*4.3+'2. Operating Budget'!$C33+'2. Operating Budget'!$E33*O$7)</f>
        <v>0</v>
      </c>
      <c r="P39" s="412">
        <f t="shared" si="21"/>
        <v>0</v>
      </c>
      <c r="Q39" s="307">
        <f>IF('2. Operating Budget'!$D33&gt;0,$C39/12,'2. Operating Budget'!$B33*4.3+'2. Operating Budget'!$C33+'2. Operating Budget'!$E33*Q$7)</f>
        <v>0</v>
      </c>
      <c r="R39" s="93">
        <f>IF('2. Operating Budget'!$D33&gt;0,$C39/12,'2. Operating Budget'!$B33*4.3+'2. Operating Budget'!$C33+'2. Operating Budget'!$E33*R$7)</f>
        <v>0</v>
      </c>
      <c r="S39" s="93">
        <f>IF('2. Operating Budget'!$D33&gt;0,$C39/12,'2. Operating Budget'!$B33*4.3+'2. Operating Budget'!$C33+'2. Operating Budget'!$E33*S$7)</f>
        <v>0</v>
      </c>
      <c r="T39" s="93">
        <f>IF('2. Operating Budget'!$D33&gt;0,$C39/12,'2. Operating Budget'!$B33*4.3+'2. Operating Budget'!$C33+'2. Operating Budget'!$E33*T$7)</f>
        <v>0</v>
      </c>
      <c r="U39" s="93">
        <f>IF('2. Operating Budget'!$D33&gt;0,$C39/12,'2. Operating Budget'!$B33*4.3+'2. Operating Budget'!$C33+'2. Operating Budget'!$E33*U$7)</f>
        <v>0</v>
      </c>
      <c r="V39" s="93">
        <f>IF('2. Operating Budget'!$D33&gt;0,$C39/12,'2. Operating Budget'!$B33*4.3+'2. Operating Budget'!$C33+'2. Operating Budget'!$E33*V$7)</f>
        <v>0</v>
      </c>
      <c r="W39" s="93">
        <f>IF('2. Operating Budget'!$D33&gt;0,$C39/12,'2. Operating Budget'!$B33*4.3+'2. Operating Budget'!$C33+'2. Operating Budget'!$E33*W$7)</f>
        <v>0</v>
      </c>
      <c r="X39" s="93">
        <f>IF('2. Operating Budget'!$D33&gt;0,$C39/12,'2. Operating Budget'!$B33*4.3+'2. Operating Budget'!$C33+'2. Operating Budget'!$E33*X$7)</f>
        <v>0</v>
      </c>
      <c r="Y39" s="93">
        <f>IF('2. Operating Budget'!$D33&gt;0,$C39/12,'2. Operating Budget'!$B33*4.3+'2. Operating Budget'!$C33+'2. Operating Budget'!$E33*Y$7)</f>
        <v>0</v>
      </c>
      <c r="Z39" s="93">
        <f>IF('2. Operating Budget'!$D33&gt;0,$C39/12,'2. Operating Budget'!$B33*4.3+'2. Operating Budget'!$C33+'2. Operating Budget'!$E33*Z$7)</f>
        <v>0</v>
      </c>
      <c r="AA39" s="93">
        <f>IF('2. Operating Budget'!$D33&gt;0,$C39/12,'2. Operating Budget'!$B33*4.3+'2. Operating Budget'!$C33+'2. Operating Budget'!$E33*AA$7)</f>
        <v>0</v>
      </c>
      <c r="AB39" s="93">
        <f>IF('2. Operating Budget'!$D33&gt;0,$C39/12,'2. Operating Budget'!$B33*4.3+'2. Operating Budget'!$C33+'2. Operating Budget'!$E33*AB$7)</f>
        <v>0</v>
      </c>
      <c r="AC39" s="412">
        <f t="shared" si="20"/>
        <v>0</v>
      </c>
      <c r="AD39" s="412">
        <f>IF('2. Operating Budget'!$E33&gt;0,'2. Operating Budget'!$E33*'8. P&amp;L and Cashflow'!AD$7,'2. Operating Budget'!$K33)</f>
        <v>0</v>
      </c>
      <c r="AE39" s="412">
        <f>IF('2. Operating Budget'!$E33&gt;0,'2. Operating Budget'!$E33*'8. P&amp;L and Cashflow'!AE$7,'2. Operating Budget'!$K33)</f>
        <v>0</v>
      </c>
      <c r="AF39" s="412">
        <f>IF('2. Operating Budget'!$E33&gt;0,'2. Operating Budget'!$E33*'8. P&amp;L and Cashflow'!AF$7,'2. Operating Budget'!$K33)</f>
        <v>0</v>
      </c>
    </row>
    <row r="40" spans="1:32" ht="12.75" hidden="1">
      <c r="A40" s="9"/>
      <c r="B40" s="341" t="str">
        <f>IF('2. Operating Budget'!A34="","",'2. Operating Budget'!A34)</f>
        <v/>
      </c>
      <c r="C40" s="342">
        <f>'2. Operating Budget'!K34</f>
        <v>0</v>
      </c>
      <c r="D40" s="343">
        <f>IF('2. Operating Budget'!$D34&gt;0,$C40/12,'2. Operating Budget'!$B34*4.3+'2. Operating Budget'!$C34+'2. Operating Budget'!$E34*D$7)</f>
        <v>0</v>
      </c>
      <c r="E40" s="344">
        <f>IF('2. Operating Budget'!$D34&gt;0,$C40/12,'2. Operating Budget'!$B34*4.3+'2. Operating Budget'!$C34+'2. Operating Budget'!$E34*E$7)</f>
        <v>0</v>
      </c>
      <c r="F40" s="344">
        <f>IF('2. Operating Budget'!$D34&gt;0,$C40/12,'2. Operating Budget'!$B34*4.3+'2. Operating Budget'!$C34+'2. Operating Budget'!$E34*F$7)</f>
        <v>0</v>
      </c>
      <c r="G40" s="344">
        <f>IF('2. Operating Budget'!$D34&gt;0,$C40/12,'2. Operating Budget'!$B34*4.3+'2. Operating Budget'!$C34+'2. Operating Budget'!$E34*G$7)</f>
        <v>0</v>
      </c>
      <c r="H40" s="344">
        <f>IF('2. Operating Budget'!$D34&gt;0,$C40/12,'2. Operating Budget'!$B34*4.3+'2. Operating Budget'!$C34+'2. Operating Budget'!$E34*H$7)</f>
        <v>0</v>
      </c>
      <c r="I40" s="344">
        <f>IF('2. Operating Budget'!$D34&gt;0,$C40/12,'2. Operating Budget'!$B34*4.3+'2. Operating Budget'!$C34+'2. Operating Budget'!$E34*I$7)</f>
        <v>0</v>
      </c>
      <c r="J40" s="344">
        <f>IF('2. Operating Budget'!$D34&gt;0,$C40/12,'2. Operating Budget'!$B34*4.3+'2. Operating Budget'!$C34+'2. Operating Budget'!$E34*J$7)</f>
        <v>0</v>
      </c>
      <c r="K40" s="344">
        <f>IF('2. Operating Budget'!$D34&gt;0,$C40/12,'2. Operating Budget'!$B34*4.3+'2. Operating Budget'!$C34+'2. Operating Budget'!$E34*K$7)</f>
        <v>0</v>
      </c>
      <c r="L40" s="344">
        <f>IF('2. Operating Budget'!$D34&gt;0,$C40/12,'2. Operating Budget'!$B34*4.3+'2. Operating Budget'!$C34+'2. Operating Budget'!$E34*L$7)</f>
        <v>0</v>
      </c>
      <c r="M40" s="344">
        <f>IF('2. Operating Budget'!$D34&gt;0,$C40/12,'2. Operating Budget'!$B34*4.3+'2. Operating Budget'!$C34+'2. Operating Budget'!$E34*M$7)</f>
        <v>0</v>
      </c>
      <c r="N40" s="344">
        <f>IF('2. Operating Budget'!$D34&gt;0,$C40/12,'2. Operating Budget'!$B34*4.3+'2. Operating Budget'!$C34+'2. Operating Budget'!$E34*N$7)</f>
        <v>0</v>
      </c>
      <c r="O40" s="344">
        <f>IF('2. Operating Budget'!$D34&gt;0,$C40/12,'2. Operating Budget'!$B34*4.3+'2. Operating Budget'!$C34+'2. Operating Budget'!$E34*O$7)</f>
        <v>0</v>
      </c>
      <c r="P40" s="411">
        <f t="shared" si="19"/>
        <v>0</v>
      </c>
      <c r="Q40" s="343">
        <f>IF('2. Operating Budget'!$D34&gt;0,$C40/12,'2. Operating Budget'!$B34*4.3+'2. Operating Budget'!$C34+'2. Operating Budget'!$E34*Q$7)</f>
        <v>0</v>
      </c>
      <c r="R40" s="344">
        <f>IF('2. Operating Budget'!$D34&gt;0,$C40/12,'2. Operating Budget'!$B34*4.3+'2. Operating Budget'!$C34+'2. Operating Budget'!$E34*R$7)</f>
        <v>0</v>
      </c>
      <c r="S40" s="344">
        <f>IF('2. Operating Budget'!$D34&gt;0,$C40/12,'2. Operating Budget'!$B34*4.3+'2. Operating Budget'!$C34+'2. Operating Budget'!$E34*S$7)</f>
        <v>0</v>
      </c>
      <c r="T40" s="344">
        <f>IF('2. Operating Budget'!$D34&gt;0,$C40/12,'2. Operating Budget'!$B34*4.3+'2. Operating Budget'!$C34+'2. Operating Budget'!$E34*T$7)</f>
        <v>0</v>
      </c>
      <c r="U40" s="344">
        <f>IF('2. Operating Budget'!$D34&gt;0,$C40/12,'2. Operating Budget'!$B34*4.3+'2. Operating Budget'!$C34+'2. Operating Budget'!$E34*U$7)</f>
        <v>0</v>
      </c>
      <c r="V40" s="344">
        <f>IF('2. Operating Budget'!$D34&gt;0,$C40/12,'2. Operating Budget'!$B34*4.3+'2. Operating Budget'!$C34+'2. Operating Budget'!$E34*V$7)</f>
        <v>0</v>
      </c>
      <c r="W40" s="344">
        <f>IF('2. Operating Budget'!$D34&gt;0,$C40/12,'2. Operating Budget'!$B34*4.3+'2. Operating Budget'!$C34+'2. Operating Budget'!$E34*W$7)</f>
        <v>0</v>
      </c>
      <c r="X40" s="344">
        <f>IF('2. Operating Budget'!$D34&gt;0,$C40/12,'2. Operating Budget'!$B34*4.3+'2. Operating Budget'!$C34+'2. Operating Budget'!$E34*X$7)</f>
        <v>0</v>
      </c>
      <c r="Y40" s="344">
        <f>IF('2. Operating Budget'!$D34&gt;0,$C40/12,'2. Operating Budget'!$B34*4.3+'2. Operating Budget'!$C34+'2. Operating Budget'!$E34*Y$7)</f>
        <v>0</v>
      </c>
      <c r="Z40" s="344">
        <f>IF('2. Operating Budget'!$D34&gt;0,$C40/12,'2. Operating Budget'!$B34*4.3+'2. Operating Budget'!$C34+'2. Operating Budget'!$E34*Z$7)</f>
        <v>0</v>
      </c>
      <c r="AA40" s="344">
        <f>IF('2. Operating Budget'!$D34&gt;0,$C40/12,'2. Operating Budget'!$B34*4.3+'2. Operating Budget'!$C34+'2. Operating Budget'!$E34*AA$7)</f>
        <v>0</v>
      </c>
      <c r="AB40" s="344">
        <f>IF('2. Operating Budget'!$D34&gt;0,$C40/12,'2. Operating Budget'!$B34*4.3+'2. Operating Budget'!$C34+'2. Operating Budget'!$E34*AB$7)</f>
        <v>0</v>
      </c>
      <c r="AC40" s="411">
        <f t="shared" si="20"/>
        <v>0</v>
      </c>
      <c r="AD40" s="411">
        <f>IF('2. Operating Budget'!$E34&gt;0,'2. Operating Budget'!$E34*'8. P&amp;L and Cashflow'!AD$7,'2. Operating Budget'!$K34)</f>
        <v>0</v>
      </c>
      <c r="AE40" s="411">
        <f>IF('2. Operating Budget'!$E34&gt;0,'2. Operating Budget'!$E34*'8. P&amp;L and Cashflow'!AE$7,'2. Operating Budget'!$K34)</f>
        <v>0</v>
      </c>
      <c r="AF40" s="411">
        <f>IF('2. Operating Budget'!$E34&gt;0,'2. Operating Budget'!$E34*'8. P&amp;L and Cashflow'!AF$7,'2. Operating Budget'!$K34)</f>
        <v>0</v>
      </c>
    </row>
    <row r="41" spans="1:32" ht="12.75" hidden="1">
      <c r="A41" s="9"/>
      <c r="B41" s="209" t="str">
        <f>IF('2. Operating Budget'!A35="","",'2. Operating Budget'!A35)</f>
        <v/>
      </c>
      <c r="C41" s="313">
        <f>'2. Operating Budget'!K35</f>
        <v>0</v>
      </c>
      <c r="D41" s="307">
        <f>IF('2. Operating Budget'!$D35&gt;0,$C41/12,'2. Operating Budget'!$B35*4.3+'2. Operating Budget'!$C35+'2. Operating Budget'!$E35*D$7)</f>
        <v>0</v>
      </c>
      <c r="E41" s="93">
        <f>IF('2. Operating Budget'!$D35&gt;0,$C41/12,'2. Operating Budget'!$B35*4.3+'2. Operating Budget'!$C35+'2. Operating Budget'!$E35*E$7)</f>
        <v>0</v>
      </c>
      <c r="F41" s="93">
        <f>IF('2. Operating Budget'!$D35&gt;0,$C41/12,'2. Operating Budget'!$B35*4.3+'2. Operating Budget'!$C35+'2. Operating Budget'!$E35*F$7)</f>
        <v>0</v>
      </c>
      <c r="G41" s="93">
        <f>IF('2. Operating Budget'!$D35&gt;0,$C41/12,'2. Operating Budget'!$B35*4.3+'2. Operating Budget'!$C35+'2. Operating Budget'!$E35*G$7)</f>
        <v>0</v>
      </c>
      <c r="H41" s="93">
        <f>IF('2. Operating Budget'!$D35&gt;0,$C41/12,'2. Operating Budget'!$B35*4.3+'2. Operating Budget'!$C35+'2. Operating Budget'!$E35*H$7)</f>
        <v>0</v>
      </c>
      <c r="I41" s="93">
        <f>IF('2. Operating Budget'!$D35&gt;0,$C41/12,'2. Operating Budget'!$B35*4.3+'2. Operating Budget'!$C35+'2. Operating Budget'!$E35*I$7)</f>
        <v>0</v>
      </c>
      <c r="J41" s="93">
        <f>IF('2. Operating Budget'!$D35&gt;0,$C41/12,'2. Operating Budget'!$B35*4.3+'2. Operating Budget'!$C35+'2. Operating Budget'!$E35*J$7)</f>
        <v>0</v>
      </c>
      <c r="K41" s="93">
        <f>IF('2. Operating Budget'!$D35&gt;0,$C41/12,'2. Operating Budget'!$B35*4.3+'2. Operating Budget'!$C35+'2. Operating Budget'!$E35*K$7)</f>
        <v>0</v>
      </c>
      <c r="L41" s="93">
        <f>IF('2. Operating Budget'!$D35&gt;0,$C41/12,'2. Operating Budget'!$B35*4.3+'2. Operating Budget'!$C35+'2. Operating Budget'!$E35*L$7)</f>
        <v>0</v>
      </c>
      <c r="M41" s="93">
        <f>IF('2. Operating Budget'!$D35&gt;0,$C41/12,'2. Operating Budget'!$B35*4.3+'2. Operating Budget'!$C35+'2. Operating Budget'!$E35*M$7)</f>
        <v>0</v>
      </c>
      <c r="N41" s="93">
        <f>IF('2. Operating Budget'!$D35&gt;0,$C41/12,'2. Operating Budget'!$B35*4.3+'2. Operating Budget'!$C35+'2. Operating Budget'!$E35*N$7)</f>
        <v>0</v>
      </c>
      <c r="O41" s="93">
        <f>IF('2. Operating Budget'!$D35&gt;0,$C41/12,'2. Operating Budget'!$B35*4.3+'2. Operating Budget'!$C35+'2. Operating Budget'!$E35*O$7)</f>
        <v>0</v>
      </c>
      <c r="P41" s="412">
        <f t="shared" si="19"/>
        <v>0</v>
      </c>
      <c r="Q41" s="307">
        <f>IF('2. Operating Budget'!$D35&gt;0,$C41/12,'2. Operating Budget'!$B35*4.3+'2. Operating Budget'!$C35+'2. Operating Budget'!$E35*Q$7)</f>
        <v>0</v>
      </c>
      <c r="R41" s="93">
        <f>IF('2. Operating Budget'!$D35&gt;0,$C41/12,'2. Operating Budget'!$B35*4.3+'2. Operating Budget'!$C35+'2. Operating Budget'!$E35*R$7)</f>
        <v>0</v>
      </c>
      <c r="S41" s="93">
        <f>IF('2. Operating Budget'!$D35&gt;0,$C41/12,'2. Operating Budget'!$B35*4.3+'2. Operating Budget'!$C35+'2. Operating Budget'!$E35*S$7)</f>
        <v>0</v>
      </c>
      <c r="T41" s="93">
        <f>IF('2. Operating Budget'!$D35&gt;0,$C41/12,'2. Operating Budget'!$B35*4.3+'2. Operating Budget'!$C35+'2. Operating Budget'!$E35*T$7)</f>
        <v>0</v>
      </c>
      <c r="U41" s="93">
        <f>IF('2. Operating Budget'!$D35&gt;0,$C41/12,'2. Operating Budget'!$B35*4.3+'2. Operating Budget'!$C35+'2. Operating Budget'!$E35*U$7)</f>
        <v>0</v>
      </c>
      <c r="V41" s="93">
        <f>IF('2. Operating Budget'!$D35&gt;0,$C41/12,'2. Operating Budget'!$B35*4.3+'2. Operating Budget'!$C35+'2. Operating Budget'!$E35*V$7)</f>
        <v>0</v>
      </c>
      <c r="W41" s="93">
        <f>IF('2. Operating Budget'!$D35&gt;0,$C41/12,'2. Operating Budget'!$B35*4.3+'2. Operating Budget'!$C35+'2. Operating Budget'!$E35*W$7)</f>
        <v>0</v>
      </c>
      <c r="X41" s="93">
        <f>IF('2. Operating Budget'!$D35&gt;0,$C41/12,'2. Operating Budget'!$B35*4.3+'2. Operating Budget'!$C35+'2. Operating Budget'!$E35*X$7)</f>
        <v>0</v>
      </c>
      <c r="Y41" s="93">
        <f>IF('2. Operating Budget'!$D35&gt;0,$C41/12,'2. Operating Budget'!$B35*4.3+'2. Operating Budget'!$C35+'2. Operating Budget'!$E35*Y$7)</f>
        <v>0</v>
      </c>
      <c r="Z41" s="93">
        <f>IF('2. Operating Budget'!$D35&gt;0,$C41/12,'2. Operating Budget'!$B35*4.3+'2. Operating Budget'!$C35+'2. Operating Budget'!$E35*Z$7)</f>
        <v>0</v>
      </c>
      <c r="AA41" s="93">
        <f>IF('2. Operating Budget'!$D35&gt;0,$C41/12,'2. Operating Budget'!$B35*4.3+'2. Operating Budget'!$C35+'2. Operating Budget'!$E35*AA$7)</f>
        <v>0</v>
      </c>
      <c r="AB41" s="93">
        <f>IF('2. Operating Budget'!$D35&gt;0,$C41/12,'2. Operating Budget'!$B35*4.3+'2. Operating Budget'!$C35+'2. Operating Budget'!$E35*AB$7)</f>
        <v>0</v>
      </c>
      <c r="AC41" s="412">
        <f t="shared" si="20"/>
        <v>0</v>
      </c>
      <c r="AD41" s="412">
        <f>IF('2. Operating Budget'!$E35&gt;0,'2. Operating Budget'!$E35*'8. P&amp;L and Cashflow'!AD$7,'2. Operating Budget'!$K35)</f>
        <v>0</v>
      </c>
      <c r="AE41" s="412">
        <f>IF('2. Operating Budget'!$E35&gt;0,'2. Operating Budget'!$E35*'8. P&amp;L and Cashflow'!AE$7,'2. Operating Budget'!$K35)</f>
        <v>0</v>
      </c>
      <c r="AF41" s="412">
        <f>IF('2. Operating Budget'!$E35&gt;0,'2. Operating Budget'!$E35*'8. P&amp;L and Cashflow'!AF$7,'2. Operating Budget'!$K35)</f>
        <v>0</v>
      </c>
    </row>
    <row r="42" spans="1:32" ht="12.75" hidden="1">
      <c r="A42" s="9"/>
      <c r="B42" s="341" t="str">
        <f>IF('2. Operating Budget'!A36="","",'2. Operating Budget'!A36)</f>
        <v/>
      </c>
      <c r="C42" s="342">
        <f>'2. Operating Budget'!K36</f>
        <v>0</v>
      </c>
      <c r="D42" s="343">
        <f>IF('2. Operating Budget'!$D36&gt;0,$C42/12,'2. Operating Budget'!$B36*4.3+'2. Operating Budget'!$C36+'2. Operating Budget'!$E36*D$7)</f>
        <v>0</v>
      </c>
      <c r="E42" s="344">
        <f>IF('2. Operating Budget'!$D36&gt;0,$C42/12,'2. Operating Budget'!$B36*4.3+'2. Operating Budget'!$C36+'2. Operating Budget'!$E36*E$7)</f>
        <v>0</v>
      </c>
      <c r="F42" s="344">
        <f>IF('2. Operating Budget'!$D36&gt;0,$C42/12,'2. Operating Budget'!$B36*4.3+'2. Operating Budget'!$C36+'2. Operating Budget'!$E36*F$7)</f>
        <v>0</v>
      </c>
      <c r="G42" s="344">
        <f>IF('2. Operating Budget'!$D36&gt;0,$C42/12,'2. Operating Budget'!$B36*4.3+'2. Operating Budget'!$C36+'2. Operating Budget'!$E36*G$7)</f>
        <v>0</v>
      </c>
      <c r="H42" s="344">
        <f>IF('2. Operating Budget'!$D36&gt;0,$C42/12,'2. Operating Budget'!$B36*4.3+'2. Operating Budget'!$C36+'2. Operating Budget'!$E36*H$7)</f>
        <v>0</v>
      </c>
      <c r="I42" s="344">
        <f>IF('2. Operating Budget'!$D36&gt;0,$C42/12,'2. Operating Budget'!$B36*4.3+'2. Operating Budget'!$C36+'2. Operating Budget'!$E36*I$7)</f>
        <v>0</v>
      </c>
      <c r="J42" s="344">
        <f>IF('2. Operating Budget'!$D36&gt;0,$C42/12,'2. Operating Budget'!$B36*4.3+'2. Operating Budget'!$C36+'2. Operating Budget'!$E36*J$7)</f>
        <v>0</v>
      </c>
      <c r="K42" s="344">
        <f>IF('2. Operating Budget'!$D36&gt;0,$C42/12,'2. Operating Budget'!$B36*4.3+'2. Operating Budget'!$C36+'2. Operating Budget'!$E36*K$7)</f>
        <v>0</v>
      </c>
      <c r="L42" s="344">
        <f>IF('2. Operating Budget'!$D36&gt;0,$C42/12,'2. Operating Budget'!$B36*4.3+'2. Operating Budget'!$C36+'2. Operating Budget'!$E36*L$7)</f>
        <v>0</v>
      </c>
      <c r="M42" s="344">
        <f>IF('2. Operating Budget'!$D36&gt;0,$C42/12,'2. Operating Budget'!$B36*4.3+'2. Operating Budget'!$C36+'2. Operating Budget'!$E36*M$7)</f>
        <v>0</v>
      </c>
      <c r="N42" s="344">
        <f>IF('2. Operating Budget'!$D36&gt;0,$C42/12,'2. Operating Budget'!$B36*4.3+'2. Operating Budget'!$C36+'2. Operating Budget'!$E36*N$7)</f>
        <v>0</v>
      </c>
      <c r="O42" s="344">
        <f>IF('2. Operating Budget'!$D36&gt;0,$C42/12,'2. Operating Budget'!$B36*4.3+'2. Operating Budget'!$C36+'2. Operating Budget'!$E36*O$7)</f>
        <v>0</v>
      </c>
      <c r="P42" s="411">
        <f t="shared" si="19"/>
        <v>0</v>
      </c>
      <c r="Q42" s="343">
        <f>IF('2. Operating Budget'!$D36&gt;0,$C42/12,'2. Operating Budget'!$B36*4.3+'2. Operating Budget'!$C36+'2. Operating Budget'!$E36*Q$7)</f>
        <v>0</v>
      </c>
      <c r="R42" s="344">
        <f>IF('2. Operating Budget'!$D36&gt;0,$C42/12,'2. Operating Budget'!$B36*4.3+'2. Operating Budget'!$C36+'2. Operating Budget'!$E36*R$7)</f>
        <v>0</v>
      </c>
      <c r="S42" s="344">
        <f>IF('2. Operating Budget'!$D36&gt;0,$C42/12,'2. Operating Budget'!$B36*4.3+'2. Operating Budget'!$C36+'2. Operating Budget'!$E36*S$7)</f>
        <v>0</v>
      </c>
      <c r="T42" s="344">
        <f>IF('2. Operating Budget'!$D36&gt;0,$C42/12,'2. Operating Budget'!$B36*4.3+'2. Operating Budget'!$C36+'2. Operating Budget'!$E36*T$7)</f>
        <v>0</v>
      </c>
      <c r="U42" s="344">
        <f>IF('2. Operating Budget'!$D36&gt;0,$C42/12,'2. Operating Budget'!$B36*4.3+'2. Operating Budget'!$C36+'2. Operating Budget'!$E36*U$7)</f>
        <v>0</v>
      </c>
      <c r="V42" s="344">
        <f>IF('2. Operating Budget'!$D36&gt;0,$C42/12,'2. Operating Budget'!$B36*4.3+'2. Operating Budget'!$C36+'2. Operating Budget'!$E36*V$7)</f>
        <v>0</v>
      </c>
      <c r="W42" s="344">
        <f>IF('2. Operating Budget'!$D36&gt;0,$C42/12,'2. Operating Budget'!$B36*4.3+'2. Operating Budget'!$C36+'2. Operating Budget'!$E36*W$7)</f>
        <v>0</v>
      </c>
      <c r="X42" s="344">
        <f>IF('2. Operating Budget'!$D36&gt;0,$C42/12,'2. Operating Budget'!$B36*4.3+'2. Operating Budget'!$C36+'2. Operating Budget'!$E36*X$7)</f>
        <v>0</v>
      </c>
      <c r="Y42" s="344">
        <f>IF('2. Operating Budget'!$D36&gt;0,$C42/12,'2. Operating Budget'!$B36*4.3+'2. Operating Budget'!$C36+'2. Operating Budget'!$E36*Y$7)</f>
        <v>0</v>
      </c>
      <c r="Z42" s="344">
        <f>IF('2. Operating Budget'!$D36&gt;0,$C42/12,'2. Operating Budget'!$B36*4.3+'2. Operating Budget'!$C36+'2. Operating Budget'!$E36*Z$7)</f>
        <v>0</v>
      </c>
      <c r="AA42" s="344">
        <f>IF('2. Operating Budget'!$D36&gt;0,$C42/12,'2. Operating Budget'!$B36*4.3+'2. Operating Budget'!$C36+'2. Operating Budget'!$E36*AA$7)</f>
        <v>0</v>
      </c>
      <c r="AB42" s="344">
        <f>IF('2. Operating Budget'!$D36&gt;0,$C42/12,'2. Operating Budget'!$B36*4.3+'2. Operating Budget'!$C36+'2. Operating Budget'!$E36*AB$7)</f>
        <v>0</v>
      </c>
      <c r="AC42" s="411">
        <f t="shared" si="20"/>
        <v>0</v>
      </c>
      <c r="AD42" s="411">
        <f>IF('2. Operating Budget'!$E36&gt;0,'2. Operating Budget'!$E36*'8. P&amp;L and Cashflow'!AD$7,'2. Operating Budget'!$K36)</f>
        <v>0</v>
      </c>
      <c r="AE42" s="411">
        <f>IF('2. Operating Budget'!$E36&gt;0,'2. Operating Budget'!$E36*'8. P&amp;L and Cashflow'!AE$7,'2. Operating Budget'!$K36)</f>
        <v>0</v>
      </c>
      <c r="AF42" s="411">
        <f>IF('2. Operating Budget'!$E36&gt;0,'2. Operating Budget'!$E36*'8. P&amp;L and Cashflow'!AF$7,'2. Operating Budget'!$K36)</f>
        <v>0</v>
      </c>
    </row>
    <row r="43" spans="1:32" ht="12.75" hidden="1">
      <c r="A43" s="9"/>
      <c r="B43" s="209" t="str">
        <f>IF('2. Operating Budget'!A37="","",'2. Operating Budget'!A37)</f>
        <v/>
      </c>
      <c r="C43" s="313">
        <f>'2. Operating Budget'!K37</f>
        <v>0</v>
      </c>
      <c r="D43" s="307">
        <f>IF('2. Operating Budget'!$D37&gt;0,$C43/12,'2. Operating Budget'!$B37*4.3+'2. Operating Budget'!$C37+'2. Operating Budget'!$E37*D$7)</f>
        <v>0</v>
      </c>
      <c r="E43" s="93">
        <f>IF('2. Operating Budget'!$D37&gt;0,$C43/12,'2. Operating Budget'!$B37*4.3+'2. Operating Budget'!$C37+'2. Operating Budget'!$E37*E$7)</f>
        <v>0</v>
      </c>
      <c r="F43" s="93">
        <f>IF('2. Operating Budget'!$D37&gt;0,$C43/12,'2. Operating Budget'!$B37*4.3+'2. Operating Budget'!$C37+'2. Operating Budget'!$E37*F$7)</f>
        <v>0</v>
      </c>
      <c r="G43" s="93">
        <f>IF('2. Operating Budget'!$D37&gt;0,$C43/12,'2. Operating Budget'!$B37*4.3+'2. Operating Budget'!$C37+'2. Operating Budget'!$E37*G$7)</f>
        <v>0</v>
      </c>
      <c r="H43" s="93">
        <f>IF('2. Operating Budget'!$D37&gt;0,$C43/12,'2. Operating Budget'!$B37*4.3+'2. Operating Budget'!$C37+'2. Operating Budget'!$E37*H$7)</f>
        <v>0</v>
      </c>
      <c r="I43" s="93">
        <f>IF('2. Operating Budget'!$D37&gt;0,$C43/12,'2. Operating Budget'!$B37*4.3+'2. Operating Budget'!$C37+'2. Operating Budget'!$E37*I$7)</f>
        <v>0</v>
      </c>
      <c r="J43" s="93">
        <f>IF('2. Operating Budget'!$D37&gt;0,$C43/12,'2. Operating Budget'!$B37*4.3+'2. Operating Budget'!$C37+'2. Operating Budget'!$E37*J$7)</f>
        <v>0</v>
      </c>
      <c r="K43" s="93">
        <f>IF('2. Operating Budget'!$D37&gt;0,$C43/12,'2. Operating Budget'!$B37*4.3+'2. Operating Budget'!$C37+'2. Operating Budget'!$E37*K$7)</f>
        <v>0</v>
      </c>
      <c r="L43" s="93">
        <f>IF('2. Operating Budget'!$D37&gt;0,$C43/12,'2. Operating Budget'!$B37*4.3+'2. Operating Budget'!$C37+'2. Operating Budget'!$E37*L$7)</f>
        <v>0</v>
      </c>
      <c r="M43" s="93">
        <f>IF('2. Operating Budget'!$D37&gt;0,$C43/12,'2. Operating Budget'!$B37*4.3+'2. Operating Budget'!$C37+'2. Operating Budget'!$E37*M$7)</f>
        <v>0</v>
      </c>
      <c r="N43" s="93">
        <f>IF('2. Operating Budget'!$D37&gt;0,$C43/12,'2. Operating Budget'!$B37*4.3+'2. Operating Budget'!$C37+'2. Operating Budget'!$E37*N$7)</f>
        <v>0</v>
      </c>
      <c r="O43" s="93">
        <f>IF('2. Operating Budget'!$D37&gt;0,$C43/12,'2. Operating Budget'!$B37*4.3+'2. Operating Budget'!$C37+'2. Operating Budget'!$E37*O$7)</f>
        <v>0</v>
      </c>
      <c r="P43" s="412">
        <f t="shared" si="19"/>
        <v>0</v>
      </c>
      <c r="Q43" s="307">
        <f>IF('2. Operating Budget'!$D37&gt;0,$C43/12,'2. Operating Budget'!$B37*4.3+'2. Operating Budget'!$C37+'2. Operating Budget'!$E37*Q$7)</f>
        <v>0</v>
      </c>
      <c r="R43" s="93">
        <f>IF('2. Operating Budget'!$D37&gt;0,$C43/12,'2. Operating Budget'!$B37*4.3+'2. Operating Budget'!$C37+'2. Operating Budget'!$E37*R$7)</f>
        <v>0</v>
      </c>
      <c r="S43" s="93">
        <f>IF('2. Operating Budget'!$D37&gt;0,$C43/12,'2. Operating Budget'!$B37*4.3+'2. Operating Budget'!$C37+'2. Operating Budget'!$E37*S$7)</f>
        <v>0</v>
      </c>
      <c r="T43" s="93">
        <f>IF('2. Operating Budget'!$D37&gt;0,$C43/12,'2. Operating Budget'!$B37*4.3+'2. Operating Budget'!$C37+'2. Operating Budget'!$E37*T$7)</f>
        <v>0</v>
      </c>
      <c r="U43" s="93">
        <f>IF('2. Operating Budget'!$D37&gt;0,$C43/12,'2. Operating Budget'!$B37*4.3+'2. Operating Budget'!$C37+'2. Operating Budget'!$E37*U$7)</f>
        <v>0</v>
      </c>
      <c r="V43" s="93">
        <f>IF('2. Operating Budget'!$D37&gt;0,$C43/12,'2. Operating Budget'!$B37*4.3+'2. Operating Budget'!$C37+'2. Operating Budget'!$E37*V$7)</f>
        <v>0</v>
      </c>
      <c r="W43" s="93">
        <f>IF('2. Operating Budget'!$D37&gt;0,$C43/12,'2. Operating Budget'!$B37*4.3+'2. Operating Budget'!$C37+'2. Operating Budget'!$E37*W$7)</f>
        <v>0</v>
      </c>
      <c r="X43" s="93">
        <f>IF('2. Operating Budget'!$D37&gt;0,$C43/12,'2. Operating Budget'!$B37*4.3+'2. Operating Budget'!$C37+'2. Operating Budget'!$E37*X$7)</f>
        <v>0</v>
      </c>
      <c r="Y43" s="93">
        <f>IF('2. Operating Budget'!$D37&gt;0,$C43/12,'2. Operating Budget'!$B37*4.3+'2. Operating Budget'!$C37+'2. Operating Budget'!$E37*Y$7)</f>
        <v>0</v>
      </c>
      <c r="Z43" s="93">
        <f>IF('2. Operating Budget'!$D37&gt;0,$C43/12,'2. Operating Budget'!$B37*4.3+'2. Operating Budget'!$C37+'2. Operating Budget'!$E37*Z$7)</f>
        <v>0</v>
      </c>
      <c r="AA43" s="93">
        <f>IF('2. Operating Budget'!$D37&gt;0,$C43/12,'2. Operating Budget'!$B37*4.3+'2. Operating Budget'!$C37+'2. Operating Budget'!$E37*AA$7)</f>
        <v>0</v>
      </c>
      <c r="AB43" s="93">
        <f>IF('2. Operating Budget'!$D37&gt;0,$C43/12,'2. Operating Budget'!$B37*4.3+'2. Operating Budget'!$C37+'2. Operating Budget'!$E37*AB$7)</f>
        <v>0</v>
      </c>
      <c r="AC43" s="412">
        <f t="shared" si="20"/>
        <v>0</v>
      </c>
      <c r="AD43" s="412">
        <f>IF('2. Operating Budget'!$E37&gt;0,'2. Operating Budget'!$E37*'8. P&amp;L and Cashflow'!AD$7,'2. Operating Budget'!$K37)</f>
        <v>0</v>
      </c>
      <c r="AE43" s="412">
        <f>IF('2. Operating Budget'!$E37&gt;0,'2. Operating Budget'!$E37*'8. P&amp;L and Cashflow'!AE$7,'2. Operating Budget'!$K37)</f>
        <v>0</v>
      </c>
      <c r="AF43" s="412">
        <f>IF('2. Operating Budget'!$E37&gt;0,'2. Operating Budget'!$E37*'8. P&amp;L and Cashflow'!AF$7,'2. Operating Budget'!$K37)</f>
        <v>0</v>
      </c>
    </row>
    <row r="44" spans="1:32" ht="12.75" hidden="1">
      <c r="A44" s="9"/>
      <c r="B44" s="341" t="str">
        <f>IF('2. Operating Budget'!A38="","",'2. Operating Budget'!A38)</f>
        <v/>
      </c>
      <c r="C44" s="342">
        <f>'2. Operating Budget'!K38</f>
        <v>0</v>
      </c>
      <c r="D44" s="343">
        <f>IF('2. Operating Budget'!$D38&gt;0,$C44/12,'2. Operating Budget'!$B38*4.3+'2. Operating Budget'!$C38+'2. Operating Budget'!$E38*D$7)</f>
        <v>0</v>
      </c>
      <c r="E44" s="344">
        <f>IF('2. Operating Budget'!$D38&gt;0,$C44/12,'2. Operating Budget'!$B38*4.3+'2. Operating Budget'!$C38+'2. Operating Budget'!$E38*E$7)</f>
        <v>0</v>
      </c>
      <c r="F44" s="344">
        <f>IF('2. Operating Budget'!$D38&gt;0,$C44/12,'2. Operating Budget'!$B38*4.3+'2. Operating Budget'!$C38+'2. Operating Budget'!$E38*F$7)</f>
        <v>0</v>
      </c>
      <c r="G44" s="344">
        <f>IF('2. Operating Budget'!$D38&gt;0,$C44/12,'2. Operating Budget'!$B38*4.3+'2. Operating Budget'!$C38+'2. Operating Budget'!$E38*G$7)</f>
        <v>0</v>
      </c>
      <c r="H44" s="344">
        <f>IF('2. Operating Budget'!$D38&gt;0,$C44/12,'2. Operating Budget'!$B38*4.3+'2. Operating Budget'!$C38+'2. Operating Budget'!$E38*H$7)</f>
        <v>0</v>
      </c>
      <c r="I44" s="344">
        <f>IF('2. Operating Budget'!$D38&gt;0,$C44/12,'2. Operating Budget'!$B38*4.3+'2. Operating Budget'!$C38+'2. Operating Budget'!$E38*I$7)</f>
        <v>0</v>
      </c>
      <c r="J44" s="344">
        <f>IF('2. Operating Budget'!$D38&gt;0,$C44/12,'2. Operating Budget'!$B38*4.3+'2. Operating Budget'!$C38+'2. Operating Budget'!$E38*J$7)</f>
        <v>0</v>
      </c>
      <c r="K44" s="344">
        <f>IF('2. Operating Budget'!$D38&gt;0,$C44/12,'2. Operating Budget'!$B38*4.3+'2. Operating Budget'!$C38+'2. Operating Budget'!$E38*K$7)</f>
        <v>0</v>
      </c>
      <c r="L44" s="344">
        <f>IF('2. Operating Budget'!$D38&gt;0,$C44/12,'2. Operating Budget'!$B38*4.3+'2. Operating Budget'!$C38+'2. Operating Budget'!$E38*L$7)</f>
        <v>0</v>
      </c>
      <c r="M44" s="344">
        <f>IF('2. Operating Budget'!$D38&gt;0,$C44/12,'2. Operating Budget'!$B38*4.3+'2. Operating Budget'!$C38+'2. Operating Budget'!$E38*M$7)</f>
        <v>0</v>
      </c>
      <c r="N44" s="344">
        <f>IF('2. Operating Budget'!$D38&gt;0,$C44/12,'2. Operating Budget'!$B38*4.3+'2. Operating Budget'!$C38+'2. Operating Budget'!$E38*N$7)</f>
        <v>0</v>
      </c>
      <c r="O44" s="344">
        <f>IF('2. Operating Budget'!$D38&gt;0,$C44/12,'2. Operating Budget'!$B38*4.3+'2. Operating Budget'!$C38+'2. Operating Budget'!$E38*O$7)</f>
        <v>0</v>
      </c>
      <c r="P44" s="411">
        <f t="shared" si="19"/>
        <v>0</v>
      </c>
      <c r="Q44" s="343">
        <f>IF('2. Operating Budget'!$D38&gt;0,$C44/12,'2. Operating Budget'!$B38*4.3+'2. Operating Budget'!$C38+'2. Operating Budget'!$E38*Q$7)</f>
        <v>0</v>
      </c>
      <c r="R44" s="344">
        <f>IF('2. Operating Budget'!$D38&gt;0,$C44/12,'2. Operating Budget'!$B38*4.3+'2. Operating Budget'!$C38+'2. Operating Budget'!$E38*R$7)</f>
        <v>0</v>
      </c>
      <c r="S44" s="344">
        <f>IF('2. Operating Budget'!$D38&gt;0,$C44/12,'2. Operating Budget'!$B38*4.3+'2. Operating Budget'!$C38+'2. Operating Budget'!$E38*S$7)</f>
        <v>0</v>
      </c>
      <c r="T44" s="344">
        <f>IF('2. Operating Budget'!$D38&gt;0,$C44/12,'2. Operating Budget'!$B38*4.3+'2. Operating Budget'!$C38+'2. Operating Budget'!$E38*T$7)</f>
        <v>0</v>
      </c>
      <c r="U44" s="344">
        <f>IF('2. Operating Budget'!$D38&gt;0,$C44/12,'2. Operating Budget'!$B38*4.3+'2. Operating Budget'!$C38+'2. Operating Budget'!$E38*U$7)</f>
        <v>0</v>
      </c>
      <c r="V44" s="344">
        <f>IF('2. Operating Budget'!$D38&gt;0,$C44/12,'2. Operating Budget'!$B38*4.3+'2. Operating Budget'!$C38+'2. Operating Budget'!$E38*V$7)</f>
        <v>0</v>
      </c>
      <c r="W44" s="344">
        <f>IF('2. Operating Budget'!$D38&gt;0,$C44/12,'2. Operating Budget'!$B38*4.3+'2. Operating Budget'!$C38+'2. Operating Budget'!$E38*W$7)</f>
        <v>0</v>
      </c>
      <c r="X44" s="344">
        <f>IF('2. Operating Budget'!$D38&gt;0,$C44/12,'2. Operating Budget'!$B38*4.3+'2. Operating Budget'!$C38+'2. Operating Budget'!$E38*X$7)</f>
        <v>0</v>
      </c>
      <c r="Y44" s="344">
        <f>IF('2. Operating Budget'!$D38&gt;0,$C44/12,'2. Operating Budget'!$B38*4.3+'2. Operating Budget'!$C38+'2. Operating Budget'!$E38*Y$7)</f>
        <v>0</v>
      </c>
      <c r="Z44" s="344">
        <f>IF('2. Operating Budget'!$D38&gt;0,$C44/12,'2. Operating Budget'!$B38*4.3+'2. Operating Budget'!$C38+'2. Operating Budget'!$E38*Z$7)</f>
        <v>0</v>
      </c>
      <c r="AA44" s="344">
        <f>IF('2. Operating Budget'!$D38&gt;0,$C44/12,'2. Operating Budget'!$B38*4.3+'2. Operating Budget'!$C38+'2. Operating Budget'!$E38*AA$7)</f>
        <v>0</v>
      </c>
      <c r="AB44" s="344">
        <f>IF('2. Operating Budget'!$D38&gt;0,$C44/12,'2. Operating Budget'!$B38*4.3+'2. Operating Budget'!$C38+'2. Operating Budget'!$E38*AB$7)</f>
        <v>0</v>
      </c>
      <c r="AC44" s="411">
        <f t="shared" si="20"/>
        <v>0</v>
      </c>
      <c r="AD44" s="411">
        <f>IF('2. Operating Budget'!$E38&gt;0,'2. Operating Budget'!$E38*'8. P&amp;L and Cashflow'!AD$7,'2. Operating Budget'!$K38)</f>
        <v>0</v>
      </c>
      <c r="AE44" s="411">
        <f>IF('2. Operating Budget'!$E38&gt;0,'2. Operating Budget'!$E38*'8. P&amp;L and Cashflow'!AE$7,'2. Operating Budget'!$K38)</f>
        <v>0</v>
      </c>
      <c r="AF44" s="411">
        <f>IF('2. Operating Budget'!$E38&gt;0,'2. Operating Budget'!$E38*'8. P&amp;L and Cashflow'!AF$7,'2. Operating Budget'!$K38)</f>
        <v>0</v>
      </c>
    </row>
    <row r="45" spans="1:32" ht="12.75" hidden="1">
      <c r="A45" s="9"/>
      <c r="B45" s="209" t="str">
        <f>IF('2. Operating Budget'!A39="","",'2. Operating Budget'!A39)</f>
        <v/>
      </c>
      <c r="C45" s="313">
        <f>'2. Operating Budget'!K39</f>
        <v>0</v>
      </c>
      <c r="D45" s="307">
        <f>IF('2. Operating Budget'!$D39&gt;0,$C45/12,'2. Operating Budget'!$B39*4.3+'2. Operating Budget'!$C39+'2. Operating Budget'!$E39*D$7)</f>
        <v>0</v>
      </c>
      <c r="E45" s="93">
        <f>IF('2. Operating Budget'!$D39&gt;0,$C45/12,'2. Operating Budget'!$B39*4.3+'2. Operating Budget'!$C39+'2. Operating Budget'!$E39*E$7)</f>
        <v>0</v>
      </c>
      <c r="F45" s="93">
        <f>IF('2. Operating Budget'!$D39&gt;0,$C45/12,'2. Operating Budget'!$B39*4.3+'2. Operating Budget'!$C39+'2. Operating Budget'!$E39*F$7)</f>
        <v>0</v>
      </c>
      <c r="G45" s="93">
        <f>IF('2. Operating Budget'!$D39&gt;0,$C45/12,'2. Operating Budget'!$B39*4.3+'2. Operating Budget'!$C39+'2. Operating Budget'!$E39*G$7)</f>
        <v>0</v>
      </c>
      <c r="H45" s="93">
        <f>IF('2. Operating Budget'!$D39&gt;0,$C45/12,'2. Operating Budget'!$B39*4.3+'2. Operating Budget'!$C39+'2. Operating Budget'!$E39*H$7)</f>
        <v>0</v>
      </c>
      <c r="I45" s="93">
        <f>IF('2. Operating Budget'!$D39&gt;0,$C45/12,'2. Operating Budget'!$B39*4.3+'2. Operating Budget'!$C39+'2. Operating Budget'!$E39*I$7)</f>
        <v>0</v>
      </c>
      <c r="J45" s="93">
        <f>IF('2. Operating Budget'!$D39&gt;0,$C45/12,'2. Operating Budget'!$B39*4.3+'2. Operating Budget'!$C39+'2. Operating Budget'!$E39*J$7)</f>
        <v>0</v>
      </c>
      <c r="K45" s="93">
        <f>IF('2. Operating Budget'!$D39&gt;0,$C45/12,'2. Operating Budget'!$B39*4.3+'2. Operating Budget'!$C39+'2. Operating Budget'!$E39*K$7)</f>
        <v>0</v>
      </c>
      <c r="L45" s="93">
        <f>IF('2. Operating Budget'!$D39&gt;0,$C45/12,'2. Operating Budget'!$B39*4.3+'2. Operating Budget'!$C39+'2. Operating Budget'!$E39*L$7)</f>
        <v>0</v>
      </c>
      <c r="M45" s="93">
        <f>IF('2. Operating Budget'!$D39&gt;0,$C45/12,'2. Operating Budget'!$B39*4.3+'2. Operating Budget'!$C39+'2. Operating Budget'!$E39*M$7)</f>
        <v>0</v>
      </c>
      <c r="N45" s="93">
        <f>IF('2. Operating Budget'!$D39&gt;0,$C45/12,'2. Operating Budget'!$B39*4.3+'2. Operating Budget'!$C39+'2. Operating Budget'!$E39*N$7)</f>
        <v>0</v>
      </c>
      <c r="O45" s="93">
        <f>IF('2. Operating Budget'!$D39&gt;0,$C45/12,'2. Operating Budget'!$B39*4.3+'2. Operating Budget'!$C39+'2. Operating Budget'!$E39*O$7)</f>
        <v>0</v>
      </c>
      <c r="P45" s="412">
        <f t="shared" si="19"/>
        <v>0</v>
      </c>
      <c r="Q45" s="307">
        <f>IF('2. Operating Budget'!$D39&gt;0,$C45/12,'2. Operating Budget'!$B39*4.3+'2. Operating Budget'!$C39+'2. Operating Budget'!$E39*Q$7)</f>
        <v>0</v>
      </c>
      <c r="R45" s="93">
        <f>IF('2. Operating Budget'!$D39&gt;0,$C45/12,'2. Operating Budget'!$B39*4.3+'2. Operating Budget'!$C39+'2. Operating Budget'!$E39*R$7)</f>
        <v>0</v>
      </c>
      <c r="S45" s="93">
        <f>IF('2. Operating Budget'!$D39&gt;0,$C45/12,'2. Operating Budget'!$B39*4.3+'2. Operating Budget'!$C39+'2. Operating Budget'!$E39*S$7)</f>
        <v>0</v>
      </c>
      <c r="T45" s="93">
        <f>IF('2. Operating Budget'!$D39&gt;0,$C45/12,'2. Operating Budget'!$B39*4.3+'2. Operating Budget'!$C39+'2. Operating Budget'!$E39*T$7)</f>
        <v>0</v>
      </c>
      <c r="U45" s="93">
        <f>IF('2. Operating Budget'!$D39&gt;0,$C45/12,'2. Operating Budget'!$B39*4.3+'2. Operating Budget'!$C39+'2. Operating Budget'!$E39*U$7)</f>
        <v>0</v>
      </c>
      <c r="V45" s="93">
        <f>IF('2. Operating Budget'!$D39&gt;0,$C45/12,'2. Operating Budget'!$B39*4.3+'2. Operating Budget'!$C39+'2. Operating Budget'!$E39*V$7)</f>
        <v>0</v>
      </c>
      <c r="W45" s="93">
        <f>IF('2. Operating Budget'!$D39&gt;0,$C45/12,'2. Operating Budget'!$B39*4.3+'2. Operating Budget'!$C39+'2. Operating Budget'!$E39*W$7)</f>
        <v>0</v>
      </c>
      <c r="X45" s="93">
        <f>IF('2. Operating Budget'!$D39&gt;0,$C45/12,'2. Operating Budget'!$B39*4.3+'2. Operating Budget'!$C39+'2. Operating Budget'!$E39*X$7)</f>
        <v>0</v>
      </c>
      <c r="Y45" s="93">
        <f>IF('2. Operating Budget'!$D39&gt;0,$C45/12,'2. Operating Budget'!$B39*4.3+'2. Operating Budget'!$C39+'2. Operating Budget'!$E39*Y$7)</f>
        <v>0</v>
      </c>
      <c r="Z45" s="93">
        <f>IF('2. Operating Budget'!$D39&gt;0,$C45/12,'2. Operating Budget'!$B39*4.3+'2. Operating Budget'!$C39+'2. Operating Budget'!$E39*Z$7)</f>
        <v>0</v>
      </c>
      <c r="AA45" s="93">
        <f>IF('2. Operating Budget'!$D39&gt;0,$C45/12,'2. Operating Budget'!$B39*4.3+'2. Operating Budget'!$C39+'2. Operating Budget'!$E39*AA$7)</f>
        <v>0</v>
      </c>
      <c r="AB45" s="93">
        <f>IF('2. Operating Budget'!$D39&gt;0,$C45/12,'2. Operating Budget'!$B39*4.3+'2. Operating Budget'!$C39+'2. Operating Budget'!$E39*AB$7)</f>
        <v>0</v>
      </c>
      <c r="AC45" s="412">
        <f t="shared" si="20"/>
        <v>0</v>
      </c>
      <c r="AD45" s="412">
        <f>IF('2. Operating Budget'!$E39&gt;0,'2. Operating Budget'!$E39*'8. P&amp;L and Cashflow'!AD$7,'2. Operating Budget'!$K39)</f>
        <v>0</v>
      </c>
      <c r="AE45" s="412">
        <f>IF('2. Operating Budget'!$E39&gt;0,'2. Operating Budget'!$E39*'8. P&amp;L and Cashflow'!AE$7,'2. Operating Budget'!$K39)</f>
        <v>0</v>
      </c>
      <c r="AF45" s="412">
        <f>IF('2. Operating Budget'!$E39&gt;0,'2. Operating Budget'!$E39*'8. P&amp;L and Cashflow'!AF$7,'2. Operating Budget'!$K39)</f>
        <v>0</v>
      </c>
    </row>
    <row r="46" spans="1:32" ht="12.75" hidden="1">
      <c r="A46" s="9"/>
      <c r="B46" s="341" t="str">
        <f>IF('2. Operating Budget'!A40="","",'2. Operating Budget'!A40)</f>
        <v/>
      </c>
      <c r="C46" s="342">
        <f>'2. Operating Budget'!K40</f>
        <v>0</v>
      </c>
      <c r="D46" s="343">
        <f>IF('2. Operating Budget'!$D40&gt;0,$C46/12,'2. Operating Budget'!$B40*4.3+'2. Operating Budget'!$C40+'2. Operating Budget'!$E40*D$7)</f>
        <v>0</v>
      </c>
      <c r="E46" s="344">
        <f>IF('2. Operating Budget'!$D40&gt;0,$C46/12,'2. Operating Budget'!$B40*4.3+'2. Operating Budget'!$C40+'2. Operating Budget'!$E40*E$7)</f>
        <v>0</v>
      </c>
      <c r="F46" s="344">
        <f>IF('2. Operating Budget'!$D40&gt;0,$C46/12,'2. Operating Budget'!$B40*4.3+'2. Operating Budget'!$C40+'2. Operating Budget'!$E40*F$7)</f>
        <v>0</v>
      </c>
      <c r="G46" s="344">
        <f>IF('2. Operating Budget'!$D40&gt;0,$C46/12,'2. Operating Budget'!$B40*4.3+'2. Operating Budget'!$C40+'2. Operating Budget'!$E40*G$7)</f>
        <v>0</v>
      </c>
      <c r="H46" s="344">
        <f>IF('2. Operating Budget'!$D40&gt;0,$C46/12,'2. Operating Budget'!$B40*4.3+'2. Operating Budget'!$C40+'2. Operating Budget'!$E40*H$7)</f>
        <v>0</v>
      </c>
      <c r="I46" s="344">
        <f>IF('2. Operating Budget'!$D40&gt;0,$C46/12,'2. Operating Budget'!$B40*4.3+'2. Operating Budget'!$C40+'2. Operating Budget'!$E40*I$7)</f>
        <v>0</v>
      </c>
      <c r="J46" s="344">
        <f>IF('2. Operating Budget'!$D40&gt;0,$C46/12,'2. Operating Budget'!$B40*4.3+'2. Operating Budget'!$C40+'2. Operating Budget'!$E40*J$7)</f>
        <v>0</v>
      </c>
      <c r="K46" s="344">
        <f>IF('2. Operating Budget'!$D40&gt;0,$C46/12,'2. Operating Budget'!$B40*4.3+'2. Operating Budget'!$C40+'2. Operating Budget'!$E40*K$7)</f>
        <v>0</v>
      </c>
      <c r="L46" s="344">
        <f>IF('2. Operating Budget'!$D40&gt;0,$C46/12,'2. Operating Budget'!$B40*4.3+'2. Operating Budget'!$C40+'2. Operating Budget'!$E40*L$7)</f>
        <v>0</v>
      </c>
      <c r="M46" s="344">
        <f>IF('2. Operating Budget'!$D40&gt;0,$C46/12,'2. Operating Budget'!$B40*4.3+'2. Operating Budget'!$C40+'2. Operating Budget'!$E40*M$7)</f>
        <v>0</v>
      </c>
      <c r="N46" s="344">
        <f>IF('2. Operating Budget'!$D40&gt;0,$C46/12,'2. Operating Budget'!$B40*4.3+'2. Operating Budget'!$C40+'2. Operating Budget'!$E40*N$7)</f>
        <v>0</v>
      </c>
      <c r="O46" s="344">
        <f>IF('2. Operating Budget'!$D40&gt;0,$C46/12,'2. Operating Budget'!$B40*4.3+'2. Operating Budget'!$C40+'2. Operating Budget'!$E40*O$7)</f>
        <v>0</v>
      </c>
      <c r="P46" s="411">
        <f t="shared" si="19"/>
        <v>0</v>
      </c>
      <c r="Q46" s="343">
        <f>IF('2. Operating Budget'!$D40&gt;0,$C46/12,'2. Operating Budget'!$B40*4.3+'2. Operating Budget'!$C40+'2. Operating Budget'!$E40*Q$7)</f>
        <v>0</v>
      </c>
      <c r="R46" s="344">
        <f>IF('2. Operating Budget'!$D40&gt;0,$C46/12,'2. Operating Budget'!$B40*4.3+'2. Operating Budget'!$C40+'2. Operating Budget'!$E40*R$7)</f>
        <v>0</v>
      </c>
      <c r="S46" s="344">
        <f>IF('2. Operating Budget'!$D40&gt;0,$C46/12,'2. Operating Budget'!$B40*4.3+'2. Operating Budget'!$C40+'2. Operating Budget'!$E40*S$7)</f>
        <v>0</v>
      </c>
      <c r="T46" s="344">
        <f>IF('2. Operating Budget'!$D40&gt;0,$C46/12,'2. Operating Budget'!$B40*4.3+'2. Operating Budget'!$C40+'2. Operating Budget'!$E40*T$7)</f>
        <v>0</v>
      </c>
      <c r="U46" s="344">
        <f>IF('2. Operating Budget'!$D40&gt;0,$C46/12,'2. Operating Budget'!$B40*4.3+'2. Operating Budget'!$C40+'2. Operating Budget'!$E40*U$7)</f>
        <v>0</v>
      </c>
      <c r="V46" s="344">
        <f>IF('2. Operating Budget'!$D40&gt;0,$C46/12,'2. Operating Budget'!$B40*4.3+'2. Operating Budget'!$C40+'2. Operating Budget'!$E40*V$7)</f>
        <v>0</v>
      </c>
      <c r="W46" s="344">
        <f>IF('2. Operating Budget'!$D40&gt;0,$C46/12,'2. Operating Budget'!$B40*4.3+'2. Operating Budget'!$C40+'2. Operating Budget'!$E40*W$7)</f>
        <v>0</v>
      </c>
      <c r="X46" s="344">
        <f>IF('2. Operating Budget'!$D40&gt;0,$C46/12,'2. Operating Budget'!$B40*4.3+'2. Operating Budget'!$C40+'2. Operating Budget'!$E40*X$7)</f>
        <v>0</v>
      </c>
      <c r="Y46" s="344">
        <f>IF('2. Operating Budget'!$D40&gt;0,$C46/12,'2. Operating Budget'!$B40*4.3+'2. Operating Budget'!$C40+'2. Operating Budget'!$E40*Y$7)</f>
        <v>0</v>
      </c>
      <c r="Z46" s="344">
        <f>IF('2. Operating Budget'!$D40&gt;0,$C46/12,'2. Operating Budget'!$B40*4.3+'2. Operating Budget'!$C40+'2. Operating Budget'!$E40*Z$7)</f>
        <v>0</v>
      </c>
      <c r="AA46" s="344">
        <f>IF('2. Operating Budget'!$D40&gt;0,$C46/12,'2. Operating Budget'!$B40*4.3+'2. Operating Budget'!$C40+'2. Operating Budget'!$E40*AA$7)</f>
        <v>0</v>
      </c>
      <c r="AB46" s="344">
        <f>IF('2. Operating Budget'!$D40&gt;0,$C46/12,'2. Operating Budget'!$B40*4.3+'2. Operating Budget'!$C40+'2. Operating Budget'!$E40*AB$7)</f>
        <v>0</v>
      </c>
      <c r="AC46" s="411">
        <f t="shared" si="20"/>
        <v>0</v>
      </c>
      <c r="AD46" s="411">
        <f>IF('2. Operating Budget'!$E40&gt;0,'2. Operating Budget'!$E40*'8. P&amp;L and Cashflow'!AD$7,'2. Operating Budget'!$K40)</f>
        <v>0</v>
      </c>
      <c r="AE46" s="411">
        <f>IF('2. Operating Budget'!$E40&gt;0,'2. Operating Budget'!$E40*'8. P&amp;L and Cashflow'!AE$7,'2. Operating Budget'!$K40)</f>
        <v>0</v>
      </c>
      <c r="AF46" s="411">
        <f>IF('2. Operating Budget'!$E40&gt;0,'2. Operating Budget'!$E40*'8. P&amp;L and Cashflow'!AF$7,'2. Operating Budget'!$K40)</f>
        <v>0</v>
      </c>
    </row>
    <row r="47" spans="1:32" ht="12.75" hidden="1">
      <c r="A47" s="9"/>
      <c r="B47" s="209" t="str">
        <f>IF('2. Operating Budget'!A41="","",'2. Operating Budget'!A41)</f>
        <v/>
      </c>
      <c r="C47" s="313">
        <f>'2. Operating Budget'!K41</f>
        <v>0</v>
      </c>
      <c r="D47" s="307">
        <f>IF('2. Operating Budget'!$D41&gt;0,$C47/12,'2. Operating Budget'!$B41*4.3+'2. Operating Budget'!$C41+'2. Operating Budget'!$E41*D$7)</f>
        <v>0</v>
      </c>
      <c r="E47" s="93">
        <f>IF('2. Operating Budget'!$D41&gt;0,$C47/12,'2. Operating Budget'!$B41*4.3+'2. Operating Budget'!$C41+'2. Operating Budget'!$E41*E$7)</f>
        <v>0</v>
      </c>
      <c r="F47" s="93">
        <f>IF('2. Operating Budget'!$D41&gt;0,$C47/12,'2. Operating Budget'!$B41*4.3+'2. Operating Budget'!$C41+'2. Operating Budget'!$E41*F$7)</f>
        <v>0</v>
      </c>
      <c r="G47" s="93">
        <f>IF('2. Operating Budget'!$D41&gt;0,$C47/12,'2. Operating Budget'!$B41*4.3+'2. Operating Budget'!$C41+'2. Operating Budget'!$E41*G$7)</f>
        <v>0</v>
      </c>
      <c r="H47" s="93">
        <f>IF('2. Operating Budget'!$D41&gt;0,$C47/12,'2. Operating Budget'!$B41*4.3+'2. Operating Budget'!$C41+'2. Operating Budget'!$E41*H$7)</f>
        <v>0</v>
      </c>
      <c r="I47" s="93">
        <f>IF('2. Operating Budget'!$D41&gt;0,$C47/12,'2. Operating Budget'!$B41*4.3+'2. Operating Budget'!$C41+'2. Operating Budget'!$E41*I$7)</f>
        <v>0</v>
      </c>
      <c r="J47" s="93">
        <f>IF('2. Operating Budget'!$D41&gt;0,$C47/12,'2. Operating Budget'!$B41*4.3+'2. Operating Budget'!$C41+'2. Operating Budget'!$E41*J$7)</f>
        <v>0</v>
      </c>
      <c r="K47" s="93">
        <f>IF('2. Operating Budget'!$D41&gt;0,$C47/12,'2. Operating Budget'!$B41*4.3+'2. Operating Budget'!$C41+'2. Operating Budget'!$E41*K$7)</f>
        <v>0</v>
      </c>
      <c r="L47" s="93">
        <f>IF('2. Operating Budget'!$D41&gt;0,$C47/12,'2. Operating Budget'!$B41*4.3+'2. Operating Budget'!$C41+'2. Operating Budget'!$E41*L$7)</f>
        <v>0</v>
      </c>
      <c r="M47" s="93">
        <f>IF('2. Operating Budget'!$D41&gt;0,$C47/12,'2. Operating Budget'!$B41*4.3+'2. Operating Budget'!$C41+'2. Operating Budget'!$E41*M$7)</f>
        <v>0</v>
      </c>
      <c r="N47" s="93">
        <f>IF('2. Operating Budget'!$D41&gt;0,$C47/12,'2. Operating Budget'!$B41*4.3+'2. Operating Budget'!$C41+'2. Operating Budget'!$E41*N$7)</f>
        <v>0</v>
      </c>
      <c r="O47" s="93">
        <f>IF('2. Operating Budget'!$D41&gt;0,$C47/12,'2. Operating Budget'!$B41*4.3+'2. Operating Budget'!$C41+'2. Operating Budget'!$E41*O$7)</f>
        <v>0</v>
      </c>
      <c r="P47" s="412">
        <f t="shared" si="19"/>
        <v>0</v>
      </c>
      <c r="Q47" s="307">
        <f>IF('2. Operating Budget'!$D41&gt;0,$C47/12,'2. Operating Budget'!$B41*4.3+'2. Operating Budget'!$C41+'2. Operating Budget'!$E41*Q$7)</f>
        <v>0</v>
      </c>
      <c r="R47" s="93">
        <f>IF('2. Operating Budget'!$D41&gt;0,$C47/12,'2. Operating Budget'!$B41*4.3+'2. Operating Budget'!$C41+'2. Operating Budget'!$E41*R$7)</f>
        <v>0</v>
      </c>
      <c r="S47" s="93">
        <f>IF('2. Operating Budget'!$D41&gt;0,$C47/12,'2. Operating Budget'!$B41*4.3+'2. Operating Budget'!$C41+'2. Operating Budget'!$E41*S$7)</f>
        <v>0</v>
      </c>
      <c r="T47" s="93">
        <f>IF('2. Operating Budget'!$D41&gt;0,$C47/12,'2. Operating Budget'!$B41*4.3+'2. Operating Budget'!$C41+'2. Operating Budget'!$E41*T$7)</f>
        <v>0</v>
      </c>
      <c r="U47" s="93">
        <f>IF('2. Operating Budget'!$D41&gt;0,$C47/12,'2. Operating Budget'!$B41*4.3+'2. Operating Budget'!$C41+'2. Operating Budget'!$E41*U$7)</f>
        <v>0</v>
      </c>
      <c r="V47" s="93">
        <f>IF('2. Operating Budget'!$D41&gt;0,$C47/12,'2. Operating Budget'!$B41*4.3+'2. Operating Budget'!$C41+'2. Operating Budget'!$E41*V$7)</f>
        <v>0</v>
      </c>
      <c r="W47" s="93">
        <f>IF('2. Operating Budget'!$D41&gt;0,$C47/12,'2. Operating Budget'!$B41*4.3+'2. Operating Budget'!$C41+'2. Operating Budget'!$E41*W$7)</f>
        <v>0</v>
      </c>
      <c r="X47" s="93">
        <f>IF('2. Operating Budget'!$D41&gt;0,$C47/12,'2. Operating Budget'!$B41*4.3+'2. Operating Budget'!$C41+'2. Operating Budget'!$E41*X$7)</f>
        <v>0</v>
      </c>
      <c r="Y47" s="93">
        <f>IF('2. Operating Budget'!$D41&gt;0,$C47/12,'2. Operating Budget'!$B41*4.3+'2. Operating Budget'!$C41+'2. Operating Budget'!$E41*Y$7)</f>
        <v>0</v>
      </c>
      <c r="Z47" s="93">
        <f>IF('2. Operating Budget'!$D41&gt;0,$C47/12,'2. Operating Budget'!$B41*4.3+'2. Operating Budget'!$C41+'2. Operating Budget'!$E41*Z$7)</f>
        <v>0</v>
      </c>
      <c r="AA47" s="93">
        <f>IF('2. Operating Budget'!$D41&gt;0,$C47/12,'2. Operating Budget'!$B41*4.3+'2. Operating Budget'!$C41+'2. Operating Budget'!$E41*AA$7)</f>
        <v>0</v>
      </c>
      <c r="AB47" s="93">
        <f>IF('2. Operating Budget'!$D41&gt;0,$C47/12,'2. Operating Budget'!$B41*4.3+'2. Operating Budget'!$C41+'2. Operating Budget'!$E41*AB$7)</f>
        <v>0</v>
      </c>
      <c r="AC47" s="412">
        <f t="shared" si="20"/>
        <v>0</v>
      </c>
      <c r="AD47" s="412">
        <f>IF('2. Operating Budget'!$E41&gt;0,'2. Operating Budget'!$E41*'8. P&amp;L and Cashflow'!AD$7,'2. Operating Budget'!$K41)</f>
        <v>0</v>
      </c>
      <c r="AE47" s="412">
        <f>IF('2. Operating Budget'!$E41&gt;0,'2. Operating Budget'!$E41*'8. P&amp;L and Cashflow'!AE$7,'2. Operating Budget'!$K41)</f>
        <v>0</v>
      </c>
      <c r="AF47" s="412">
        <f>IF('2. Operating Budget'!$E41&gt;0,'2. Operating Budget'!$E41*'8. P&amp;L and Cashflow'!AF$7,'2. Operating Budget'!$K41)</f>
        <v>0</v>
      </c>
    </row>
    <row r="48" spans="1:32" ht="12.75" hidden="1">
      <c r="A48" s="9"/>
      <c r="B48" s="341" t="str">
        <f>IF('2. Operating Budget'!A42="","",'2. Operating Budget'!A42)</f>
        <v/>
      </c>
      <c r="C48" s="342">
        <f>'2. Operating Budget'!K42</f>
        <v>0</v>
      </c>
      <c r="D48" s="343">
        <f>IF('2. Operating Budget'!$D42&gt;0,$C48/12,'2. Operating Budget'!$B42*4.3+'2. Operating Budget'!$C42+'2. Operating Budget'!$E42*D$7)</f>
        <v>0</v>
      </c>
      <c r="E48" s="344">
        <f>IF('2. Operating Budget'!$D42&gt;0,$C48/12,'2. Operating Budget'!$B42*4.3+'2. Operating Budget'!$C42+'2. Operating Budget'!$E42*E$7)</f>
        <v>0</v>
      </c>
      <c r="F48" s="344">
        <f>IF('2. Operating Budget'!$D42&gt;0,$C48/12,'2. Operating Budget'!$B42*4.3+'2. Operating Budget'!$C42+'2. Operating Budget'!$E42*F$7)</f>
        <v>0</v>
      </c>
      <c r="G48" s="344">
        <f>IF('2. Operating Budget'!$D42&gt;0,$C48/12,'2. Operating Budget'!$B42*4.3+'2. Operating Budget'!$C42+'2. Operating Budget'!$E42*G$7)</f>
        <v>0</v>
      </c>
      <c r="H48" s="344">
        <f>IF('2. Operating Budget'!$D42&gt;0,$C48/12,'2. Operating Budget'!$B42*4.3+'2. Operating Budget'!$C42+'2. Operating Budget'!$E42*H$7)</f>
        <v>0</v>
      </c>
      <c r="I48" s="344">
        <f>IF('2. Operating Budget'!$D42&gt;0,$C48/12,'2. Operating Budget'!$B42*4.3+'2. Operating Budget'!$C42+'2. Operating Budget'!$E42*I$7)</f>
        <v>0</v>
      </c>
      <c r="J48" s="344">
        <f>IF('2. Operating Budget'!$D42&gt;0,$C48/12,'2. Operating Budget'!$B42*4.3+'2. Operating Budget'!$C42+'2. Operating Budget'!$E42*J$7)</f>
        <v>0</v>
      </c>
      <c r="K48" s="344">
        <f>IF('2. Operating Budget'!$D42&gt;0,$C48/12,'2. Operating Budget'!$B42*4.3+'2. Operating Budget'!$C42+'2. Operating Budget'!$E42*K$7)</f>
        <v>0</v>
      </c>
      <c r="L48" s="344">
        <f>IF('2. Operating Budget'!$D42&gt;0,$C48/12,'2. Operating Budget'!$B42*4.3+'2. Operating Budget'!$C42+'2. Operating Budget'!$E42*L$7)</f>
        <v>0</v>
      </c>
      <c r="M48" s="344">
        <f>IF('2. Operating Budget'!$D42&gt;0,$C48/12,'2. Operating Budget'!$B42*4.3+'2. Operating Budget'!$C42+'2. Operating Budget'!$E42*M$7)</f>
        <v>0</v>
      </c>
      <c r="N48" s="344">
        <f>IF('2. Operating Budget'!$D42&gt;0,$C48/12,'2. Operating Budget'!$B42*4.3+'2. Operating Budget'!$C42+'2. Operating Budget'!$E42*N$7)</f>
        <v>0</v>
      </c>
      <c r="O48" s="344">
        <f>IF('2. Operating Budget'!$D42&gt;0,$C48/12,'2. Operating Budget'!$B42*4.3+'2. Operating Budget'!$C42+'2. Operating Budget'!$E42*O$7)</f>
        <v>0</v>
      </c>
      <c r="P48" s="411">
        <f t="shared" si="19"/>
        <v>0</v>
      </c>
      <c r="Q48" s="343">
        <f>IF('2. Operating Budget'!$D42&gt;0,$C48/12,'2. Operating Budget'!$B42*4.3+'2. Operating Budget'!$C42+'2. Operating Budget'!$E42*Q$7)</f>
        <v>0</v>
      </c>
      <c r="R48" s="344">
        <f>IF('2. Operating Budget'!$D42&gt;0,$C48/12,'2. Operating Budget'!$B42*4.3+'2. Operating Budget'!$C42+'2. Operating Budget'!$E42*R$7)</f>
        <v>0</v>
      </c>
      <c r="S48" s="344">
        <f>IF('2. Operating Budget'!$D42&gt;0,$C48/12,'2. Operating Budget'!$B42*4.3+'2. Operating Budget'!$C42+'2. Operating Budget'!$E42*S$7)</f>
        <v>0</v>
      </c>
      <c r="T48" s="344">
        <f>IF('2. Operating Budget'!$D42&gt;0,$C48/12,'2. Operating Budget'!$B42*4.3+'2. Operating Budget'!$C42+'2. Operating Budget'!$E42*T$7)</f>
        <v>0</v>
      </c>
      <c r="U48" s="344">
        <f>IF('2. Operating Budget'!$D42&gt;0,$C48/12,'2. Operating Budget'!$B42*4.3+'2. Operating Budget'!$C42+'2. Operating Budget'!$E42*U$7)</f>
        <v>0</v>
      </c>
      <c r="V48" s="344">
        <f>IF('2. Operating Budget'!$D42&gt;0,$C48/12,'2. Operating Budget'!$B42*4.3+'2. Operating Budget'!$C42+'2. Operating Budget'!$E42*V$7)</f>
        <v>0</v>
      </c>
      <c r="W48" s="344">
        <f>IF('2. Operating Budget'!$D42&gt;0,$C48/12,'2. Operating Budget'!$B42*4.3+'2. Operating Budget'!$C42+'2. Operating Budget'!$E42*W$7)</f>
        <v>0</v>
      </c>
      <c r="X48" s="344">
        <f>IF('2. Operating Budget'!$D42&gt;0,$C48/12,'2. Operating Budget'!$B42*4.3+'2. Operating Budget'!$C42+'2. Operating Budget'!$E42*X$7)</f>
        <v>0</v>
      </c>
      <c r="Y48" s="344">
        <f>IF('2. Operating Budget'!$D42&gt;0,$C48/12,'2. Operating Budget'!$B42*4.3+'2. Operating Budget'!$C42+'2. Operating Budget'!$E42*Y$7)</f>
        <v>0</v>
      </c>
      <c r="Z48" s="344">
        <f>IF('2. Operating Budget'!$D42&gt;0,$C48/12,'2. Operating Budget'!$B42*4.3+'2. Operating Budget'!$C42+'2. Operating Budget'!$E42*Z$7)</f>
        <v>0</v>
      </c>
      <c r="AA48" s="344">
        <f>IF('2. Operating Budget'!$D42&gt;0,$C48/12,'2. Operating Budget'!$B42*4.3+'2. Operating Budget'!$C42+'2. Operating Budget'!$E42*AA$7)</f>
        <v>0</v>
      </c>
      <c r="AB48" s="344">
        <f>IF('2. Operating Budget'!$D42&gt;0,$C48/12,'2. Operating Budget'!$B42*4.3+'2. Operating Budget'!$C42+'2. Operating Budget'!$E42*AB$7)</f>
        <v>0</v>
      </c>
      <c r="AC48" s="411">
        <f t="shared" si="20"/>
        <v>0</v>
      </c>
      <c r="AD48" s="411">
        <f>IF('2. Operating Budget'!$E42&gt;0,'2. Operating Budget'!$E42*'8. P&amp;L and Cashflow'!AD$7,'2. Operating Budget'!$K42)</f>
        <v>0</v>
      </c>
      <c r="AE48" s="411">
        <f>IF('2. Operating Budget'!$E42&gt;0,'2. Operating Budget'!$E42*'8. P&amp;L and Cashflow'!AE$7,'2. Operating Budget'!$K42)</f>
        <v>0</v>
      </c>
      <c r="AF48" s="411">
        <f>IF('2. Operating Budget'!$E42&gt;0,'2. Operating Budget'!$E42*'8. P&amp;L and Cashflow'!AF$7,'2. Operating Budget'!$K42)</f>
        <v>0</v>
      </c>
    </row>
    <row r="49" spans="1:32" ht="12.75" hidden="1">
      <c r="A49" s="59"/>
      <c r="B49" s="209" t="str">
        <f>IF('2. Operating Budget'!A43="","",'2. Operating Budget'!A43)</f>
        <v/>
      </c>
      <c r="C49" s="313">
        <f>'2. Operating Budget'!K43</f>
        <v>0</v>
      </c>
      <c r="D49" s="307">
        <f>IF('2. Operating Budget'!$D43&gt;0,$C49/12,'2. Operating Budget'!$B43*4.3+'2. Operating Budget'!$C43+'2. Operating Budget'!$E43*D$7)</f>
        <v>0</v>
      </c>
      <c r="E49" s="93">
        <f>IF('2. Operating Budget'!$D43&gt;0,$C49/12,'2. Operating Budget'!$B43*4.3+'2. Operating Budget'!$C43+'2. Operating Budget'!$E43*E$7)</f>
        <v>0</v>
      </c>
      <c r="F49" s="93">
        <f>IF('2. Operating Budget'!$D43&gt;0,$C49/12,'2. Operating Budget'!$B43*4.3+'2. Operating Budget'!$C43+'2. Operating Budget'!$E43*F$7)</f>
        <v>0</v>
      </c>
      <c r="G49" s="93">
        <f>IF('2. Operating Budget'!$D43&gt;0,$C49/12,'2. Operating Budget'!$B43*4.3+'2. Operating Budget'!$C43+'2. Operating Budget'!$E43*G$7)</f>
        <v>0</v>
      </c>
      <c r="H49" s="93">
        <f>IF('2. Operating Budget'!$D43&gt;0,$C49/12,'2. Operating Budget'!$B43*4.3+'2. Operating Budget'!$C43+'2. Operating Budget'!$E43*H$7)</f>
        <v>0</v>
      </c>
      <c r="I49" s="93">
        <f>IF('2. Operating Budget'!$D43&gt;0,$C49/12,'2. Operating Budget'!$B43*4.3+'2. Operating Budget'!$C43+'2. Operating Budget'!$E43*I$7)</f>
        <v>0</v>
      </c>
      <c r="J49" s="93">
        <f>IF('2. Operating Budget'!$D43&gt;0,$C49/12,'2. Operating Budget'!$B43*4.3+'2. Operating Budget'!$C43+'2. Operating Budget'!$E43*J$7)</f>
        <v>0</v>
      </c>
      <c r="K49" s="93">
        <f>IF('2. Operating Budget'!$D43&gt;0,$C49/12,'2. Operating Budget'!$B43*4.3+'2. Operating Budget'!$C43+'2. Operating Budget'!$E43*K$7)</f>
        <v>0</v>
      </c>
      <c r="L49" s="93">
        <f>IF('2. Operating Budget'!$D43&gt;0,$C49/12,'2. Operating Budget'!$B43*4.3+'2. Operating Budget'!$C43+'2. Operating Budget'!$E43*L$7)</f>
        <v>0</v>
      </c>
      <c r="M49" s="93">
        <f>IF('2. Operating Budget'!$D43&gt;0,$C49/12,'2. Operating Budget'!$B43*4.3+'2. Operating Budget'!$C43+'2. Operating Budget'!$E43*M$7)</f>
        <v>0</v>
      </c>
      <c r="N49" s="93">
        <f>IF('2. Operating Budget'!$D43&gt;0,$C49/12,'2. Operating Budget'!$B43*4.3+'2. Operating Budget'!$C43+'2. Operating Budget'!$E43*N$7)</f>
        <v>0</v>
      </c>
      <c r="O49" s="93">
        <f>IF('2. Operating Budget'!$D43&gt;0,$C49/12,'2. Operating Budget'!$B43*4.3+'2. Operating Budget'!$C43+'2. Operating Budget'!$E43*O$7)</f>
        <v>0</v>
      </c>
      <c r="P49" s="412">
        <f t="shared" si="19"/>
        <v>0</v>
      </c>
      <c r="Q49" s="307">
        <f>IF('2. Operating Budget'!$D43&gt;0,$C49/12,'2. Operating Budget'!$B43*4.3+'2. Operating Budget'!$C43+'2. Operating Budget'!$E43*Q$7)</f>
        <v>0</v>
      </c>
      <c r="R49" s="93">
        <f>IF('2. Operating Budget'!$D43&gt;0,$C49/12,'2. Operating Budget'!$B43*4.3+'2. Operating Budget'!$C43+'2. Operating Budget'!$E43*R$7)</f>
        <v>0</v>
      </c>
      <c r="S49" s="93">
        <f>IF('2. Operating Budget'!$D43&gt;0,$C49/12,'2. Operating Budget'!$B43*4.3+'2. Operating Budget'!$C43+'2. Operating Budget'!$E43*S$7)</f>
        <v>0</v>
      </c>
      <c r="T49" s="93">
        <f>IF('2. Operating Budget'!$D43&gt;0,$C49/12,'2. Operating Budget'!$B43*4.3+'2. Operating Budget'!$C43+'2. Operating Budget'!$E43*T$7)</f>
        <v>0</v>
      </c>
      <c r="U49" s="93">
        <f>IF('2. Operating Budget'!$D43&gt;0,$C49/12,'2. Operating Budget'!$B43*4.3+'2. Operating Budget'!$C43+'2. Operating Budget'!$E43*U$7)</f>
        <v>0</v>
      </c>
      <c r="V49" s="93">
        <f>IF('2. Operating Budget'!$D43&gt;0,$C49/12,'2. Operating Budget'!$B43*4.3+'2. Operating Budget'!$C43+'2. Operating Budget'!$E43*V$7)</f>
        <v>0</v>
      </c>
      <c r="W49" s="93">
        <f>IF('2. Operating Budget'!$D43&gt;0,$C49/12,'2. Operating Budget'!$B43*4.3+'2. Operating Budget'!$C43+'2. Operating Budget'!$E43*W$7)</f>
        <v>0</v>
      </c>
      <c r="X49" s="93">
        <f>IF('2. Operating Budget'!$D43&gt;0,$C49/12,'2. Operating Budget'!$B43*4.3+'2. Operating Budget'!$C43+'2. Operating Budget'!$E43*X$7)</f>
        <v>0</v>
      </c>
      <c r="Y49" s="93">
        <f>IF('2. Operating Budget'!$D43&gt;0,$C49/12,'2. Operating Budget'!$B43*4.3+'2. Operating Budget'!$C43+'2. Operating Budget'!$E43*Y$7)</f>
        <v>0</v>
      </c>
      <c r="Z49" s="93">
        <f>IF('2. Operating Budget'!$D43&gt;0,$C49/12,'2. Operating Budget'!$B43*4.3+'2. Operating Budget'!$C43+'2. Operating Budget'!$E43*Z$7)</f>
        <v>0</v>
      </c>
      <c r="AA49" s="93">
        <f>IF('2. Operating Budget'!$D43&gt;0,$C49/12,'2. Operating Budget'!$B43*4.3+'2. Operating Budget'!$C43+'2. Operating Budget'!$E43*AA$7)</f>
        <v>0</v>
      </c>
      <c r="AB49" s="93">
        <f>IF('2. Operating Budget'!$D43&gt;0,$C49/12,'2. Operating Budget'!$B43*4.3+'2. Operating Budget'!$C43+'2. Operating Budget'!$E43*AB$7)</f>
        <v>0</v>
      </c>
      <c r="AC49" s="412">
        <f t="shared" si="20"/>
        <v>0</v>
      </c>
      <c r="AD49" s="412">
        <f>IF('2. Operating Budget'!$E43&gt;0,'2. Operating Budget'!$E43*'8. P&amp;L and Cashflow'!AD$7,'2. Operating Budget'!$K43)</f>
        <v>0</v>
      </c>
      <c r="AE49" s="412">
        <f>IF('2. Operating Budget'!$E43&gt;0,'2. Operating Budget'!$E43*'8. P&amp;L and Cashflow'!AE$7,'2. Operating Budget'!$K43)</f>
        <v>0</v>
      </c>
      <c r="AF49" s="412">
        <f>IF('2. Operating Budget'!$E43&gt;0,'2. Operating Budget'!$E43*'8. P&amp;L and Cashflow'!AF$7,'2. Operating Budget'!$K43)</f>
        <v>0</v>
      </c>
    </row>
    <row r="50" spans="1:32" ht="12.75" hidden="1">
      <c r="B50" s="341" t="str">
        <f>IF('2. Operating Budget'!A44="","",'2. Operating Budget'!A44)</f>
        <v>Other</v>
      </c>
      <c r="C50" s="342">
        <f>'2. Operating Budget'!K44</f>
        <v>0</v>
      </c>
      <c r="D50" s="343">
        <f>IF('2. Operating Budget'!$D44&gt;0,$C50/12,'2. Operating Budget'!$B44*4.3+'2. Operating Budget'!$C44+'2. Operating Budget'!$E44*D$7)</f>
        <v>0</v>
      </c>
      <c r="E50" s="344">
        <f>IF('2. Operating Budget'!$D44&gt;0,$C50/12,'2. Operating Budget'!$B44*4.3+'2. Operating Budget'!$C44+'2. Operating Budget'!$E44*E$7)</f>
        <v>0</v>
      </c>
      <c r="F50" s="344">
        <f>IF('2. Operating Budget'!$D44&gt;0,$C50/12,'2. Operating Budget'!$B44*4.3+'2. Operating Budget'!$C44+'2. Operating Budget'!$E44*F$7)</f>
        <v>0</v>
      </c>
      <c r="G50" s="344">
        <f>IF('2. Operating Budget'!$D44&gt;0,$C50/12,'2. Operating Budget'!$B44*4.3+'2. Operating Budget'!$C44+'2. Operating Budget'!$E44*G$7)</f>
        <v>0</v>
      </c>
      <c r="H50" s="344">
        <f>IF('2. Operating Budget'!$D44&gt;0,$C50/12,'2. Operating Budget'!$B44*4.3+'2. Operating Budget'!$C44+'2. Operating Budget'!$E44*H$7)</f>
        <v>0</v>
      </c>
      <c r="I50" s="344">
        <f>IF('2. Operating Budget'!$D44&gt;0,$C50/12,'2. Operating Budget'!$B44*4.3+'2. Operating Budget'!$C44+'2. Operating Budget'!$E44*I$7)</f>
        <v>0</v>
      </c>
      <c r="J50" s="344">
        <f>IF('2. Operating Budget'!$D44&gt;0,$C50/12,'2. Operating Budget'!$B44*4.3+'2. Operating Budget'!$C44+'2. Operating Budget'!$E44*J$7)</f>
        <v>0</v>
      </c>
      <c r="K50" s="344">
        <f>IF('2. Operating Budget'!$D44&gt;0,$C50/12,'2. Operating Budget'!$B44*4.3+'2. Operating Budget'!$C44+'2. Operating Budget'!$E44*K$7)</f>
        <v>0</v>
      </c>
      <c r="L50" s="344">
        <f>IF('2. Operating Budget'!$D44&gt;0,$C50/12,'2. Operating Budget'!$B44*4.3+'2. Operating Budget'!$C44+'2. Operating Budget'!$E44*L$7)</f>
        <v>0</v>
      </c>
      <c r="M50" s="344">
        <f>IF('2. Operating Budget'!$D44&gt;0,$C50/12,'2. Operating Budget'!$B44*4.3+'2. Operating Budget'!$C44+'2. Operating Budget'!$E44*M$7)</f>
        <v>0</v>
      </c>
      <c r="N50" s="344">
        <f>IF('2. Operating Budget'!$D44&gt;0,$C50/12,'2. Operating Budget'!$B44*4.3+'2. Operating Budget'!$C44+'2. Operating Budget'!$E44*N$7)</f>
        <v>0</v>
      </c>
      <c r="O50" s="344">
        <f>IF('2. Operating Budget'!$D44&gt;0,$C50/12,'2. Operating Budget'!$B44*4.3+'2. Operating Budget'!$C44+'2. Operating Budget'!$E44*O$7)</f>
        <v>0</v>
      </c>
      <c r="P50" s="411">
        <f t="shared" si="19"/>
        <v>0</v>
      </c>
      <c r="Q50" s="343">
        <f>IF('2. Operating Budget'!$D44&gt;0,$C50/12,'2. Operating Budget'!$B44*4.3+'2. Operating Budget'!$C44+'2. Operating Budget'!$E44*Q$7)</f>
        <v>0</v>
      </c>
      <c r="R50" s="344">
        <f>IF('2. Operating Budget'!$D44&gt;0,$C50/12,'2. Operating Budget'!$B44*4.3+'2. Operating Budget'!$C44+'2. Operating Budget'!$E44*R$7)</f>
        <v>0</v>
      </c>
      <c r="S50" s="344">
        <f>IF('2. Operating Budget'!$D44&gt;0,$C50/12,'2. Operating Budget'!$B44*4.3+'2. Operating Budget'!$C44+'2. Operating Budget'!$E44*S$7)</f>
        <v>0</v>
      </c>
      <c r="T50" s="344">
        <f>IF('2. Operating Budget'!$D44&gt;0,$C50/12,'2. Operating Budget'!$B44*4.3+'2. Operating Budget'!$C44+'2. Operating Budget'!$E44*T$7)</f>
        <v>0</v>
      </c>
      <c r="U50" s="344">
        <f>IF('2. Operating Budget'!$D44&gt;0,$C50/12,'2. Operating Budget'!$B44*4.3+'2. Operating Budget'!$C44+'2. Operating Budget'!$E44*U$7)</f>
        <v>0</v>
      </c>
      <c r="V50" s="344">
        <f>IF('2. Operating Budget'!$D44&gt;0,$C50/12,'2. Operating Budget'!$B44*4.3+'2. Operating Budget'!$C44+'2. Operating Budget'!$E44*V$7)</f>
        <v>0</v>
      </c>
      <c r="W50" s="344">
        <f>IF('2. Operating Budget'!$D44&gt;0,$C50/12,'2. Operating Budget'!$B44*4.3+'2. Operating Budget'!$C44+'2. Operating Budget'!$E44*W$7)</f>
        <v>0</v>
      </c>
      <c r="X50" s="344">
        <f>IF('2. Operating Budget'!$D44&gt;0,$C50/12,'2. Operating Budget'!$B44*4.3+'2. Operating Budget'!$C44+'2. Operating Budget'!$E44*X$7)</f>
        <v>0</v>
      </c>
      <c r="Y50" s="344">
        <f>IF('2. Operating Budget'!$D44&gt;0,$C50/12,'2. Operating Budget'!$B44*4.3+'2. Operating Budget'!$C44+'2. Operating Budget'!$E44*Y$7)</f>
        <v>0</v>
      </c>
      <c r="Z50" s="344">
        <f>IF('2. Operating Budget'!$D44&gt;0,$C50/12,'2. Operating Budget'!$B44*4.3+'2. Operating Budget'!$C44+'2. Operating Budget'!$E44*Z$7)</f>
        <v>0</v>
      </c>
      <c r="AA50" s="344">
        <f>IF('2. Operating Budget'!$D44&gt;0,$C50/12,'2. Operating Budget'!$B44*4.3+'2. Operating Budget'!$C44+'2. Operating Budget'!$E44*AA$7)</f>
        <v>0</v>
      </c>
      <c r="AB50" s="344">
        <f>IF('2. Operating Budget'!$D44&gt;0,$C50/12,'2. Operating Budget'!$B44*4.3+'2. Operating Budget'!$C44+'2. Operating Budget'!$E44*AB$7)</f>
        <v>0</v>
      </c>
      <c r="AC50" s="411">
        <f t="shared" si="20"/>
        <v>0</v>
      </c>
      <c r="AD50" s="411">
        <f>IF('2. Operating Budget'!$E44&gt;0,'2. Operating Budget'!$E44*'8. P&amp;L and Cashflow'!AD$7,'2. Operating Budget'!$K44)</f>
        <v>0</v>
      </c>
      <c r="AE50" s="411">
        <f>IF('2. Operating Budget'!$E44&gt;0,'2. Operating Budget'!$E44*'8. P&amp;L and Cashflow'!AE$7,'2. Operating Budget'!$K44)</f>
        <v>0</v>
      </c>
      <c r="AF50" s="411">
        <f>IF('2. Operating Budget'!$E44&gt;0,'2. Operating Budget'!$E44*'8. P&amp;L and Cashflow'!AF$7,'2. Operating Budget'!$K44)</f>
        <v>0</v>
      </c>
    </row>
    <row r="51" spans="1:32" ht="13.5" thickBot="1">
      <c r="A51" s="9"/>
      <c r="B51" s="204" t="s">
        <v>4</v>
      </c>
      <c r="C51" s="314">
        <f>'4. Equipment &amp; Vehicle Costs'!B85+'5. Facility Costs'!A65</f>
        <v>298.18952380952379</v>
      </c>
      <c r="D51" s="309">
        <f>C51/12</f>
        <v>24.849126984126983</v>
      </c>
      <c r="E51" s="104">
        <f t="shared" si="16"/>
        <v>24.849126984126983</v>
      </c>
      <c r="F51" s="104">
        <f t="shared" si="16"/>
        <v>24.849126984126983</v>
      </c>
      <c r="G51" s="104">
        <f t="shared" ref="G51:O51" si="22">F51</f>
        <v>24.849126984126983</v>
      </c>
      <c r="H51" s="104">
        <f t="shared" si="22"/>
        <v>24.849126984126983</v>
      </c>
      <c r="I51" s="104">
        <f t="shared" si="22"/>
        <v>24.849126984126983</v>
      </c>
      <c r="J51" s="104">
        <f t="shared" si="22"/>
        <v>24.849126984126983</v>
      </c>
      <c r="K51" s="104">
        <f t="shared" si="22"/>
        <v>24.849126984126983</v>
      </c>
      <c r="L51" s="104">
        <f t="shared" si="22"/>
        <v>24.849126984126983</v>
      </c>
      <c r="M51" s="104">
        <f t="shared" si="22"/>
        <v>24.849126984126983</v>
      </c>
      <c r="N51" s="104">
        <f t="shared" si="22"/>
        <v>24.849126984126983</v>
      </c>
      <c r="O51" s="104">
        <f t="shared" si="22"/>
        <v>24.849126984126983</v>
      </c>
      <c r="P51" s="413">
        <f t="shared" si="13"/>
        <v>298.18952380952385</v>
      </c>
      <c r="Q51" s="309">
        <f>P51/12</f>
        <v>24.849126984126986</v>
      </c>
      <c r="R51" s="104">
        <f t="shared" ref="R51:AB51" si="23">Q51</f>
        <v>24.849126984126986</v>
      </c>
      <c r="S51" s="104">
        <f t="shared" si="23"/>
        <v>24.849126984126986</v>
      </c>
      <c r="T51" s="104">
        <f t="shared" si="23"/>
        <v>24.849126984126986</v>
      </c>
      <c r="U51" s="104">
        <f t="shared" si="23"/>
        <v>24.849126984126986</v>
      </c>
      <c r="V51" s="104">
        <f t="shared" si="23"/>
        <v>24.849126984126986</v>
      </c>
      <c r="W51" s="104">
        <f t="shared" si="23"/>
        <v>24.849126984126986</v>
      </c>
      <c r="X51" s="104">
        <f t="shared" si="23"/>
        <v>24.849126984126986</v>
      </c>
      <c r="Y51" s="104">
        <f t="shared" si="23"/>
        <v>24.849126984126986</v>
      </c>
      <c r="Z51" s="104">
        <f t="shared" si="23"/>
        <v>24.849126984126986</v>
      </c>
      <c r="AA51" s="104">
        <f t="shared" si="23"/>
        <v>24.849126984126986</v>
      </c>
      <c r="AB51" s="104">
        <f t="shared" si="23"/>
        <v>24.849126984126986</v>
      </c>
      <c r="AC51" s="413">
        <f t="shared" ref="AC51" si="24">SUM(Q51:AB51)</f>
        <v>298.18952380952391</v>
      </c>
      <c r="AD51" s="413">
        <f>AC51</f>
        <v>298.18952380952391</v>
      </c>
      <c r="AE51" s="413">
        <f>AD51</f>
        <v>298.18952380952391</v>
      </c>
      <c r="AF51" s="413">
        <f>AE51</f>
        <v>298.18952380952391</v>
      </c>
    </row>
    <row r="52" spans="1:32" ht="12.75">
      <c r="A52" s="9"/>
      <c r="B52" s="105"/>
      <c r="C52" s="315"/>
      <c r="D52" s="210"/>
      <c r="E52" s="6"/>
      <c r="F52" s="6"/>
      <c r="G52" s="6"/>
      <c r="H52" s="6"/>
      <c r="I52" s="6"/>
      <c r="J52" s="6"/>
      <c r="K52" s="6"/>
      <c r="L52" s="6"/>
      <c r="M52" s="6"/>
      <c r="N52" s="6"/>
      <c r="O52" s="6"/>
      <c r="P52" s="410">
        <f t="shared" si="13"/>
        <v>0</v>
      </c>
      <c r="Q52" s="210"/>
      <c r="R52" s="6"/>
      <c r="S52" s="6"/>
      <c r="T52" s="6"/>
      <c r="U52" s="6"/>
      <c r="V52" s="6"/>
      <c r="W52" s="6"/>
      <c r="X52" s="6"/>
      <c r="Y52" s="6"/>
      <c r="Z52" s="6"/>
      <c r="AA52" s="6"/>
      <c r="AB52" s="6"/>
      <c r="AC52" s="410"/>
      <c r="AD52" s="410"/>
      <c r="AE52" s="410"/>
      <c r="AF52" s="410"/>
    </row>
    <row r="53" spans="1:32" ht="13.5" thickBot="1">
      <c r="A53" s="9"/>
      <c r="B53" s="340" t="s">
        <v>105</v>
      </c>
      <c r="C53" s="316">
        <f>SUM(D53:O53)</f>
        <v>25921.489523809523</v>
      </c>
      <c r="D53" s="310">
        <f t="shared" ref="D53:O53" si="25">SUM(D13:D51)</f>
        <v>1988.2491269841271</v>
      </c>
      <c r="E53" s="208">
        <f t="shared" si="25"/>
        <v>2175.7491269841271</v>
      </c>
      <c r="F53" s="208">
        <f t="shared" si="25"/>
        <v>2175.7491269841271</v>
      </c>
      <c r="G53" s="208">
        <f t="shared" si="25"/>
        <v>2175.7491269841271</v>
      </c>
      <c r="H53" s="208">
        <f t="shared" si="25"/>
        <v>2175.7491269841271</v>
      </c>
      <c r="I53" s="208">
        <f t="shared" si="25"/>
        <v>2175.7491269841271</v>
      </c>
      <c r="J53" s="208">
        <f t="shared" si="25"/>
        <v>2175.7491269841271</v>
      </c>
      <c r="K53" s="208">
        <f t="shared" si="25"/>
        <v>2175.7491269841271</v>
      </c>
      <c r="L53" s="208">
        <f t="shared" si="25"/>
        <v>2175.7491269841271</v>
      </c>
      <c r="M53" s="208">
        <f t="shared" si="25"/>
        <v>2175.7491269841271</v>
      </c>
      <c r="N53" s="208">
        <f t="shared" si="25"/>
        <v>2175.7491269841271</v>
      </c>
      <c r="O53" s="208">
        <f t="shared" si="25"/>
        <v>2175.7491269841271</v>
      </c>
      <c r="P53" s="414">
        <f>SUM(D53:O53)</f>
        <v>25921.489523809523</v>
      </c>
      <c r="Q53" s="310">
        <f t="shared" ref="Q53:AF53" si="26">SUM(Q13:Q51)</f>
        <v>2218.2491269841275</v>
      </c>
      <c r="R53" s="208">
        <f t="shared" si="26"/>
        <v>2218.2491269841275</v>
      </c>
      <c r="S53" s="208">
        <f t="shared" si="26"/>
        <v>2218.2491269841275</v>
      </c>
      <c r="T53" s="208">
        <f t="shared" si="26"/>
        <v>2218.2491269841275</v>
      </c>
      <c r="U53" s="208">
        <f t="shared" si="26"/>
        <v>2218.2491269841275</v>
      </c>
      <c r="V53" s="208">
        <f t="shared" si="26"/>
        <v>2218.2491269841275</v>
      </c>
      <c r="W53" s="208">
        <f t="shared" si="26"/>
        <v>2218.2491269841275</v>
      </c>
      <c r="X53" s="208">
        <f t="shared" si="26"/>
        <v>2218.2491269841275</v>
      </c>
      <c r="Y53" s="208">
        <f t="shared" si="26"/>
        <v>2218.2491269841275</v>
      </c>
      <c r="Z53" s="208">
        <f t="shared" si="26"/>
        <v>2218.2491269841275</v>
      </c>
      <c r="AA53" s="208">
        <f t="shared" si="26"/>
        <v>2218.2491269841275</v>
      </c>
      <c r="AB53" s="208">
        <f t="shared" si="26"/>
        <v>2218.2491269841275</v>
      </c>
      <c r="AC53" s="414">
        <f>SUM(Q53:AB53)</f>
        <v>26618.989523809523</v>
      </c>
      <c r="AD53" s="414">
        <f t="shared" si="26"/>
        <v>27188.989523809527</v>
      </c>
      <c r="AE53" s="414">
        <f t="shared" si="26"/>
        <v>27826.339523809525</v>
      </c>
      <c r="AF53" s="414">
        <f t="shared" si="26"/>
        <v>28539.327023809525</v>
      </c>
    </row>
    <row r="54" spans="1:32" ht="13.5" hidden="1" thickBot="1">
      <c r="A54" s="9"/>
      <c r="B54" s="207"/>
      <c r="C54" s="9"/>
      <c r="D54" s="9"/>
      <c r="E54" s="9"/>
      <c r="F54" s="9"/>
      <c r="G54" s="9"/>
      <c r="H54" s="9"/>
      <c r="I54" s="9"/>
      <c r="J54" s="9"/>
      <c r="K54" s="9"/>
      <c r="L54" s="9"/>
      <c r="M54" s="9"/>
      <c r="N54" s="9"/>
      <c r="O54" s="9"/>
      <c r="P54" s="415"/>
      <c r="Q54" s="9"/>
      <c r="R54" s="9"/>
      <c r="S54" s="9"/>
      <c r="T54" s="9"/>
      <c r="U54" s="9"/>
      <c r="V54" s="9"/>
      <c r="W54" s="9"/>
      <c r="X54" s="9"/>
      <c r="Y54" s="9"/>
      <c r="Z54" s="9"/>
      <c r="AA54" s="9"/>
      <c r="AB54" s="9"/>
      <c r="AC54" s="415"/>
      <c r="AD54" s="415"/>
      <c r="AE54" s="415"/>
      <c r="AF54" s="415"/>
    </row>
    <row r="55" spans="1:32" ht="13.5" hidden="1" thickBot="1">
      <c r="A55" s="9"/>
      <c r="B55" s="77"/>
      <c r="C55" s="319"/>
      <c r="D55" s="134">
        <f>IF(D56-D57&lt;0,0,D56-D57)</f>
        <v>0</v>
      </c>
      <c r="E55" s="134">
        <f t="shared" ref="E55:O55" si="27">IF(E56-E57&lt;0,0,E56-E57)</f>
        <v>151.56214163976273</v>
      </c>
      <c r="F55" s="134">
        <f t="shared" si="27"/>
        <v>137.67314578119863</v>
      </c>
      <c r="G55" s="134">
        <f t="shared" si="27"/>
        <v>146.10266786173395</v>
      </c>
      <c r="H55" s="134">
        <f t="shared" si="27"/>
        <v>147.22574047853885</v>
      </c>
      <c r="I55" s="134">
        <f t="shared" si="27"/>
        <v>148.35489640535144</v>
      </c>
      <c r="J55" s="134">
        <f t="shared" si="27"/>
        <v>149.49016859343428</v>
      </c>
      <c r="K55" s="134">
        <f t="shared" si="27"/>
        <v>150.63159017253588</v>
      </c>
      <c r="L55" s="134">
        <f t="shared" si="27"/>
        <v>151.77919445185762</v>
      </c>
      <c r="M55" s="134">
        <f t="shared" si="27"/>
        <v>152.93301492102569</v>
      </c>
      <c r="N55" s="134">
        <f t="shared" si="27"/>
        <v>154.0930852510684</v>
      </c>
      <c r="O55" s="134">
        <f t="shared" si="27"/>
        <v>155.25943929539886</v>
      </c>
      <c r="P55" s="416">
        <f>SUM(D55:O55)</f>
        <v>1645.1050848519062</v>
      </c>
      <c r="Q55" s="134">
        <f>IF(Q56-Q57&lt;0,0,Q56-Q57)</f>
        <v>382.53211109080223</v>
      </c>
      <c r="R55" s="134">
        <f t="shared" ref="R55:AB55" si="28">IF(R56-R57&lt;0,0,R56-R57)</f>
        <v>383.71113485843125</v>
      </c>
      <c r="S55" s="134">
        <f t="shared" si="28"/>
        <v>384.89654500480162</v>
      </c>
      <c r="T55" s="134">
        <f t="shared" si="28"/>
        <v>386.08837612279814</v>
      </c>
      <c r="U55" s="134">
        <f t="shared" si="28"/>
        <v>387.28666299268377</v>
      </c>
      <c r="V55" s="134">
        <f t="shared" si="28"/>
        <v>388.4914405831147</v>
      </c>
      <c r="W55" s="134">
        <f t="shared" si="28"/>
        <v>389.70274405216037</v>
      </c>
      <c r="X55" s="134">
        <f t="shared" si="28"/>
        <v>390.9206087483301</v>
      </c>
      <c r="Y55" s="134">
        <f t="shared" si="28"/>
        <v>392.14507021160404</v>
      </c>
      <c r="Z55" s="134">
        <f t="shared" si="28"/>
        <v>393.37616417447077</v>
      </c>
      <c r="AA55" s="134">
        <f t="shared" si="28"/>
        <v>394.61392656296965</v>
      </c>
      <c r="AB55" s="134">
        <f t="shared" si="28"/>
        <v>395.85839349773954</v>
      </c>
      <c r="AC55" s="416">
        <f>SUM(Q55:AB55)</f>
        <v>4669.6231778999063</v>
      </c>
      <c r="AD55" s="416"/>
      <c r="AE55" s="416"/>
      <c r="AF55" s="416"/>
    </row>
    <row r="56" spans="1:32" ht="15" customHeight="1">
      <c r="A56" s="9"/>
      <c r="B56" s="42" t="s">
        <v>70</v>
      </c>
      <c r="C56" s="320">
        <f t="shared" ref="C56:AF56" si="29">C9-C53</f>
        <v>1333.5104761904768</v>
      </c>
      <c r="D56" s="317">
        <f t="shared" si="29"/>
        <v>-803.24912698412709</v>
      </c>
      <c r="E56" s="40">
        <f t="shared" si="29"/>
        <v>194.25087301587291</v>
      </c>
      <c r="F56" s="40">
        <f t="shared" si="29"/>
        <v>194.25087301587291</v>
      </c>
      <c r="G56" s="40">
        <f t="shared" si="29"/>
        <v>194.25087301587291</v>
      </c>
      <c r="H56" s="40">
        <f t="shared" si="29"/>
        <v>194.25087301587291</v>
      </c>
      <c r="I56" s="40">
        <f t="shared" si="29"/>
        <v>194.25087301587291</v>
      </c>
      <c r="J56" s="40">
        <f t="shared" si="29"/>
        <v>194.25087301587291</v>
      </c>
      <c r="K56" s="40">
        <f t="shared" si="29"/>
        <v>194.25087301587291</v>
      </c>
      <c r="L56" s="40">
        <f t="shared" si="29"/>
        <v>194.25087301587291</v>
      </c>
      <c r="M56" s="40">
        <f t="shared" si="29"/>
        <v>194.25087301587291</v>
      </c>
      <c r="N56" s="40">
        <f t="shared" si="29"/>
        <v>194.25087301587291</v>
      </c>
      <c r="O56" s="40">
        <f t="shared" si="29"/>
        <v>194.25087301587291</v>
      </c>
      <c r="P56" s="417">
        <f t="shared" si="29"/>
        <v>1333.5104761904768</v>
      </c>
      <c r="Q56" s="317">
        <f t="shared" si="29"/>
        <v>420.35087301587237</v>
      </c>
      <c r="R56" s="40">
        <f t="shared" si="29"/>
        <v>420.35087301587237</v>
      </c>
      <c r="S56" s="40">
        <f t="shared" si="29"/>
        <v>420.35087301587237</v>
      </c>
      <c r="T56" s="40">
        <f t="shared" si="29"/>
        <v>420.35087301587237</v>
      </c>
      <c r="U56" s="40">
        <f t="shared" si="29"/>
        <v>420.35087301587237</v>
      </c>
      <c r="V56" s="40">
        <f t="shared" si="29"/>
        <v>420.35087301587237</v>
      </c>
      <c r="W56" s="40">
        <f t="shared" si="29"/>
        <v>420.35087301587237</v>
      </c>
      <c r="X56" s="40">
        <f t="shared" si="29"/>
        <v>420.35087301587237</v>
      </c>
      <c r="Y56" s="40">
        <f t="shared" si="29"/>
        <v>420.35087301587237</v>
      </c>
      <c r="Z56" s="40">
        <f t="shared" si="29"/>
        <v>420.35087301587237</v>
      </c>
      <c r="AA56" s="40">
        <f t="shared" si="29"/>
        <v>420.35087301587237</v>
      </c>
      <c r="AB56" s="40">
        <f t="shared" si="29"/>
        <v>420.35087301587237</v>
      </c>
      <c r="AC56" s="417">
        <f t="shared" si="29"/>
        <v>5044.2104761904811</v>
      </c>
      <c r="AD56" s="417">
        <f t="shared" si="29"/>
        <v>8076.6104761904789</v>
      </c>
      <c r="AE56" s="417">
        <f t="shared" si="29"/>
        <v>11467.312476190484</v>
      </c>
      <c r="AF56" s="417">
        <f t="shared" si="29"/>
        <v>15260.405976190483</v>
      </c>
    </row>
    <row r="57" spans="1:32" ht="12.75">
      <c r="A57" s="9"/>
      <c r="B57" s="42" t="s">
        <v>3</v>
      </c>
      <c r="C57" s="321">
        <f>P57</f>
        <v>535.44826832269564</v>
      </c>
      <c r="D57" s="308">
        <f>'12. Loan Detail'!D28</f>
        <v>43.793750000000003</v>
      </c>
      <c r="E57" s="5">
        <f>'12. Loan Detail'!E28</f>
        <v>42.688731376110184</v>
      </c>
      <c r="F57" s="5">
        <f>'12. Loan Detail'!F28</f>
        <v>56.577727234674292</v>
      </c>
      <c r="G57" s="5">
        <f>'12. Loan Detail'!G28</f>
        <v>48.148205154138964</v>
      </c>
      <c r="H57" s="5">
        <f>'12. Loan Detail'!H28</f>
        <v>47.025132537334066</v>
      </c>
      <c r="I57" s="5">
        <f>'12. Loan Detail'!I28</f>
        <v>45.895976610521473</v>
      </c>
      <c r="J57" s="5">
        <f>'12. Loan Detail'!J28</f>
        <v>44.760704422438643</v>
      </c>
      <c r="K57" s="5">
        <f>'12. Loan Detail'!K28</f>
        <v>43.619282843337039</v>
      </c>
      <c r="L57" s="5">
        <f>'12. Loan Detail'!L28</f>
        <v>42.471678564015292</v>
      </c>
      <c r="M57" s="5">
        <f>'12. Loan Detail'!M28</f>
        <v>41.317858094847232</v>
      </c>
      <c r="N57" s="5">
        <f>'12. Loan Detail'!N28</f>
        <v>40.157787764804503</v>
      </c>
      <c r="O57" s="5">
        <f>'12. Loan Detail'!O28</f>
        <v>38.991433720474035</v>
      </c>
      <c r="P57" s="418">
        <f>'12. Loan Detail'!P28</f>
        <v>535.44826832269564</v>
      </c>
      <c r="Q57" s="308">
        <f>'12. Loan Detail'!Q28</f>
        <v>37.81876192507012</v>
      </c>
      <c r="R57" s="5">
        <f>'12. Loan Detail'!R28</f>
        <v>36.639738157441101</v>
      </c>
      <c r="S57" s="5">
        <f>'12. Loan Detail'!S28</f>
        <v>35.454328011070757</v>
      </c>
      <c r="T57" s="5">
        <f>'12. Loan Detail'!T28</f>
        <v>34.262496893074243</v>
      </c>
      <c r="U57" s="5">
        <f>'12. Loan Detail'!U28</f>
        <v>33.064210023188572</v>
      </c>
      <c r="V57" s="5">
        <f>'12. Loan Detail'!V28</f>
        <v>31.8594324327577</v>
      </c>
      <c r="W57" s="5">
        <f>'12. Loan Detail'!W28</f>
        <v>30.648128963711986</v>
      </c>
      <c r="X57" s="5">
        <f>'12. Loan Detail'!X28</f>
        <v>29.430264267542277</v>
      </c>
      <c r="Y57" s="5">
        <f>'12. Loan Detail'!Y28</f>
        <v>28.205802804268316</v>
      </c>
      <c r="Z57" s="5">
        <f>'12. Loan Detail'!Z28</f>
        <v>26.974708841401618</v>
      </c>
      <c r="AA57" s="5">
        <f>'12. Loan Detail'!AA28</f>
        <v>25.736946452902725</v>
      </c>
      <c r="AB57" s="5">
        <f>'12. Loan Detail'!AB28</f>
        <v>24.4924795181328</v>
      </c>
      <c r="AC57" s="418">
        <f>'12. Loan Detail'!AC28</f>
        <v>374.58729829056227</v>
      </c>
      <c r="AD57" s="418">
        <f>'12. Loan Detail'!AP28</f>
        <v>109.78821062368057</v>
      </c>
      <c r="AE57" s="418">
        <f>'12. Loan Detail'!BC28</f>
        <v>0</v>
      </c>
      <c r="AF57" s="418">
        <f>'12. Loan Detail'!BP28</f>
        <v>0</v>
      </c>
    </row>
    <row r="58" spans="1:32" ht="13.5" thickBot="1">
      <c r="A58" s="9"/>
      <c r="B58" s="324" t="s">
        <v>113</v>
      </c>
      <c r="C58" s="322">
        <f>'0. Basic Info'!D22</f>
        <v>0.15</v>
      </c>
      <c r="D58" s="309">
        <f>IF($C56&lt;0,0,IF(D56-D57&lt;0,0,((D56-D57)/$P55*$P58)))</f>
        <v>0</v>
      </c>
      <c r="E58" s="8">
        <f t="shared" ref="E58:O58" si="30">IF($C56&lt;0,0,IF(E56-E57&lt;0,0,((E56-E57)/$P55*$P58)))</f>
        <v>11.028719548066466</v>
      </c>
      <c r="F58" s="8">
        <f t="shared" si="30"/>
        <v>10.018059244173179</v>
      </c>
      <c r="G58" s="8">
        <f t="shared" si="30"/>
        <v>10.63145012097554</v>
      </c>
      <c r="H58" s="8">
        <f t="shared" si="30"/>
        <v>10.713172725241018</v>
      </c>
      <c r="I58" s="8">
        <f t="shared" si="30"/>
        <v>10.795337993612932</v>
      </c>
      <c r="J58" s="8">
        <f t="shared" si="30"/>
        <v>10.877948323855193</v>
      </c>
      <c r="K58" s="8">
        <f t="shared" si="30"/>
        <v>10.9610061267196</v>
      </c>
      <c r="L58" s="8">
        <f t="shared" si="30"/>
        <v>11.044513826016191</v>
      </c>
      <c r="M58" s="8">
        <f t="shared" si="30"/>
        <v>11.12847385868397</v>
      </c>
      <c r="N58" s="8">
        <f t="shared" si="30"/>
        <v>11.212888674862031</v>
      </c>
      <c r="O58" s="8">
        <f t="shared" si="30"/>
        <v>11.29776073796106</v>
      </c>
      <c r="P58" s="419">
        <f>IF(P56-P57&lt;0,0,(P56-P57)*C58)</f>
        <v>119.70933118016717</v>
      </c>
      <c r="Q58" s="309">
        <f>IF($C56&lt;0,0,IF(Q56-Q57&lt;0,0,((Q56-Q57)/$P55*$P58)))</f>
        <v>27.835707028855023</v>
      </c>
      <c r="R58" s="8">
        <f t="shared" ref="R58:AB58" si="31">IF($C56&lt;0,0,IF(R56-R57&lt;0,0,((R56-R57)/$P55*$P58)))</f>
        <v>27.921501029474197</v>
      </c>
      <c r="S58" s="8">
        <f t="shared" si="31"/>
        <v>28.007759747596726</v>
      </c>
      <c r="T58" s="8">
        <f t="shared" si="31"/>
        <v>28.094485700442416</v>
      </c>
      <c r="U58" s="8">
        <f t="shared" si="31"/>
        <v>28.18168141886602</v>
      </c>
      <c r="V58" s="8">
        <f t="shared" si="31"/>
        <v>28.26934944743109</v>
      </c>
      <c r="W58" s="8">
        <f t="shared" si="31"/>
        <v>28.357492344484218</v>
      </c>
      <c r="X58" s="8">
        <f t="shared" si="31"/>
        <v>28.446112682229714</v>
      </c>
      <c r="Y58" s="8">
        <f t="shared" si="31"/>
        <v>28.535213046804667</v>
      </c>
      <c r="Z58" s="8">
        <f t="shared" si="31"/>
        <v>28.624796038354408</v>
      </c>
      <c r="AA58" s="8">
        <f t="shared" si="31"/>
        <v>28.714864271108368</v>
      </c>
      <c r="AB58" s="8">
        <f t="shared" si="31"/>
        <v>28.80542037345641</v>
      </c>
      <c r="AC58" s="419">
        <f>IF(AC56-AC57&lt;0,0,(AC56-AC57)*$C58)</f>
        <v>700.44347668498779</v>
      </c>
      <c r="AD58" s="419">
        <f t="shared" ref="AD58:AF58" si="32">IF(AD56-AD57&lt;0,0,(AD56-AD57)*$C58)</f>
        <v>1195.0233398350197</v>
      </c>
      <c r="AE58" s="419">
        <f t="shared" si="32"/>
        <v>1720.0968714285725</v>
      </c>
      <c r="AF58" s="419">
        <f t="shared" si="32"/>
        <v>2289.0608964285725</v>
      </c>
    </row>
    <row r="59" spans="1:32" ht="12.75">
      <c r="A59" s="9"/>
      <c r="B59" s="206"/>
      <c r="C59" s="315"/>
      <c r="D59" s="210"/>
      <c r="E59" s="6"/>
      <c r="F59" s="6"/>
      <c r="G59" s="6"/>
      <c r="H59" s="6"/>
      <c r="I59" s="6"/>
      <c r="J59" s="6"/>
      <c r="K59" s="6"/>
      <c r="L59" s="6"/>
      <c r="M59" s="6"/>
      <c r="N59" s="6"/>
      <c r="O59" s="6"/>
      <c r="P59" s="420"/>
      <c r="Q59" s="210"/>
      <c r="R59" s="6"/>
      <c r="S59" s="6"/>
      <c r="T59" s="6"/>
      <c r="U59" s="6"/>
      <c r="V59" s="6"/>
      <c r="W59" s="6"/>
      <c r="X59" s="6"/>
      <c r="Y59" s="6"/>
      <c r="Z59" s="6"/>
      <c r="AA59" s="6"/>
      <c r="AB59" s="6"/>
      <c r="AC59" s="420"/>
      <c r="AD59" s="420"/>
      <c r="AE59" s="420"/>
      <c r="AF59" s="420"/>
    </row>
    <row r="60" spans="1:32" ht="13.5" thickBot="1">
      <c r="A60" s="9"/>
      <c r="B60" s="205" t="s">
        <v>5</v>
      </c>
      <c r="C60" s="323">
        <f>P60</f>
        <v>678.35287668761396</v>
      </c>
      <c r="D60" s="318">
        <f>D56-D57-D58</f>
        <v>-847.04287698412713</v>
      </c>
      <c r="E60" s="148">
        <f t="shared" ref="E60:P60" si="33">E56-E57-E58</f>
        <v>140.53342209169625</v>
      </c>
      <c r="F60" s="148">
        <f t="shared" si="33"/>
        <v>127.65508653702545</v>
      </c>
      <c r="G60" s="148">
        <f t="shared" si="33"/>
        <v>135.47121774075842</v>
      </c>
      <c r="H60" s="148">
        <f t="shared" si="33"/>
        <v>136.51256775329784</v>
      </c>
      <c r="I60" s="148">
        <f t="shared" si="33"/>
        <v>137.55955841173852</v>
      </c>
      <c r="J60" s="148">
        <f t="shared" si="33"/>
        <v>138.6122202695791</v>
      </c>
      <c r="K60" s="148">
        <f t="shared" si="33"/>
        <v>139.67058404581627</v>
      </c>
      <c r="L60" s="148">
        <f t="shared" si="33"/>
        <v>140.73468062584143</v>
      </c>
      <c r="M60" s="148">
        <f t="shared" si="33"/>
        <v>141.80454106234171</v>
      </c>
      <c r="N60" s="148">
        <f t="shared" si="33"/>
        <v>142.88019657620637</v>
      </c>
      <c r="O60" s="148">
        <f t="shared" si="33"/>
        <v>143.96167855743781</v>
      </c>
      <c r="P60" s="421">
        <f t="shared" si="33"/>
        <v>678.35287668761396</v>
      </c>
      <c r="Q60" s="318">
        <f>Q56-Q57-Q58</f>
        <v>354.69640406194719</v>
      </c>
      <c r="R60" s="148">
        <f t="shared" ref="R60:AF60" si="34">R56-R57-R58</f>
        <v>355.78963382895705</v>
      </c>
      <c r="S60" s="148">
        <f t="shared" si="34"/>
        <v>356.88878525720492</v>
      </c>
      <c r="T60" s="148">
        <f t="shared" si="34"/>
        <v>357.99389042235572</v>
      </c>
      <c r="U60" s="148">
        <f t="shared" si="34"/>
        <v>359.10498157381778</v>
      </c>
      <c r="V60" s="148">
        <f t="shared" si="34"/>
        <v>360.22209113568363</v>
      </c>
      <c r="W60" s="148">
        <f t="shared" si="34"/>
        <v>361.34525170767614</v>
      </c>
      <c r="X60" s="148">
        <f t="shared" si="34"/>
        <v>362.47449606610036</v>
      </c>
      <c r="Y60" s="148">
        <f t="shared" si="34"/>
        <v>363.60985716479939</v>
      </c>
      <c r="Z60" s="148">
        <f t="shared" si="34"/>
        <v>364.75136813611635</v>
      </c>
      <c r="AA60" s="148">
        <f t="shared" si="34"/>
        <v>365.8990622918613</v>
      </c>
      <c r="AB60" s="148">
        <f t="shared" si="34"/>
        <v>367.05297312428314</v>
      </c>
      <c r="AC60" s="421">
        <f t="shared" si="34"/>
        <v>3969.1797012149314</v>
      </c>
      <c r="AD60" s="421">
        <f t="shared" si="34"/>
        <v>6771.7989257317786</v>
      </c>
      <c r="AE60" s="421">
        <f t="shared" si="34"/>
        <v>9747.2156047619119</v>
      </c>
      <c r="AF60" s="421">
        <f t="shared" si="34"/>
        <v>12971.34507976191</v>
      </c>
    </row>
    <row r="61" spans="1:32" ht="9.6" customHeight="1">
      <c r="A61" s="132"/>
      <c r="B61" s="132"/>
      <c r="C61" s="213"/>
      <c r="D61" s="132"/>
      <c r="E61" s="132"/>
      <c r="F61" s="132"/>
      <c r="G61" s="132"/>
      <c r="H61" s="132"/>
      <c r="I61" s="132"/>
      <c r="J61" s="132"/>
      <c r="K61" s="132"/>
      <c r="L61" s="132"/>
      <c r="M61" s="132"/>
      <c r="N61" s="132"/>
      <c r="O61" s="132"/>
      <c r="P61" s="422"/>
      <c r="Q61" s="132"/>
      <c r="R61" s="132"/>
      <c r="S61" s="132"/>
      <c r="T61" s="132"/>
      <c r="U61" s="132"/>
      <c r="V61" s="132"/>
      <c r="W61" s="132"/>
      <c r="X61" s="132"/>
      <c r="Y61" s="132"/>
      <c r="Z61" s="132"/>
      <c r="AA61" s="132"/>
      <c r="AB61" s="132"/>
      <c r="AC61" s="422"/>
      <c r="AD61" s="422"/>
      <c r="AE61" s="422"/>
      <c r="AF61" s="422"/>
    </row>
    <row r="62" spans="1:32" ht="12.75">
      <c r="B62" s="44" t="s">
        <v>268</v>
      </c>
      <c r="P62" s="397"/>
      <c r="AC62" s="397"/>
      <c r="AD62" s="397"/>
      <c r="AE62" s="397"/>
      <c r="AF62" s="397"/>
    </row>
    <row r="63" spans="1:32" ht="12.75">
      <c r="B63" s="456">
        <f>'7. Funding Plan'!C18</f>
        <v>0</v>
      </c>
      <c r="P63" s="397"/>
      <c r="AC63" s="397"/>
      <c r="AD63" s="397"/>
      <c r="AE63" s="397"/>
      <c r="AF63" s="397"/>
    </row>
    <row r="64" spans="1:32" ht="12.75">
      <c r="A64" s="72"/>
      <c r="B64" s="154" t="s">
        <v>110</v>
      </c>
      <c r="C64" s="153">
        <f>'7. Funding Plan'!C27</f>
        <v>7455.5232539682547</v>
      </c>
      <c r="D64" s="326">
        <f t="shared" ref="D64:AF64" si="35">D6</f>
        <v>42370</v>
      </c>
      <c r="E64" s="326">
        <f t="shared" si="35"/>
        <v>42401</v>
      </c>
      <c r="F64" s="326">
        <f t="shared" si="35"/>
        <v>42432</v>
      </c>
      <c r="G64" s="326">
        <f t="shared" si="35"/>
        <v>42463</v>
      </c>
      <c r="H64" s="326">
        <f t="shared" si="35"/>
        <v>42494</v>
      </c>
      <c r="I64" s="326">
        <f t="shared" si="35"/>
        <v>42525</v>
      </c>
      <c r="J64" s="326">
        <f t="shared" si="35"/>
        <v>42556</v>
      </c>
      <c r="K64" s="326">
        <f t="shared" si="35"/>
        <v>42587</v>
      </c>
      <c r="L64" s="326">
        <f t="shared" si="35"/>
        <v>42618</v>
      </c>
      <c r="M64" s="326">
        <f t="shared" si="35"/>
        <v>42649</v>
      </c>
      <c r="N64" s="326">
        <f t="shared" si="35"/>
        <v>42680</v>
      </c>
      <c r="O64" s="326">
        <f t="shared" si="35"/>
        <v>42711</v>
      </c>
      <c r="P64" s="424">
        <f t="shared" si="35"/>
        <v>2016</v>
      </c>
      <c r="Q64" s="423">
        <f t="shared" si="35"/>
        <v>42736</v>
      </c>
      <c r="R64" s="326">
        <f t="shared" si="35"/>
        <v>42767</v>
      </c>
      <c r="S64" s="326">
        <f t="shared" si="35"/>
        <v>42795</v>
      </c>
      <c r="T64" s="326">
        <f t="shared" si="35"/>
        <v>42826</v>
      </c>
      <c r="U64" s="326">
        <f t="shared" si="35"/>
        <v>42856</v>
      </c>
      <c r="V64" s="326">
        <f t="shared" si="35"/>
        <v>42887</v>
      </c>
      <c r="W64" s="326">
        <f t="shared" si="35"/>
        <v>42917</v>
      </c>
      <c r="X64" s="326">
        <f t="shared" si="35"/>
        <v>42948</v>
      </c>
      <c r="Y64" s="326">
        <f t="shared" si="35"/>
        <v>42979</v>
      </c>
      <c r="Z64" s="326">
        <f t="shared" si="35"/>
        <v>43009</v>
      </c>
      <c r="AA64" s="326">
        <f t="shared" si="35"/>
        <v>43040</v>
      </c>
      <c r="AB64" s="326">
        <f t="shared" si="35"/>
        <v>43070</v>
      </c>
      <c r="AC64" s="424">
        <f t="shared" si="35"/>
        <v>2017</v>
      </c>
      <c r="AD64" s="424">
        <f t="shared" si="35"/>
        <v>2018</v>
      </c>
      <c r="AE64" s="424">
        <f t="shared" si="35"/>
        <v>2019</v>
      </c>
      <c r="AF64" s="424">
        <f t="shared" si="35"/>
        <v>2020</v>
      </c>
    </row>
    <row r="65" spans="1:32" ht="13.5" thickBot="1">
      <c r="A65" s="137"/>
      <c r="B65" s="767" t="s">
        <v>122</v>
      </c>
      <c r="C65" s="768"/>
      <c r="D65" s="137">
        <v>0</v>
      </c>
      <c r="E65" s="137">
        <f>D79</f>
        <v>8058.8028117434178</v>
      </c>
      <c r="F65" s="137">
        <f t="shared" ref="F65:O65" si="36">E79</f>
        <v>9219.0769039387687</v>
      </c>
      <c r="G65" s="137">
        <f t="shared" si="36"/>
        <v>10565.361656438014</v>
      </c>
      <c r="H65" s="137">
        <f t="shared" si="36"/>
        <v>10518.345518060456</v>
      </c>
      <c r="I65" s="137">
        <f t="shared" si="36"/>
        <v>10471.247657078633</v>
      </c>
      <c r="J65" s="137">
        <f t="shared" si="36"/>
        <v>10424.067630828438</v>
      </c>
      <c r="K65" s="137">
        <f t="shared" si="36"/>
        <v>10376.804994248001</v>
      </c>
      <c r="L65" s="137">
        <f t="shared" si="36"/>
        <v>10329.4592998647</v>
      </c>
      <c r="M65" s="137">
        <f t="shared" si="36"/>
        <v>10282.030097782103</v>
      </c>
      <c r="N65" s="137">
        <f t="shared" si="36"/>
        <v>10234.516935666838</v>
      </c>
      <c r="O65" s="137">
        <f t="shared" si="36"/>
        <v>10186.919358735393</v>
      </c>
      <c r="P65" s="425">
        <f>O65</f>
        <v>10186.919358735393</v>
      </c>
      <c r="Q65" s="137">
        <f>O79</f>
        <v>10139.23690974085</v>
      </c>
      <c r="R65" s="137">
        <f>Q79</f>
        <v>10301.116514455412</v>
      </c>
      <c r="S65" s="137">
        <f t="shared" ref="S65:AB65" si="37">R79</f>
        <v>10462.910325169356</v>
      </c>
      <c r="T65" s="137">
        <f t="shared" si="37"/>
        <v>10624.617877165178</v>
      </c>
      <c r="U65" s="137">
        <f t="shared" si="37"/>
        <v>10786.238703208153</v>
      </c>
      <c r="V65" s="137">
        <f t="shared" si="37"/>
        <v>10947.772333532705</v>
      </c>
      <c r="W65" s="137">
        <f t="shared" si="37"/>
        <v>11109.218295828692</v>
      </c>
      <c r="X65" s="137">
        <f t="shared" si="37"/>
        <v>11270.576115227626</v>
      </c>
      <c r="Y65" s="137">
        <f t="shared" si="37"/>
        <v>11431.845314288814</v>
      </c>
      <c r="Z65" s="137">
        <f t="shared" si="37"/>
        <v>11593.025412985427</v>
      </c>
      <c r="AA65" s="137">
        <f t="shared" si="37"/>
        <v>11754.115928690491</v>
      </c>
      <c r="AB65" s="137">
        <f t="shared" si="37"/>
        <v>11915.116376162801</v>
      </c>
      <c r="AC65" s="425">
        <f>P79</f>
        <v>10139.23690974085</v>
      </c>
      <c r="AD65" s="426">
        <f>AC79</f>
        <v>12076.026267532759</v>
      </c>
      <c r="AE65" s="426">
        <f t="shared" ref="AE65:AF65" si="38">AD79</f>
        <v>16274.549168618763</v>
      </c>
      <c r="AF65" s="426">
        <f t="shared" si="38"/>
        <v>26319.954297190197</v>
      </c>
    </row>
    <row r="66" spans="1:32" ht="13.15" customHeight="1">
      <c r="A66" s="747" t="s">
        <v>124</v>
      </c>
      <c r="B66" s="769" t="s">
        <v>81</v>
      </c>
      <c r="C66" s="141"/>
      <c r="D66" s="107">
        <f t="shared" ref="D66:AF66" si="39">D60+D51</f>
        <v>-822.19375000000014</v>
      </c>
      <c r="E66" s="107">
        <f t="shared" si="39"/>
        <v>165.38254907582325</v>
      </c>
      <c r="F66" s="107">
        <f t="shared" si="39"/>
        <v>152.50421352115245</v>
      </c>
      <c r="G66" s="107">
        <f t="shared" si="39"/>
        <v>160.32034472488539</v>
      </c>
      <c r="H66" s="107">
        <f t="shared" si="39"/>
        <v>161.36169473742484</v>
      </c>
      <c r="I66" s="107">
        <f t="shared" si="39"/>
        <v>162.40868539586552</v>
      </c>
      <c r="J66" s="107">
        <f t="shared" si="39"/>
        <v>163.46134725370609</v>
      </c>
      <c r="K66" s="107">
        <f t="shared" si="39"/>
        <v>164.51971102994327</v>
      </c>
      <c r="L66" s="107">
        <f t="shared" si="39"/>
        <v>165.5838076099684</v>
      </c>
      <c r="M66" s="107">
        <f t="shared" si="39"/>
        <v>166.65366804646868</v>
      </c>
      <c r="N66" s="107">
        <f t="shared" si="39"/>
        <v>167.72932356033334</v>
      </c>
      <c r="O66" s="107">
        <f t="shared" si="39"/>
        <v>168.81080554156478</v>
      </c>
      <c r="P66" s="428">
        <f>SUM(D66:O66)</f>
        <v>976.54240049713599</v>
      </c>
      <c r="Q66" s="427">
        <f t="shared" si="39"/>
        <v>379.54553104607419</v>
      </c>
      <c r="R66" s="107">
        <f t="shared" si="39"/>
        <v>380.63876081308405</v>
      </c>
      <c r="S66" s="107">
        <f t="shared" si="39"/>
        <v>381.73791224133191</v>
      </c>
      <c r="T66" s="107">
        <f t="shared" si="39"/>
        <v>382.84301740648272</v>
      </c>
      <c r="U66" s="107">
        <f t="shared" si="39"/>
        <v>383.95410855794478</v>
      </c>
      <c r="V66" s="107">
        <f t="shared" si="39"/>
        <v>385.07121811981062</v>
      </c>
      <c r="W66" s="107">
        <f t="shared" si="39"/>
        <v>386.19437869180314</v>
      </c>
      <c r="X66" s="107">
        <f t="shared" si="39"/>
        <v>387.32362305022735</v>
      </c>
      <c r="Y66" s="107">
        <f t="shared" si="39"/>
        <v>388.45898414892639</v>
      </c>
      <c r="Z66" s="107">
        <f t="shared" si="39"/>
        <v>389.60049512024335</v>
      </c>
      <c r="AA66" s="107">
        <f t="shared" si="39"/>
        <v>390.7481892759883</v>
      </c>
      <c r="AB66" s="107">
        <f t="shared" si="39"/>
        <v>391.90210010841014</v>
      </c>
      <c r="AC66" s="428">
        <f>SUM(Q66:AB66)</f>
        <v>4628.0183185803271</v>
      </c>
      <c r="AD66" s="429">
        <f t="shared" si="39"/>
        <v>7069.9884495413025</v>
      </c>
      <c r="AE66" s="430">
        <f t="shared" si="39"/>
        <v>10045.405128571436</v>
      </c>
      <c r="AF66" s="428">
        <f t="shared" si="39"/>
        <v>13269.534603571434</v>
      </c>
    </row>
    <row r="67" spans="1:32" ht="12.75">
      <c r="A67" s="748"/>
      <c r="B67" s="770" t="s">
        <v>82</v>
      </c>
      <c r="C67" s="142"/>
      <c r="D67" s="765">
        <f>'7. Funding Plan'!C15+'7. Funding Plan'!C14</f>
        <v>1000</v>
      </c>
      <c r="E67" s="140"/>
      <c r="F67" s="140">
        <v>0</v>
      </c>
      <c r="G67" s="140">
        <v>0</v>
      </c>
      <c r="H67" s="140">
        <v>0</v>
      </c>
      <c r="I67" s="140">
        <v>0</v>
      </c>
      <c r="J67" s="140">
        <v>0</v>
      </c>
      <c r="K67" s="140">
        <v>0</v>
      </c>
      <c r="L67" s="140">
        <v>0</v>
      </c>
      <c r="M67" s="140">
        <v>0</v>
      </c>
      <c r="N67" s="140">
        <v>0</v>
      </c>
      <c r="O67" s="140">
        <v>0</v>
      </c>
      <c r="P67" s="428">
        <f t="shared" ref="P67:P77" si="40">SUM(D67:O67)</f>
        <v>1000</v>
      </c>
      <c r="Q67" s="431">
        <v>0</v>
      </c>
      <c r="R67" s="140">
        <v>0</v>
      </c>
      <c r="S67" s="140">
        <v>0</v>
      </c>
      <c r="T67" s="140">
        <v>0</v>
      </c>
      <c r="U67" s="140">
        <v>0</v>
      </c>
      <c r="V67" s="140">
        <v>0</v>
      </c>
      <c r="W67" s="140">
        <v>0</v>
      </c>
      <c r="X67" s="140">
        <v>0</v>
      </c>
      <c r="Y67" s="140">
        <v>0</v>
      </c>
      <c r="Z67" s="140">
        <v>0</v>
      </c>
      <c r="AA67" s="140">
        <v>0</v>
      </c>
      <c r="AB67" s="140">
        <v>0</v>
      </c>
      <c r="AC67" s="428">
        <f t="shared" ref="AC67:AC77" si="41">SUM(Q67:AB67)</f>
        <v>0</v>
      </c>
      <c r="AD67" s="432">
        <v>0</v>
      </c>
      <c r="AE67" s="431">
        <v>0</v>
      </c>
      <c r="AF67" s="433">
        <v>0</v>
      </c>
    </row>
    <row r="68" spans="1:32" ht="12.75">
      <c r="A68" s="748"/>
      <c r="B68" s="770" t="s">
        <v>83</v>
      </c>
      <c r="C68" s="142"/>
      <c r="D68" s="765">
        <f>'7. Funding Plan'!C17</f>
        <v>0</v>
      </c>
      <c r="E68" s="140">
        <v>0</v>
      </c>
      <c r="F68" s="140">
        <v>2000</v>
      </c>
      <c r="G68" s="140">
        <v>0</v>
      </c>
      <c r="H68" s="140">
        <v>0</v>
      </c>
      <c r="I68" s="140">
        <v>0</v>
      </c>
      <c r="J68" s="140">
        <v>0</v>
      </c>
      <c r="K68" s="140">
        <v>0</v>
      </c>
      <c r="L68" s="140">
        <v>0</v>
      </c>
      <c r="M68" s="140">
        <v>0</v>
      </c>
      <c r="N68" s="140">
        <v>0</v>
      </c>
      <c r="O68" s="140"/>
      <c r="P68" s="428">
        <f t="shared" si="40"/>
        <v>2000</v>
      </c>
      <c r="Q68" s="431">
        <v>0</v>
      </c>
      <c r="R68" s="140">
        <v>0</v>
      </c>
      <c r="S68" s="140">
        <v>0</v>
      </c>
      <c r="T68" s="140">
        <v>0</v>
      </c>
      <c r="U68" s="140">
        <v>0</v>
      </c>
      <c r="V68" s="140">
        <v>0</v>
      </c>
      <c r="W68" s="140">
        <v>0</v>
      </c>
      <c r="X68" s="140">
        <v>0</v>
      </c>
      <c r="Y68" s="140">
        <v>0</v>
      </c>
      <c r="Z68" s="140">
        <v>0</v>
      </c>
      <c r="AA68" s="140">
        <v>0</v>
      </c>
      <c r="AB68" s="140"/>
      <c r="AC68" s="428">
        <f t="shared" si="41"/>
        <v>0</v>
      </c>
      <c r="AD68" s="432">
        <v>0</v>
      </c>
      <c r="AE68" s="431">
        <v>0</v>
      </c>
      <c r="AF68" s="433">
        <v>0</v>
      </c>
    </row>
    <row r="69" spans="1:32" ht="12.75">
      <c r="A69" s="748"/>
      <c r="B69" s="771" t="s">
        <v>338</v>
      </c>
      <c r="C69" s="758"/>
      <c r="D69" s="759">
        <f>'7. Funding Plan'!C22+'7. Funding Plan'!C23</f>
        <v>8085</v>
      </c>
      <c r="E69" s="752"/>
      <c r="F69" s="752"/>
      <c r="G69" s="752"/>
      <c r="H69" s="752"/>
      <c r="I69" s="752"/>
      <c r="J69" s="752"/>
      <c r="K69" s="752"/>
      <c r="L69" s="752"/>
      <c r="M69" s="752"/>
      <c r="N69" s="752"/>
      <c r="O69" s="752"/>
      <c r="P69" s="753"/>
      <c r="Q69" s="754"/>
      <c r="R69" s="752"/>
      <c r="S69" s="752"/>
      <c r="T69" s="752"/>
      <c r="U69" s="752"/>
      <c r="V69" s="752"/>
      <c r="W69" s="752"/>
      <c r="X69" s="752"/>
      <c r="Y69" s="752"/>
      <c r="Z69" s="752"/>
      <c r="AA69" s="752"/>
      <c r="AB69" s="752"/>
      <c r="AC69" s="753"/>
      <c r="AD69" s="755"/>
      <c r="AE69" s="756"/>
      <c r="AF69" s="757"/>
    </row>
    <row r="70" spans="1:32" ht="13.5" thickBot="1">
      <c r="A70" s="748"/>
      <c r="B70" s="772" t="s">
        <v>79</v>
      </c>
      <c r="C70" s="146"/>
      <c r="D70" s="766">
        <f>'7. Funding Plan'!C19</f>
        <v>0</v>
      </c>
      <c r="E70" s="147">
        <v>1200</v>
      </c>
      <c r="F70" s="147">
        <v>0</v>
      </c>
      <c r="G70" s="147">
        <v>0</v>
      </c>
      <c r="H70" s="147">
        <v>0</v>
      </c>
      <c r="I70" s="147">
        <v>0</v>
      </c>
      <c r="J70" s="147">
        <v>0</v>
      </c>
      <c r="K70" s="147">
        <v>0</v>
      </c>
      <c r="L70" s="147">
        <v>0</v>
      </c>
      <c r="M70" s="147">
        <v>0</v>
      </c>
      <c r="N70" s="147">
        <v>0</v>
      </c>
      <c r="O70" s="147">
        <v>0</v>
      </c>
      <c r="P70" s="421">
        <f t="shared" si="40"/>
        <v>1200</v>
      </c>
      <c r="Q70" s="434"/>
      <c r="R70" s="147"/>
      <c r="S70" s="147"/>
      <c r="T70" s="147">
        <v>0</v>
      </c>
      <c r="U70" s="147">
        <v>0</v>
      </c>
      <c r="V70" s="147">
        <v>0</v>
      </c>
      <c r="W70" s="147">
        <v>0</v>
      </c>
      <c r="X70" s="147">
        <v>0</v>
      </c>
      <c r="Y70" s="147">
        <v>0</v>
      </c>
      <c r="Z70" s="147">
        <v>0</v>
      </c>
      <c r="AA70" s="147">
        <v>0</v>
      </c>
      <c r="AB70" s="147">
        <v>0</v>
      </c>
      <c r="AC70" s="421">
        <f t="shared" si="41"/>
        <v>0</v>
      </c>
      <c r="AD70" s="435">
        <v>0</v>
      </c>
      <c r="AE70" s="435">
        <v>0</v>
      </c>
      <c r="AF70" s="435">
        <v>0</v>
      </c>
    </row>
    <row r="71" spans="1:32" ht="12.75">
      <c r="A71" s="748"/>
      <c r="B71" s="773" t="s">
        <v>108</v>
      </c>
      <c r="C71" s="144"/>
      <c r="D71" s="145">
        <f>SUM(D66:D70)</f>
        <v>8262.8062499999996</v>
      </c>
      <c r="E71" s="145">
        <f t="shared" ref="E71:P71" si="42">SUM(E66:E70)</f>
        <v>1365.3825490758231</v>
      </c>
      <c r="F71" s="145">
        <f t="shared" si="42"/>
        <v>2152.5042135211525</v>
      </c>
      <c r="G71" s="145">
        <f t="shared" si="42"/>
        <v>160.32034472488539</v>
      </c>
      <c r="H71" s="145">
        <f t="shared" si="42"/>
        <v>161.36169473742484</v>
      </c>
      <c r="I71" s="145">
        <f t="shared" si="42"/>
        <v>162.40868539586552</v>
      </c>
      <c r="J71" s="145">
        <f t="shared" si="42"/>
        <v>163.46134725370609</v>
      </c>
      <c r="K71" s="145">
        <f t="shared" si="42"/>
        <v>164.51971102994327</v>
      </c>
      <c r="L71" s="145">
        <f t="shared" si="42"/>
        <v>165.5838076099684</v>
      </c>
      <c r="M71" s="145">
        <f t="shared" si="42"/>
        <v>166.65366804646868</v>
      </c>
      <c r="N71" s="145">
        <f t="shared" si="42"/>
        <v>167.72932356033334</v>
      </c>
      <c r="O71" s="145">
        <f t="shared" si="42"/>
        <v>168.81080554156478</v>
      </c>
      <c r="P71" s="437">
        <f t="shared" si="42"/>
        <v>5176.5424004971355</v>
      </c>
      <c r="Q71" s="436">
        <f>SUM(Q66:Q70)</f>
        <v>379.54553104607419</v>
      </c>
      <c r="R71" s="145">
        <f t="shared" ref="R71:AF71" si="43">SUM(R66:R70)</f>
        <v>380.63876081308405</v>
      </c>
      <c r="S71" s="145">
        <f t="shared" si="43"/>
        <v>381.73791224133191</v>
      </c>
      <c r="T71" s="145">
        <f t="shared" si="43"/>
        <v>382.84301740648272</v>
      </c>
      <c r="U71" s="145">
        <f t="shared" si="43"/>
        <v>383.95410855794478</v>
      </c>
      <c r="V71" s="145">
        <f t="shared" si="43"/>
        <v>385.07121811981062</v>
      </c>
      <c r="W71" s="145">
        <f t="shared" si="43"/>
        <v>386.19437869180314</v>
      </c>
      <c r="X71" s="145">
        <f t="shared" si="43"/>
        <v>387.32362305022735</v>
      </c>
      <c r="Y71" s="145">
        <f t="shared" si="43"/>
        <v>388.45898414892639</v>
      </c>
      <c r="Z71" s="145">
        <f t="shared" si="43"/>
        <v>389.60049512024335</v>
      </c>
      <c r="AA71" s="145">
        <f t="shared" si="43"/>
        <v>390.7481892759883</v>
      </c>
      <c r="AB71" s="145">
        <f t="shared" si="43"/>
        <v>391.90210010841014</v>
      </c>
      <c r="AC71" s="437">
        <f t="shared" si="43"/>
        <v>4628.0183185803271</v>
      </c>
      <c r="AD71" s="437">
        <f t="shared" si="43"/>
        <v>7069.9884495413025</v>
      </c>
      <c r="AE71" s="437">
        <f t="shared" si="43"/>
        <v>10045.405128571436</v>
      </c>
      <c r="AF71" s="437">
        <f t="shared" si="43"/>
        <v>13269.534603571434</v>
      </c>
    </row>
    <row r="72" spans="1:32" ht="13.15" customHeight="1">
      <c r="A72" s="749" t="s">
        <v>123</v>
      </c>
      <c r="B72" s="760" t="s">
        <v>84</v>
      </c>
      <c r="C72" s="774"/>
      <c r="D72" s="143">
        <v>0</v>
      </c>
      <c r="E72" s="143">
        <v>0</v>
      </c>
      <c r="F72" s="143">
        <v>0</v>
      </c>
      <c r="G72" s="143">
        <v>0</v>
      </c>
      <c r="H72" s="143">
        <v>0</v>
      </c>
      <c r="I72" s="143">
        <v>0</v>
      </c>
      <c r="J72" s="143">
        <v>0</v>
      </c>
      <c r="K72" s="143">
        <v>0</v>
      </c>
      <c r="L72" s="143">
        <v>0</v>
      </c>
      <c r="M72" s="143">
        <v>0</v>
      </c>
      <c r="N72" s="143">
        <v>0</v>
      </c>
      <c r="O72" s="143">
        <v>0</v>
      </c>
      <c r="P72" s="439">
        <f t="shared" si="40"/>
        <v>0</v>
      </c>
      <c r="Q72" s="438">
        <v>0</v>
      </c>
      <c r="R72" s="143">
        <v>0</v>
      </c>
      <c r="S72" s="143">
        <v>0</v>
      </c>
      <c r="T72" s="143">
        <v>0</v>
      </c>
      <c r="U72" s="143">
        <v>0</v>
      </c>
      <c r="V72" s="143">
        <v>0</v>
      </c>
      <c r="W72" s="143">
        <v>0</v>
      </c>
      <c r="X72" s="143">
        <v>0</v>
      </c>
      <c r="Y72" s="143">
        <v>0</v>
      </c>
      <c r="Z72" s="143">
        <v>0</v>
      </c>
      <c r="AA72" s="143">
        <v>0</v>
      </c>
      <c r="AB72" s="143">
        <v>0</v>
      </c>
      <c r="AC72" s="439">
        <f t="shared" si="41"/>
        <v>0</v>
      </c>
      <c r="AD72" s="440">
        <v>0</v>
      </c>
      <c r="AE72" s="440">
        <v>0</v>
      </c>
      <c r="AF72" s="440">
        <v>0</v>
      </c>
    </row>
    <row r="73" spans="1:32" ht="13.15" customHeight="1">
      <c r="A73" s="750"/>
      <c r="B73" s="763" t="s">
        <v>339</v>
      </c>
      <c r="C73" s="775"/>
      <c r="D73" s="764">
        <v>0</v>
      </c>
      <c r="E73" s="764">
        <v>0</v>
      </c>
      <c r="F73" s="764">
        <v>0</v>
      </c>
      <c r="G73" s="764">
        <v>0</v>
      </c>
      <c r="H73" s="764">
        <v>0</v>
      </c>
      <c r="I73" s="764">
        <v>0</v>
      </c>
      <c r="J73" s="764">
        <v>0</v>
      </c>
      <c r="K73" s="764">
        <v>0</v>
      </c>
      <c r="L73" s="764">
        <v>0</v>
      </c>
      <c r="M73" s="764">
        <v>0</v>
      </c>
      <c r="N73" s="764">
        <v>0</v>
      </c>
      <c r="O73" s="764">
        <v>0</v>
      </c>
      <c r="P73" s="439">
        <f t="shared" si="40"/>
        <v>0</v>
      </c>
      <c r="Q73" s="143">
        <v>0</v>
      </c>
      <c r="R73" s="143">
        <v>0</v>
      </c>
      <c r="S73" s="143">
        <v>0</v>
      </c>
      <c r="T73" s="143">
        <v>0</v>
      </c>
      <c r="U73" s="143">
        <v>0</v>
      </c>
      <c r="V73" s="143">
        <v>0</v>
      </c>
      <c r="W73" s="143">
        <v>0</v>
      </c>
      <c r="X73" s="143">
        <v>0</v>
      </c>
      <c r="Y73" s="143">
        <v>0</v>
      </c>
      <c r="Z73" s="143">
        <v>0</v>
      </c>
      <c r="AA73" s="143">
        <v>0</v>
      </c>
      <c r="AB73" s="143">
        <v>0</v>
      </c>
      <c r="AC73" s="439">
        <f t="shared" si="41"/>
        <v>0</v>
      </c>
      <c r="AD73" s="440"/>
      <c r="AE73" s="440"/>
      <c r="AF73" s="440"/>
    </row>
    <row r="74" spans="1:32" ht="12.75">
      <c r="A74" s="750"/>
      <c r="B74" s="760" t="s">
        <v>85</v>
      </c>
      <c r="C74" s="774"/>
      <c r="D74" s="143">
        <v>0</v>
      </c>
      <c r="E74" s="143">
        <v>0</v>
      </c>
      <c r="F74" s="143">
        <v>0</v>
      </c>
      <c r="G74" s="143">
        <v>0</v>
      </c>
      <c r="H74" s="143">
        <v>0</v>
      </c>
      <c r="I74" s="143">
        <v>0</v>
      </c>
      <c r="J74" s="143">
        <v>0</v>
      </c>
      <c r="K74" s="143">
        <v>0</v>
      </c>
      <c r="L74" s="143">
        <v>0</v>
      </c>
      <c r="M74" s="143">
        <v>0</v>
      </c>
      <c r="N74" s="143">
        <v>0</v>
      </c>
      <c r="O74" s="143">
        <v>0</v>
      </c>
      <c r="P74" s="439">
        <f t="shared" si="40"/>
        <v>0</v>
      </c>
      <c r="Q74" s="438">
        <v>0</v>
      </c>
      <c r="R74" s="143">
        <v>0</v>
      </c>
      <c r="S74" s="143">
        <v>0</v>
      </c>
      <c r="T74" s="143">
        <v>0</v>
      </c>
      <c r="U74" s="143">
        <v>0</v>
      </c>
      <c r="V74" s="143">
        <v>0</v>
      </c>
      <c r="W74" s="143">
        <v>0</v>
      </c>
      <c r="X74" s="143">
        <v>0</v>
      </c>
      <c r="Y74" s="143">
        <v>0</v>
      </c>
      <c r="Z74" s="143">
        <v>0</v>
      </c>
      <c r="AA74" s="143">
        <v>0</v>
      </c>
      <c r="AB74" s="143">
        <v>0</v>
      </c>
      <c r="AC74" s="439">
        <f t="shared" si="41"/>
        <v>0</v>
      </c>
      <c r="AD74" s="440">
        <v>0</v>
      </c>
      <c r="AE74" s="440">
        <v>0</v>
      </c>
      <c r="AF74" s="440"/>
    </row>
    <row r="75" spans="1:32" ht="12.75">
      <c r="A75" s="750"/>
      <c r="B75" s="760" t="s">
        <v>201</v>
      </c>
      <c r="C75" s="776">
        <f>+'7. Funding Plan'!C18+P70-P75</f>
        <v>600</v>
      </c>
      <c r="D75" s="143">
        <v>0</v>
      </c>
      <c r="E75" s="143">
        <v>0</v>
      </c>
      <c r="F75" s="143">
        <v>600</v>
      </c>
      <c r="G75" s="143">
        <v>0</v>
      </c>
      <c r="H75" s="143">
        <v>0</v>
      </c>
      <c r="I75" s="143">
        <v>0</v>
      </c>
      <c r="J75" s="143">
        <v>0</v>
      </c>
      <c r="K75" s="143">
        <v>0</v>
      </c>
      <c r="L75" s="143">
        <v>0</v>
      </c>
      <c r="M75" s="143">
        <v>0</v>
      </c>
      <c r="N75" s="143">
        <v>0</v>
      </c>
      <c r="O75" s="143">
        <v>0</v>
      </c>
      <c r="P75" s="439">
        <f t="shared" si="40"/>
        <v>600</v>
      </c>
      <c r="Q75" s="438">
        <v>0</v>
      </c>
      <c r="R75" s="143">
        <v>0</v>
      </c>
      <c r="S75" s="143">
        <v>0</v>
      </c>
      <c r="T75" s="143">
        <v>0</v>
      </c>
      <c r="U75" s="143">
        <v>0</v>
      </c>
      <c r="V75" s="143">
        <v>0</v>
      </c>
      <c r="W75" s="143">
        <v>0</v>
      </c>
      <c r="X75" s="143">
        <v>0</v>
      </c>
      <c r="Y75" s="143"/>
      <c r="Z75" s="143">
        <v>0</v>
      </c>
      <c r="AA75" s="143">
        <v>0</v>
      </c>
      <c r="AB75" s="143">
        <v>0</v>
      </c>
      <c r="AC75" s="439">
        <f t="shared" si="41"/>
        <v>0</v>
      </c>
      <c r="AD75" s="440">
        <v>0</v>
      </c>
      <c r="AE75" s="440">
        <v>0</v>
      </c>
      <c r="AF75" s="440">
        <v>0</v>
      </c>
    </row>
    <row r="76" spans="1:32" ht="13.5" thickBot="1">
      <c r="A76" s="750"/>
      <c r="B76" s="761" t="s">
        <v>125</v>
      </c>
      <c r="C76" s="777"/>
      <c r="D76" s="150">
        <f>'12. Loan Detail'!D29-'12. Loan Detail'!D23</f>
        <v>204.0034382565816</v>
      </c>
      <c r="E76" s="150">
        <f>'12. Loan Detail'!E29-'12. Loan Detail'!E23</f>
        <v>205.10845688047144</v>
      </c>
      <c r="F76" s="150">
        <f>'12. Loan Detail'!F29-'12. Loan Detail'!F23</f>
        <v>206.21946102190736</v>
      </c>
      <c r="G76" s="150">
        <f>'12. Loan Detail'!G29-'12. Loan Detail'!G23</f>
        <v>207.33648310244266</v>
      </c>
      <c r="H76" s="150">
        <f>'12. Loan Detail'!H29-'12. Loan Detail'!H23</f>
        <v>208.45955571924756</v>
      </c>
      <c r="I76" s="150">
        <f>'12. Loan Detail'!I29-'12. Loan Detail'!I23</f>
        <v>209.58871164606015</v>
      </c>
      <c r="J76" s="150">
        <f>'12. Loan Detail'!J29-'12. Loan Detail'!J23</f>
        <v>210.72398383414298</v>
      </c>
      <c r="K76" s="150">
        <f>'12. Loan Detail'!K29-'12. Loan Detail'!K23</f>
        <v>211.86540541324459</v>
      </c>
      <c r="L76" s="150">
        <f>'12. Loan Detail'!L29-'12. Loan Detail'!L23</f>
        <v>213.01300969256633</v>
      </c>
      <c r="M76" s="150">
        <f>'12. Loan Detail'!M29-'12. Loan Detail'!M23</f>
        <v>214.1668301617344</v>
      </c>
      <c r="N76" s="150">
        <f>'12. Loan Detail'!N29-'12. Loan Detail'!N23</f>
        <v>215.32690049177711</v>
      </c>
      <c r="O76" s="150">
        <f>'12. Loan Detail'!O29-'12. Loan Detail'!O23</f>
        <v>216.49325453610757</v>
      </c>
      <c r="P76" s="442">
        <f t="shared" si="40"/>
        <v>2522.3054907562837</v>
      </c>
      <c r="Q76" s="441">
        <f>'12. Loan Detail'!Q29-'12. Loan Detail'!Q23</f>
        <v>217.66592633151151</v>
      </c>
      <c r="R76" s="150">
        <f>'12. Loan Detail'!R29-'12. Loan Detail'!R23</f>
        <v>218.84495009914053</v>
      </c>
      <c r="S76" s="150">
        <f>'12. Loan Detail'!S29-'12. Loan Detail'!S23</f>
        <v>220.03036024551085</v>
      </c>
      <c r="T76" s="150">
        <f>'12. Loan Detail'!T29-'12. Loan Detail'!T23</f>
        <v>221.22219136350736</v>
      </c>
      <c r="U76" s="150">
        <f>'12. Loan Detail'!U29-'12. Loan Detail'!U23</f>
        <v>222.42047823339306</v>
      </c>
      <c r="V76" s="150">
        <f>'12. Loan Detail'!V29-'12. Loan Detail'!V23</f>
        <v>223.62525582382392</v>
      </c>
      <c r="W76" s="150">
        <f>'12. Loan Detail'!W29-'12. Loan Detail'!W23</f>
        <v>224.83655929286962</v>
      </c>
      <c r="X76" s="150">
        <f>'12. Loan Detail'!X29-'12. Loan Detail'!X23</f>
        <v>226.05442398903935</v>
      </c>
      <c r="Y76" s="150">
        <f>'12. Loan Detail'!Y29-'12. Loan Detail'!Y23</f>
        <v>227.27888545231332</v>
      </c>
      <c r="Z76" s="150">
        <f>'12. Loan Detail'!Z29-'12. Loan Detail'!Z23</f>
        <v>228.50997941518</v>
      </c>
      <c r="AA76" s="150">
        <f>'12. Loan Detail'!AA29-'12. Loan Detail'!AA23</f>
        <v>229.74774180367891</v>
      </c>
      <c r="AB76" s="150">
        <f>'12. Loan Detail'!AB29-'12. Loan Detail'!AB23</f>
        <v>230.99220873844882</v>
      </c>
      <c r="AC76" s="442">
        <f t="shared" si="41"/>
        <v>2691.2289607884172</v>
      </c>
      <c r="AD76" s="442">
        <f>'12. Loan Detail'!AP29-'12. Loan Detail'!AP23</f>
        <v>2871.4655484552995</v>
      </c>
      <c r="AE76" s="442">
        <f>'12. Loan Detail'!BC29-'12. Loan Detail'!BC23</f>
        <v>0</v>
      </c>
      <c r="AF76" s="442">
        <f>'12. Loan Detail'!BB29-'12. Loan Detail'!BP23</f>
        <v>0</v>
      </c>
    </row>
    <row r="77" spans="1:32" ht="13.5" thickBot="1">
      <c r="A77" s="751"/>
      <c r="B77" s="762" t="s">
        <v>109</v>
      </c>
      <c r="C77" s="762"/>
      <c r="D77" s="149">
        <f>SUM(D72:D76)</f>
        <v>204.0034382565816</v>
      </c>
      <c r="E77" s="149">
        <f>SUM(E72:E76)</f>
        <v>205.10845688047144</v>
      </c>
      <c r="F77" s="149">
        <f>SUM(F72:F76)</f>
        <v>806.21946102190736</v>
      </c>
      <c r="G77" s="149">
        <f>SUM(G72:G76)</f>
        <v>207.33648310244266</v>
      </c>
      <c r="H77" s="149">
        <f t="shared" ref="D77:O77" si="44">SUM(H72:H76)</f>
        <v>208.45955571924756</v>
      </c>
      <c r="I77" s="149">
        <f t="shared" si="44"/>
        <v>209.58871164606015</v>
      </c>
      <c r="J77" s="149">
        <f t="shared" si="44"/>
        <v>210.72398383414298</v>
      </c>
      <c r="K77" s="149">
        <f t="shared" si="44"/>
        <v>211.86540541324459</v>
      </c>
      <c r="L77" s="149">
        <f t="shared" si="44"/>
        <v>213.01300969256633</v>
      </c>
      <c r="M77" s="149">
        <f t="shared" si="44"/>
        <v>214.1668301617344</v>
      </c>
      <c r="N77" s="149">
        <f t="shared" si="44"/>
        <v>215.32690049177711</v>
      </c>
      <c r="O77" s="149">
        <f t="shared" si="44"/>
        <v>216.49325453610757</v>
      </c>
      <c r="P77" s="444">
        <f t="shared" si="40"/>
        <v>3122.3054907562832</v>
      </c>
      <c r="Q77" s="443">
        <f t="shared" ref="Q77:AF77" si="45">SUM(Q72:Q76)</f>
        <v>217.66592633151151</v>
      </c>
      <c r="R77" s="149">
        <f t="shared" si="45"/>
        <v>218.84495009914053</v>
      </c>
      <c r="S77" s="149">
        <f t="shared" si="45"/>
        <v>220.03036024551085</v>
      </c>
      <c r="T77" s="149">
        <f t="shared" si="45"/>
        <v>221.22219136350736</v>
      </c>
      <c r="U77" s="149">
        <f t="shared" si="45"/>
        <v>222.42047823339306</v>
      </c>
      <c r="V77" s="149">
        <f t="shared" si="45"/>
        <v>223.62525582382392</v>
      </c>
      <c r="W77" s="149">
        <f t="shared" si="45"/>
        <v>224.83655929286962</v>
      </c>
      <c r="X77" s="149">
        <f t="shared" si="45"/>
        <v>226.05442398903935</v>
      </c>
      <c r="Y77" s="149">
        <f t="shared" si="45"/>
        <v>227.27888545231332</v>
      </c>
      <c r="Z77" s="149">
        <f t="shared" si="45"/>
        <v>228.50997941518</v>
      </c>
      <c r="AA77" s="149">
        <f t="shared" si="45"/>
        <v>229.74774180367891</v>
      </c>
      <c r="AB77" s="149">
        <f t="shared" si="45"/>
        <v>230.99220873844882</v>
      </c>
      <c r="AC77" s="444">
        <f t="shared" si="41"/>
        <v>2691.2289607884172</v>
      </c>
      <c r="AD77" s="444">
        <f t="shared" si="45"/>
        <v>2871.4655484552995</v>
      </c>
      <c r="AE77" s="444">
        <f t="shared" si="45"/>
        <v>0</v>
      </c>
      <c r="AF77" s="444">
        <f t="shared" si="45"/>
        <v>0</v>
      </c>
    </row>
    <row r="78" spans="1:32" ht="12" customHeight="1" thickBot="1">
      <c r="A78" s="9"/>
      <c r="B78" s="778" t="s">
        <v>78</v>
      </c>
      <c r="C78" s="151"/>
      <c r="D78" s="152">
        <f t="shared" ref="D78:AF78" si="46">D71-D77</f>
        <v>8058.8028117434178</v>
      </c>
      <c r="E78" s="152">
        <f t="shared" si="46"/>
        <v>1160.2740921953516</v>
      </c>
      <c r="F78" s="152">
        <f t="shared" si="46"/>
        <v>1346.2847524992451</v>
      </c>
      <c r="G78" s="152">
        <f t="shared" si="46"/>
        <v>-47.016138377557269</v>
      </c>
      <c r="H78" s="152">
        <f t="shared" si="46"/>
        <v>-47.09786098182272</v>
      </c>
      <c r="I78" s="152">
        <f t="shared" si="46"/>
        <v>-47.180026250194629</v>
      </c>
      <c r="J78" s="152">
        <f t="shared" si="46"/>
        <v>-47.26263658043689</v>
      </c>
      <c r="K78" s="152">
        <f t="shared" si="46"/>
        <v>-47.345694383301321</v>
      </c>
      <c r="L78" s="152">
        <f t="shared" si="46"/>
        <v>-47.429202082597925</v>
      </c>
      <c r="M78" s="152">
        <f t="shared" si="46"/>
        <v>-47.513162115265715</v>
      </c>
      <c r="N78" s="152">
        <f t="shared" si="46"/>
        <v>-47.597576931443768</v>
      </c>
      <c r="O78" s="152">
        <f t="shared" si="46"/>
        <v>-47.682448994542796</v>
      </c>
      <c r="P78" s="446">
        <f>SUM(D78:O78)</f>
        <v>10139.23690974085</v>
      </c>
      <c r="Q78" s="445">
        <f t="shared" si="46"/>
        <v>161.87960471456267</v>
      </c>
      <c r="R78" s="152">
        <f t="shared" si="46"/>
        <v>161.79381071394351</v>
      </c>
      <c r="S78" s="152">
        <f t="shared" si="46"/>
        <v>161.70755199582106</v>
      </c>
      <c r="T78" s="152">
        <f t="shared" si="46"/>
        <v>161.62082604297535</v>
      </c>
      <c r="U78" s="152">
        <f t="shared" si="46"/>
        <v>161.53363032455172</v>
      </c>
      <c r="V78" s="152">
        <f t="shared" si="46"/>
        <v>161.4459622959867</v>
      </c>
      <c r="W78" s="152">
        <f t="shared" si="46"/>
        <v>161.35781939893351</v>
      </c>
      <c r="X78" s="152">
        <f t="shared" si="46"/>
        <v>161.269199061188</v>
      </c>
      <c r="Y78" s="152">
        <f t="shared" si="46"/>
        <v>161.18009869661307</v>
      </c>
      <c r="Z78" s="152">
        <f t="shared" si="46"/>
        <v>161.09051570506335</v>
      </c>
      <c r="AA78" s="152">
        <f t="shared" si="46"/>
        <v>161.00044747230939</v>
      </c>
      <c r="AB78" s="152">
        <f t="shared" si="46"/>
        <v>160.90989136996131</v>
      </c>
      <c r="AC78" s="446">
        <f t="shared" si="46"/>
        <v>1936.7893577919099</v>
      </c>
      <c r="AD78" s="446">
        <f t="shared" si="46"/>
        <v>4198.522901086003</v>
      </c>
      <c r="AE78" s="446">
        <f t="shared" si="46"/>
        <v>10045.405128571436</v>
      </c>
      <c r="AF78" s="446">
        <f t="shared" si="46"/>
        <v>13269.534603571434</v>
      </c>
    </row>
    <row r="79" spans="1:32" ht="12" customHeight="1">
      <c r="A79" s="9"/>
      <c r="B79" s="779" t="s">
        <v>80</v>
      </c>
      <c r="C79" s="780"/>
      <c r="D79" s="199">
        <f t="shared" ref="D79:AF79" si="47">D65+D78</f>
        <v>8058.8028117434178</v>
      </c>
      <c r="E79" s="199">
        <f t="shared" si="47"/>
        <v>9219.0769039387687</v>
      </c>
      <c r="F79" s="199">
        <f t="shared" si="47"/>
        <v>10565.361656438014</v>
      </c>
      <c r="G79" s="199">
        <f t="shared" si="47"/>
        <v>10518.345518060456</v>
      </c>
      <c r="H79" s="199">
        <f t="shared" si="47"/>
        <v>10471.247657078633</v>
      </c>
      <c r="I79" s="199">
        <f t="shared" si="47"/>
        <v>10424.067630828438</v>
      </c>
      <c r="J79" s="199">
        <f t="shared" si="47"/>
        <v>10376.804994248001</v>
      </c>
      <c r="K79" s="199">
        <f t="shared" si="47"/>
        <v>10329.4592998647</v>
      </c>
      <c r="L79" s="199">
        <f t="shared" si="47"/>
        <v>10282.030097782103</v>
      </c>
      <c r="M79" s="199">
        <f t="shared" si="47"/>
        <v>10234.516935666838</v>
      </c>
      <c r="N79" s="199">
        <f t="shared" si="47"/>
        <v>10186.919358735393</v>
      </c>
      <c r="O79" s="199">
        <f t="shared" si="47"/>
        <v>10139.23690974085</v>
      </c>
      <c r="P79" s="447">
        <f>O79</f>
        <v>10139.23690974085</v>
      </c>
      <c r="Q79" s="536">
        <f t="shared" si="47"/>
        <v>10301.116514455412</v>
      </c>
      <c r="R79" s="199">
        <f t="shared" si="47"/>
        <v>10462.910325169356</v>
      </c>
      <c r="S79" s="199">
        <f t="shared" si="47"/>
        <v>10624.617877165178</v>
      </c>
      <c r="T79" s="199">
        <f t="shared" si="47"/>
        <v>10786.238703208153</v>
      </c>
      <c r="U79" s="199">
        <f t="shared" si="47"/>
        <v>10947.772333532705</v>
      </c>
      <c r="V79" s="199">
        <f t="shared" si="47"/>
        <v>11109.218295828692</v>
      </c>
      <c r="W79" s="199">
        <f t="shared" si="47"/>
        <v>11270.576115227626</v>
      </c>
      <c r="X79" s="199">
        <f t="shared" si="47"/>
        <v>11431.845314288814</v>
      </c>
      <c r="Y79" s="199">
        <f t="shared" si="47"/>
        <v>11593.025412985427</v>
      </c>
      <c r="Z79" s="199">
        <f t="shared" si="47"/>
        <v>11754.115928690491</v>
      </c>
      <c r="AA79" s="199">
        <f t="shared" si="47"/>
        <v>11915.116376162801</v>
      </c>
      <c r="AB79" s="199">
        <f t="shared" si="47"/>
        <v>12076.026267532763</v>
      </c>
      <c r="AC79" s="447">
        <f t="shared" si="47"/>
        <v>12076.026267532759</v>
      </c>
      <c r="AD79" s="448">
        <f t="shared" si="47"/>
        <v>16274.549168618763</v>
      </c>
      <c r="AE79" s="448">
        <f t="shared" si="47"/>
        <v>26319.954297190197</v>
      </c>
      <c r="AF79" s="448">
        <f t="shared" si="47"/>
        <v>39589.488900761629</v>
      </c>
    </row>
    <row r="80" spans="1:32" s="44" customFormat="1" ht="12" customHeight="1">
      <c r="B80" s="781" t="s">
        <v>298</v>
      </c>
      <c r="C80" s="782"/>
      <c r="D80" s="533">
        <f>'7. Funding Plan'!C18+'8. P&amp;L and Cashflow'!D70-'8. P&amp;L and Cashflow'!D75</f>
        <v>0</v>
      </c>
      <c r="E80" s="533">
        <f>D80+E70-E75</f>
        <v>1200</v>
      </c>
      <c r="F80" s="533">
        <f t="shared" ref="F80:AF80" si="48">E80+F70-F75</f>
        <v>600</v>
      </c>
      <c r="G80" s="533">
        <f t="shared" si="48"/>
        <v>600</v>
      </c>
      <c r="H80" s="533">
        <f t="shared" si="48"/>
        <v>600</v>
      </c>
      <c r="I80" s="533">
        <f t="shared" si="48"/>
        <v>600</v>
      </c>
      <c r="J80" s="533">
        <f t="shared" si="48"/>
        <v>600</v>
      </c>
      <c r="K80" s="533">
        <f t="shared" si="48"/>
        <v>600</v>
      </c>
      <c r="L80" s="533">
        <f t="shared" si="48"/>
        <v>600</v>
      </c>
      <c r="M80" s="533">
        <f t="shared" si="48"/>
        <v>600</v>
      </c>
      <c r="N80" s="533">
        <f t="shared" si="48"/>
        <v>600</v>
      </c>
      <c r="O80" s="533">
        <f t="shared" si="48"/>
        <v>600</v>
      </c>
      <c r="P80" s="534">
        <f>O80</f>
        <v>600</v>
      </c>
      <c r="Q80" s="537">
        <f t="shared" si="48"/>
        <v>600</v>
      </c>
      <c r="R80" s="533">
        <f t="shared" si="48"/>
        <v>600</v>
      </c>
      <c r="S80" s="533">
        <f t="shared" si="48"/>
        <v>600</v>
      </c>
      <c r="T80" s="533">
        <f t="shared" si="48"/>
        <v>600</v>
      </c>
      <c r="U80" s="533">
        <f t="shared" si="48"/>
        <v>600</v>
      </c>
      <c r="V80" s="533">
        <f t="shared" si="48"/>
        <v>600</v>
      </c>
      <c r="W80" s="533">
        <f t="shared" si="48"/>
        <v>600</v>
      </c>
      <c r="X80" s="533">
        <f t="shared" si="48"/>
        <v>600</v>
      </c>
      <c r="Y80" s="533">
        <f t="shared" si="48"/>
        <v>600</v>
      </c>
      <c r="Z80" s="533">
        <f t="shared" si="48"/>
        <v>600</v>
      </c>
      <c r="AA80" s="533">
        <f t="shared" si="48"/>
        <v>600</v>
      </c>
      <c r="AB80" s="533">
        <f t="shared" si="48"/>
        <v>600</v>
      </c>
      <c r="AC80" s="534">
        <f>AB80</f>
        <v>600</v>
      </c>
      <c r="AD80" s="535">
        <f t="shared" si="48"/>
        <v>600</v>
      </c>
      <c r="AE80" s="535">
        <f t="shared" si="48"/>
        <v>600</v>
      </c>
      <c r="AF80" s="535">
        <f t="shared" si="48"/>
        <v>600</v>
      </c>
    </row>
  </sheetData>
  <mergeCells count="3">
    <mergeCell ref="A1:B1"/>
    <mergeCell ref="A66:A71"/>
    <mergeCell ref="A72:A77"/>
  </mergeCells>
  <phoneticPr fontId="10" type="noConversion"/>
  <conditionalFormatting sqref="C3 B65:C65">
    <cfRule type="expression" dxfId="47" priority="75">
      <formula>B3&gt;0</formula>
    </cfRule>
    <cfRule type="expression" dxfId="46" priority="76">
      <formula>B3&lt;0</formula>
    </cfRule>
  </conditionalFormatting>
  <conditionalFormatting sqref="D3:O3">
    <cfRule type="expression" dxfId="45" priority="73">
      <formula>D3&gt;0</formula>
    </cfRule>
    <cfRule type="expression" dxfId="44" priority="74">
      <formula>D3&lt;0</formula>
    </cfRule>
  </conditionalFormatting>
  <conditionalFormatting sqref="C4:C5">
    <cfRule type="expression" dxfId="43" priority="71">
      <formula>C4&gt;0</formula>
    </cfRule>
    <cfRule type="expression" dxfId="42" priority="72">
      <formula>C4&lt;0</formula>
    </cfRule>
  </conditionalFormatting>
  <conditionalFormatting sqref="D4:O5">
    <cfRule type="expression" dxfId="41" priority="69">
      <formula>D4&gt;0</formula>
    </cfRule>
    <cfRule type="expression" dxfId="40" priority="70">
      <formula>D4&lt;0</formula>
    </cfRule>
  </conditionalFormatting>
  <conditionalFormatting sqref="D65">
    <cfRule type="expression" dxfId="39" priority="67">
      <formula>D65&gt;0</formula>
    </cfRule>
    <cfRule type="expression" dxfId="38" priority="68">
      <formula>D65&lt;0</formula>
    </cfRule>
  </conditionalFormatting>
  <conditionalFormatting sqref="E65:O65">
    <cfRule type="expression" dxfId="37" priority="65">
      <formula>E65&gt;0</formula>
    </cfRule>
    <cfRule type="expression" dxfId="36" priority="66">
      <formula>E65&lt;0</formula>
    </cfRule>
  </conditionalFormatting>
  <conditionalFormatting sqref="A65">
    <cfRule type="expression" dxfId="35" priority="59">
      <formula>A65&gt;0</formula>
    </cfRule>
    <cfRule type="expression" dxfId="34" priority="60">
      <formula>A65&lt;0</formula>
    </cfRule>
  </conditionalFormatting>
  <conditionalFormatting sqref="D79:M79 O79">
    <cfRule type="expression" dxfId="33" priority="45">
      <formula>D79&gt;0</formula>
    </cfRule>
    <cfRule type="expression" dxfId="32" priority="46">
      <formula>D79&lt;0</formula>
    </cfRule>
  </conditionalFormatting>
  <conditionalFormatting sqref="N79">
    <cfRule type="expression" dxfId="31" priority="43">
      <formula>N79&gt;0</formula>
    </cfRule>
    <cfRule type="expression" dxfId="30" priority="44">
      <formula>N79&lt;0</formula>
    </cfRule>
  </conditionalFormatting>
  <conditionalFormatting sqref="Q3:AC3">
    <cfRule type="expression" dxfId="29" priority="39">
      <formula>Q3&gt;0</formula>
    </cfRule>
    <cfRule type="expression" dxfId="28" priority="40">
      <formula>Q3&lt;0</formula>
    </cfRule>
  </conditionalFormatting>
  <conditionalFormatting sqref="Q4:AC5">
    <cfRule type="expression" dxfId="27" priority="37">
      <formula>Q4&gt;0</formula>
    </cfRule>
    <cfRule type="expression" dxfId="26" priority="38">
      <formula>Q4&lt;0</formula>
    </cfRule>
  </conditionalFormatting>
  <conditionalFormatting sqref="Q65">
    <cfRule type="expression" dxfId="25" priority="35">
      <formula>Q65&gt;0</formula>
    </cfRule>
    <cfRule type="expression" dxfId="24" priority="36">
      <formula>Q65&lt;0</formula>
    </cfRule>
  </conditionalFormatting>
  <conditionalFormatting sqref="R65:AC65">
    <cfRule type="expression" dxfId="23" priority="33">
      <formula>R65&gt;0</formula>
    </cfRule>
    <cfRule type="expression" dxfId="22" priority="34">
      <formula>R65&lt;0</formula>
    </cfRule>
  </conditionalFormatting>
  <conditionalFormatting sqref="Q79:Z79 AB79:AC79">
    <cfRule type="expression" dxfId="21" priority="31">
      <formula>Q79&gt;0</formula>
    </cfRule>
    <cfRule type="expression" dxfId="20" priority="32">
      <formula>Q79&lt;0</formula>
    </cfRule>
  </conditionalFormatting>
  <conditionalFormatting sqref="AA79">
    <cfRule type="expression" dxfId="19" priority="29">
      <formula>AA79&gt;0</formula>
    </cfRule>
    <cfRule type="expression" dxfId="18" priority="30">
      <formula>AA79&lt;0</formula>
    </cfRule>
  </conditionalFormatting>
  <conditionalFormatting sqref="AD65:AF65">
    <cfRule type="expression" dxfId="17" priority="25">
      <formula>AD65&gt;0</formula>
    </cfRule>
    <cfRule type="expression" dxfId="16" priority="26">
      <formula>AD65&lt;0</formula>
    </cfRule>
  </conditionalFormatting>
  <conditionalFormatting sqref="AD5:AF5">
    <cfRule type="expression" dxfId="15" priority="27">
      <formula>AD5&gt;0</formula>
    </cfRule>
    <cfRule type="expression" dxfId="14" priority="28">
      <formula>AD5&lt;0</formula>
    </cfRule>
  </conditionalFormatting>
  <conditionalFormatting sqref="AD79:AF79">
    <cfRule type="expression" dxfId="13" priority="23">
      <formula>AD79&gt;0</formula>
    </cfRule>
    <cfRule type="expression" dxfId="12" priority="24">
      <formula>AD79&lt;0</formula>
    </cfRule>
  </conditionalFormatting>
  <conditionalFormatting sqref="AD3:AF3">
    <cfRule type="expression" dxfId="11" priority="21">
      <formula>AD3&gt;0</formula>
    </cfRule>
    <cfRule type="expression" dxfId="10" priority="22">
      <formula>AD3&lt;0</formula>
    </cfRule>
  </conditionalFormatting>
  <conditionalFormatting sqref="AD4:AF4">
    <cfRule type="expression" dxfId="9" priority="19">
      <formula>AD4&gt;0</formula>
    </cfRule>
    <cfRule type="expression" dxfId="8" priority="20">
      <formula>AD4&lt;0</formula>
    </cfRule>
  </conditionalFormatting>
  <conditionalFormatting sqref="P3">
    <cfRule type="expression" dxfId="7" priority="7">
      <formula>P3&gt;0</formula>
    </cfRule>
    <cfRule type="expression" dxfId="6" priority="8">
      <formula>P3&lt;0</formula>
    </cfRule>
  </conditionalFormatting>
  <conditionalFormatting sqref="P4:P5">
    <cfRule type="expression" dxfId="5" priority="5">
      <formula>P4&gt;0</formula>
    </cfRule>
    <cfRule type="expression" dxfId="4" priority="6">
      <formula>P4&lt;0</formula>
    </cfRule>
  </conditionalFormatting>
  <conditionalFormatting sqref="P65">
    <cfRule type="expression" dxfId="3" priority="3">
      <formula>P65&gt;0</formula>
    </cfRule>
    <cfRule type="expression" dxfId="2" priority="4">
      <formula>P65&lt;0</formula>
    </cfRule>
  </conditionalFormatting>
  <conditionalFormatting sqref="P79">
    <cfRule type="expression" dxfId="1" priority="1">
      <formula>P79&gt;0</formula>
    </cfRule>
    <cfRule type="expression" dxfId="0" priority="2">
      <formula>P79&lt;0</formula>
    </cfRule>
  </conditionalFormatting>
  <pageMargins left="0.2" right="0.2" top="0.4" bottom="0.4" header="0.1" footer="0.1"/>
  <pageSetup scale="43" orientation="landscape" r:id="rId1"/>
  <headerFooter>
    <oddHeader>&amp;CRapid Business Plan&amp;LTab 8: Profit and Loss</oddHeader>
    <oddFooter>&amp;L&amp;D&amp;CHeartland Information Research, Inc</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showGridLines="0" topLeftCell="A49" workbookViewId="0"/>
  </sheetViews>
  <sheetFormatPr defaultColWidth="8.85546875" defaultRowHeight="12.75"/>
  <cols>
    <col min="1" max="16384" width="8.85546875" style="181"/>
  </cols>
  <sheetData/>
  <printOptions horizontalCentered="1"/>
  <pageMargins left="0.34" right="0.28000000000000003"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N42"/>
  <sheetViews>
    <sheetView showGridLines="0" topLeftCell="A19" workbookViewId="0"/>
  </sheetViews>
  <sheetFormatPr defaultColWidth="18.7109375" defaultRowHeight="12.75" customHeight="1"/>
  <cols>
    <col min="1" max="1" width="24.28515625" style="181" bestFit="1" customWidth="1"/>
    <col min="2" max="2" width="10.42578125" style="181" bestFit="1" customWidth="1"/>
    <col min="3" max="3" width="7.28515625" style="190" customWidth="1"/>
    <col min="4" max="6" width="8.85546875" style="181" customWidth="1"/>
    <col min="7" max="16384" width="18.7109375" style="181"/>
  </cols>
  <sheetData>
    <row r="2" spans="8:14" ht="12.75" customHeight="1">
      <c r="H2" s="9"/>
      <c r="I2" s="76"/>
      <c r="J2" s="628"/>
      <c r="K2" s="628"/>
      <c r="L2" s="628"/>
      <c r="M2" s="628"/>
      <c r="N2" s="628"/>
    </row>
    <row r="3" spans="8:14" ht="12.75" customHeight="1">
      <c r="H3" s="9"/>
      <c r="I3" s="52"/>
      <c r="J3" s="23"/>
      <c r="K3" s="23"/>
      <c r="L3" s="23"/>
      <c r="M3" s="23"/>
      <c r="N3" s="23"/>
    </row>
    <row r="4" spans="8:14" ht="12.75" customHeight="1">
      <c r="H4" s="9"/>
      <c r="I4" s="52"/>
      <c r="J4" s="23"/>
      <c r="K4" s="23"/>
      <c r="L4" s="23"/>
      <c r="M4" s="23"/>
      <c r="N4" s="23"/>
    </row>
    <row r="5" spans="8:14" ht="12.75" customHeight="1">
      <c r="H5" s="9"/>
      <c r="I5" s="52"/>
      <c r="J5" s="23"/>
      <c r="K5" s="23"/>
      <c r="L5" s="23"/>
      <c r="M5" s="23"/>
      <c r="N5" s="23"/>
    </row>
    <row r="6" spans="8:14" ht="12.75" customHeight="1">
      <c r="H6" s="9"/>
      <c r="I6" s="52"/>
      <c r="J6" s="23"/>
      <c r="K6" s="23"/>
      <c r="L6" s="23"/>
      <c r="M6" s="23"/>
      <c r="N6" s="23"/>
    </row>
    <row r="7" spans="8:14" ht="12.75" customHeight="1">
      <c r="H7" s="9"/>
      <c r="I7" s="52"/>
      <c r="J7" s="23"/>
      <c r="K7" s="23"/>
      <c r="L7" s="23"/>
      <c r="M7" s="23"/>
      <c r="N7" s="23"/>
    </row>
    <row r="8" spans="8:14" ht="12.75" customHeight="1">
      <c r="H8" s="9"/>
      <c r="I8" s="52"/>
      <c r="J8" s="23"/>
      <c r="K8" s="23"/>
      <c r="L8" s="23"/>
      <c r="M8" s="23"/>
      <c r="N8" s="23"/>
    </row>
    <row r="9" spans="8:14" ht="12.75" customHeight="1">
      <c r="H9" s="9"/>
      <c r="I9" s="52"/>
      <c r="J9" s="23"/>
      <c r="K9" s="23"/>
      <c r="L9" s="23"/>
      <c r="M9" s="23"/>
      <c r="N9" s="23"/>
    </row>
    <row r="10" spans="8:14" ht="12.75" customHeight="1">
      <c r="H10" s="25"/>
      <c r="I10" s="52"/>
      <c r="J10" s="629"/>
      <c r="K10" s="629"/>
      <c r="L10" s="629"/>
      <c r="M10" s="629"/>
      <c r="N10" s="629"/>
    </row>
    <row r="19" spans="1:3" ht="13.5" thickBot="1">
      <c r="A19" s="191" t="s">
        <v>114</v>
      </c>
    </row>
    <row r="20" spans="1:3" ht="21" customHeight="1" thickBot="1">
      <c r="A20" s="192" t="s">
        <v>10</v>
      </c>
      <c r="B20" s="193">
        <f>'2. Operating Budget'!J5</f>
        <v>2135.2750000000001</v>
      </c>
    </row>
    <row r="21" spans="1:3">
      <c r="A21" s="194" t="str">
        <f>'8. P&amp;L and Cashflow'!B13</f>
        <v>Worker Wages</v>
      </c>
      <c r="B21" s="195">
        <f>'2. Operating Budget'!J7</f>
        <v>0</v>
      </c>
      <c r="C21" s="196">
        <f>B21/B$20</f>
        <v>0</v>
      </c>
    </row>
    <row r="22" spans="1:3">
      <c r="A22" s="194" t="str">
        <f>'8. P&amp;L and Cashflow'!B14</f>
        <v>Owner Pay</v>
      </c>
      <c r="B22" s="195">
        <f>'2. Operating Budget'!J8</f>
        <v>991</v>
      </c>
      <c r="C22" s="196">
        <f t="shared" ref="C22:C42" si="0">B22/B$20</f>
        <v>0.46410883844001355</v>
      </c>
    </row>
    <row r="23" spans="1:3">
      <c r="A23" s="198">
        <f>'8. P&amp;L and Cashflow'!B15</f>
        <v>0.15</v>
      </c>
      <c r="B23" s="195">
        <f>'2. Operating Budget'!J9</f>
        <v>148.65</v>
      </c>
      <c r="C23" s="196">
        <f t="shared" si="0"/>
        <v>6.9616325766002032E-2</v>
      </c>
    </row>
    <row r="24" spans="1:3">
      <c r="A24" s="194" t="str">
        <f>'8. P&amp;L and Cashflow'!B16</f>
        <v>Workers Comp</v>
      </c>
      <c r="B24" s="195">
        <f>'2. Operating Budget'!J10</f>
        <v>0</v>
      </c>
      <c r="C24" s="196">
        <f t="shared" si="0"/>
        <v>0</v>
      </c>
    </row>
    <row r="25" spans="1:3">
      <c r="A25" s="194" t="str">
        <f>'8. P&amp;L and Cashflow'!B17</f>
        <v>Rent</v>
      </c>
      <c r="B25" s="195">
        <f>'2. Operating Budget'!J11</f>
        <v>400</v>
      </c>
      <c r="C25" s="196">
        <f t="shared" si="0"/>
        <v>0.18732950088396108</v>
      </c>
    </row>
    <row r="26" spans="1:3">
      <c r="A26" s="194" t="str">
        <f>'8. P&amp;L and Cashflow'!B18</f>
        <v>Phone/Internet/Cell</v>
      </c>
      <c r="B26" s="195">
        <f>'2. Operating Budget'!J12</f>
        <v>150</v>
      </c>
      <c r="C26" s="196">
        <f t="shared" si="0"/>
        <v>7.0248562831485409E-2</v>
      </c>
    </row>
    <row r="27" spans="1:3">
      <c r="A27" s="194" t="str">
        <f>'8. P&amp;L and Cashflow'!B19</f>
        <v>Electricity</v>
      </c>
      <c r="B27" s="195">
        <f>'2. Operating Budget'!J13</f>
        <v>0</v>
      </c>
      <c r="C27" s="196">
        <f t="shared" si="0"/>
        <v>0</v>
      </c>
    </row>
    <row r="28" spans="1:3">
      <c r="A28" s="194" t="str">
        <f>'8. P&amp;L and Cashflow'!B20</f>
        <v>Dumpster/Waste</v>
      </c>
      <c r="B28" s="195">
        <f>'2. Operating Budget'!J14</f>
        <v>0</v>
      </c>
      <c r="C28" s="196">
        <f t="shared" si="0"/>
        <v>0</v>
      </c>
    </row>
    <row r="29" spans="1:3">
      <c r="A29" s="194" t="str">
        <f>'8. P&amp;L and Cashflow'!B21</f>
        <v>Liability Insurance</v>
      </c>
      <c r="B29" s="195">
        <f>'2. Operating Budget'!J15</f>
        <v>41.666666666666664</v>
      </c>
      <c r="C29" s="196">
        <f t="shared" si="0"/>
        <v>1.951348967541261E-2</v>
      </c>
    </row>
    <row r="30" spans="1:3">
      <c r="A30" s="194" t="str">
        <f>'8. P&amp;L and Cashflow'!B22</f>
        <v/>
      </c>
      <c r="B30" s="195">
        <f>'2. Operating Budget'!J16</f>
        <v>0</v>
      </c>
      <c r="C30" s="196">
        <f t="shared" si="0"/>
        <v>0</v>
      </c>
    </row>
    <row r="31" spans="1:3">
      <c r="A31" s="194" t="str">
        <f>'8. P&amp;L and Cashflow'!B23</f>
        <v/>
      </c>
      <c r="B31" s="195">
        <f>'2. Operating Budget'!J17</f>
        <v>0</v>
      </c>
      <c r="C31" s="196">
        <f t="shared" si="0"/>
        <v>0</v>
      </c>
    </row>
    <row r="32" spans="1:3">
      <c r="A32" s="194" t="str">
        <f>'8. P&amp;L and Cashflow'!B24</f>
        <v/>
      </c>
      <c r="B32" s="195">
        <f>'2. Operating Budget'!J18</f>
        <v>0</v>
      </c>
      <c r="C32" s="196">
        <f t="shared" si="0"/>
        <v>0</v>
      </c>
    </row>
    <row r="33" spans="1:3">
      <c r="A33" s="194" t="str">
        <f>'8. P&amp;L and Cashflow'!B25</f>
        <v>Licenses</v>
      </c>
      <c r="B33" s="195">
        <f>'2. Operating Budget'!J19</f>
        <v>12.5</v>
      </c>
      <c r="C33" s="196">
        <f t="shared" si="0"/>
        <v>5.8540469026237838E-3</v>
      </c>
    </row>
    <row r="34" spans="1:3">
      <c r="A34" s="194" t="str">
        <f>'8. P&amp;L and Cashflow'!B26</f>
        <v/>
      </c>
      <c r="B34" s="195">
        <f>'2. Operating Budget'!J20</f>
        <v>0</v>
      </c>
      <c r="C34" s="196">
        <f t="shared" si="0"/>
        <v>0</v>
      </c>
    </row>
    <row r="35" spans="1:3">
      <c r="A35" s="194" t="str">
        <f>'8. P&amp;L and Cashflow'!B27</f>
        <v>Advertising Expenses</v>
      </c>
      <c r="B35" s="195">
        <f>'2. Operating Budget'!J21</f>
        <v>86.25</v>
      </c>
      <c r="C35" s="196">
        <f t="shared" si="0"/>
        <v>4.0392923628104108E-2</v>
      </c>
    </row>
    <row r="36" spans="1:3">
      <c r="A36" s="194" t="str">
        <f>'8. P&amp;L and Cashflow'!B28</f>
        <v/>
      </c>
      <c r="B36" s="195">
        <f>'2. Operating Budget'!J22</f>
        <v>0</v>
      </c>
      <c r="C36" s="196">
        <f t="shared" si="0"/>
        <v>0</v>
      </c>
    </row>
    <row r="37" spans="1:3">
      <c r="A37" s="194" t="str">
        <f>'8. P&amp;L and Cashflow'!B47</f>
        <v/>
      </c>
      <c r="B37" s="195">
        <f>'2. Operating Budget'!J23</f>
        <v>0</v>
      </c>
      <c r="C37" s="196">
        <f t="shared" si="0"/>
        <v>0</v>
      </c>
    </row>
    <row r="38" spans="1:3">
      <c r="A38" s="194" t="str">
        <f>'8. P&amp;L and Cashflow'!B48</f>
        <v/>
      </c>
      <c r="B38" s="195">
        <f>'2. Operating Budget'!J24</f>
        <v>0</v>
      </c>
      <c r="C38" s="196">
        <f t="shared" si="0"/>
        <v>0</v>
      </c>
    </row>
    <row r="39" spans="1:3">
      <c r="A39" s="194" t="str">
        <f>'8. P&amp;L and Cashflow'!B49</f>
        <v/>
      </c>
      <c r="B39" s="195">
        <f>'2. Operating Budget'!J25</f>
        <v>0</v>
      </c>
      <c r="C39" s="196">
        <f t="shared" si="0"/>
        <v>0</v>
      </c>
    </row>
    <row r="40" spans="1:3">
      <c r="A40" s="194" t="str">
        <f>'8. P&amp;L and Cashflow'!B50</f>
        <v>Other</v>
      </c>
      <c r="B40" s="195">
        <f>'2. Operating Budget'!J26</f>
        <v>0</v>
      </c>
      <c r="C40" s="196">
        <f t="shared" si="0"/>
        <v>0</v>
      </c>
    </row>
    <row r="41" spans="1:3">
      <c r="A41" s="194" t="str">
        <f>'8. P&amp;L and Cashflow'!B51</f>
        <v>Depreciation</v>
      </c>
      <c r="B41" s="197">
        <f>'8. P&amp;L and Cashflow'!C51/12</f>
        <v>24.849126984126983</v>
      </c>
      <c r="C41" s="196">
        <f t="shared" si="0"/>
        <v>1.1637436388346691E-2</v>
      </c>
    </row>
    <row r="42" spans="1:3">
      <c r="A42" s="194">
        <f>'8. P&amp;L and Cashflow'!B52</f>
        <v>0</v>
      </c>
      <c r="B42" s="197">
        <f>'8. P&amp;L and Cashflow'!C52/12</f>
        <v>0</v>
      </c>
      <c r="C42" s="196">
        <f t="shared" si="0"/>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39"/>
  <sheetViews>
    <sheetView zoomScaleNormal="100" zoomScalePageLayoutView="40" workbookViewId="0">
      <pane xSplit="3" ySplit="7" topLeftCell="F11" activePane="bottomRight" state="frozenSplit"/>
      <selection pane="topRight" activeCell="E1" sqref="E1"/>
      <selection pane="bottomLeft" activeCell="A19" sqref="A19"/>
      <selection pane="bottomRight" activeCell="P28" sqref="P28"/>
    </sheetView>
  </sheetViews>
  <sheetFormatPr defaultColWidth="8.85546875" defaultRowHeight="12.75"/>
  <cols>
    <col min="1" max="1" width="8.85546875" style="10"/>
    <col min="2" max="2" width="33" style="10" bestFit="1" customWidth="1"/>
    <col min="3" max="3" width="14.7109375" style="10" customWidth="1"/>
    <col min="4" max="32" width="10.7109375" style="10" customWidth="1"/>
    <col min="33" max="16384" width="8.85546875" style="10"/>
  </cols>
  <sheetData>
    <row r="1" spans="1:32">
      <c r="A1" s="10" t="str">
        <f>'0. Basic Info'!D11</f>
        <v>ACME 5 Year</v>
      </c>
      <c r="B1" s="72"/>
      <c r="C1" s="44" t="s">
        <v>276</v>
      </c>
    </row>
    <row r="2" spans="1:32" hidden="1">
      <c r="B2" s="72"/>
      <c r="C2" s="44"/>
    </row>
    <row r="3" spans="1:32" hidden="1">
      <c r="B3" s="72"/>
      <c r="C3" s="44"/>
    </row>
    <row r="4" spans="1:32" customFormat="1" hidden="1">
      <c r="A4" s="553"/>
      <c r="B4" s="554"/>
      <c r="C4" s="554"/>
      <c r="D4" s="552">
        <f t="shared" ref="D4:O4" si="0">DAY(DATE(YEAR(D8),MONTH(D8)+1,1)-1)</f>
        <v>31</v>
      </c>
      <c r="E4" s="552">
        <f t="shared" si="0"/>
        <v>29</v>
      </c>
      <c r="F4" s="552">
        <f t="shared" si="0"/>
        <v>31</v>
      </c>
      <c r="G4" s="552">
        <f t="shared" si="0"/>
        <v>30</v>
      </c>
      <c r="H4" s="552">
        <f t="shared" si="0"/>
        <v>31</v>
      </c>
      <c r="I4" s="552">
        <f t="shared" si="0"/>
        <v>30</v>
      </c>
      <c r="J4" s="552">
        <f t="shared" si="0"/>
        <v>31</v>
      </c>
      <c r="K4" s="552">
        <f t="shared" si="0"/>
        <v>31</v>
      </c>
      <c r="L4" s="552">
        <f t="shared" si="0"/>
        <v>30</v>
      </c>
      <c r="M4" s="552">
        <f t="shared" si="0"/>
        <v>31</v>
      </c>
      <c r="N4" s="552">
        <f t="shared" si="0"/>
        <v>30</v>
      </c>
      <c r="O4" s="552">
        <f t="shared" si="0"/>
        <v>31</v>
      </c>
      <c r="P4" s="552">
        <f t="shared" ref="P4:AF4" si="1">DAY(DATE(YEAR(P6),MONTH(P6)+1,1)-1)</f>
        <v>31</v>
      </c>
      <c r="Q4" s="552">
        <f t="shared" ref="Q4:AB4" si="2">DAY(DATE(YEAR(Q8),MONTH(Q8)+1,1)-1)</f>
        <v>31</v>
      </c>
      <c r="R4" s="552">
        <f t="shared" si="2"/>
        <v>28</v>
      </c>
      <c r="S4" s="552">
        <f t="shared" si="2"/>
        <v>31</v>
      </c>
      <c r="T4" s="552">
        <f t="shared" si="2"/>
        <v>30</v>
      </c>
      <c r="U4" s="552">
        <f t="shared" si="2"/>
        <v>31</v>
      </c>
      <c r="V4" s="552">
        <f t="shared" si="2"/>
        <v>30</v>
      </c>
      <c r="W4" s="552">
        <f t="shared" si="2"/>
        <v>31</v>
      </c>
      <c r="X4" s="552">
        <f t="shared" si="2"/>
        <v>31</v>
      </c>
      <c r="Y4" s="552">
        <f t="shared" si="2"/>
        <v>30</v>
      </c>
      <c r="Z4" s="552">
        <f t="shared" si="2"/>
        <v>31</v>
      </c>
      <c r="AA4" s="552">
        <f t="shared" si="2"/>
        <v>30</v>
      </c>
      <c r="AB4" s="552">
        <f t="shared" si="2"/>
        <v>31</v>
      </c>
      <c r="AC4" s="552">
        <f t="shared" si="1"/>
        <v>31</v>
      </c>
      <c r="AD4" s="552">
        <f t="shared" si="1"/>
        <v>31</v>
      </c>
      <c r="AE4" s="552">
        <f t="shared" si="1"/>
        <v>31</v>
      </c>
      <c r="AF4" s="552">
        <f t="shared" si="1"/>
        <v>31</v>
      </c>
    </row>
    <row r="5" spans="1:32" hidden="1">
      <c r="B5" s="72"/>
      <c r="C5" s="44"/>
    </row>
    <row r="6" spans="1:32">
      <c r="B6" s="72"/>
      <c r="C6" s="44"/>
    </row>
    <row r="7" spans="1:32" ht="13.5" thickBot="1">
      <c r="B7" s="44"/>
      <c r="C7" s="529"/>
    </row>
    <row r="8" spans="1:32" ht="13.5" thickBot="1">
      <c r="B8" s="555" t="s">
        <v>302</v>
      </c>
      <c r="C8" s="582" t="s">
        <v>297</v>
      </c>
      <c r="D8" s="562">
        <f>DATEVALUE('0. Basic Info'!D17&amp;"/1/"&amp;'0. Basic Info'!D16)</f>
        <v>42370</v>
      </c>
      <c r="E8" s="556">
        <f t="shared" ref="E8:O8" si="3">D8+D4</f>
        <v>42401</v>
      </c>
      <c r="F8" s="556">
        <f t="shared" si="3"/>
        <v>42430</v>
      </c>
      <c r="G8" s="556">
        <f t="shared" si="3"/>
        <v>42461</v>
      </c>
      <c r="H8" s="556">
        <f t="shared" si="3"/>
        <v>42491</v>
      </c>
      <c r="I8" s="556">
        <f t="shared" si="3"/>
        <v>42522</v>
      </c>
      <c r="J8" s="556">
        <f t="shared" si="3"/>
        <v>42552</v>
      </c>
      <c r="K8" s="556">
        <f t="shared" si="3"/>
        <v>42583</v>
      </c>
      <c r="L8" s="556">
        <f t="shared" si="3"/>
        <v>42614</v>
      </c>
      <c r="M8" s="556">
        <f t="shared" si="3"/>
        <v>42644</v>
      </c>
      <c r="N8" s="556">
        <f t="shared" si="3"/>
        <v>42675</v>
      </c>
      <c r="O8" s="570">
        <f t="shared" si="3"/>
        <v>42705</v>
      </c>
      <c r="P8" s="571">
        <f>IF('0. Basic Info'!$D$17=1,'0. Basic Info'!$D$16,"Year 1")</f>
        <v>2016</v>
      </c>
      <c r="Q8" s="562">
        <f>O8+O4</f>
        <v>42736</v>
      </c>
      <c r="R8" s="556">
        <f t="shared" ref="R8:AB8" si="4">Q8+Q4</f>
        <v>42767</v>
      </c>
      <c r="S8" s="556">
        <f t="shared" si="4"/>
        <v>42795</v>
      </c>
      <c r="T8" s="556">
        <f t="shared" si="4"/>
        <v>42826</v>
      </c>
      <c r="U8" s="556">
        <f t="shared" si="4"/>
        <v>42856</v>
      </c>
      <c r="V8" s="556">
        <f t="shared" si="4"/>
        <v>42887</v>
      </c>
      <c r="W8" s="556">
        <f t="shared" si="4"/>
        <v>42917</v>
      </c>
      <c r="X8" s="556">
        <f t="shared" si="4"/>
        <v>42948</v>
      </c>
      <c r="Y8" s="556">
        <f t="shared" si="4"/>
        <v>42979</v>
      </c>
      <c r="Z8" s="556">
        <f t="shared" si="4"/>
        <v>43009</v>
      </c>
      <c r="AA8" s="556">
        <f t="shared" si="4"/>
        <v>43040</v>
      </c>
      <c r="AB8" s="570">
        <f t="shared" si="4"/>
        <v>43070</v>
      </c>
      <c r="AC8" s="571">
        <f>IF('0. Basic Info'!$D$17=1,'0. Basic Info'!$D$16+1,"Year 2")</f>
        <v>2017</v>
      </c>
      <c r="AD8" s="571">
        <f>IF('0. Basic Info'!$D$17=1,'0. Basic Info'!$D$16+2,"Year 3")</f>
        <v>2018</v>
      </c>
      <c r="AE8" s="571">
        <f>IF('0. Basic Info'!$D$17=1,'0. Basic Info'!$D$16+3,"Year 4")</f>
        <v>2019</v>
      </c>
      <c r="AF8" s="571">
        <f>IF('0. Basic Info'!$D$17=1,'0. Basic Info'!$D$16+4,"Year 5")</f>
        <v>2020</v>
      </c>
    </row>
    <row r="9" spans="1:32">
      <c r="B9" s="539" t="s">
        <v>277</v>
      </c>
      <c r="C9" s="583"/>
      <c r="D9" s="577"/>
      <c r="E9" s="563"/>
      <c r="F9" s="563"/>
      <c r="G9" s="563"/>
      <c r="H9" s="563"/>
      <c r="I9" s="563"/>
      <c r="J9" s="563"/>
      <c r="K9" s="563"/>
      <c r="L9" s="563"/>
      <c r="M9" s="563"/>
      <c r="N9" s="563"/>
      <c r="O9" s="557"/>
      <c r="P9" s="572"/>
      <c r="Q9" s="577"/>
      <c r="R9" s="563"/>
      <c r="S9" s="563"/>
      <c r="T9" s="563"/>
      <c r="U9" s="563"/>
      <c r="V9" s="563"/>
      <c r="W9" s="563"/>
      <c r="X9" s="563"/>
      <c r="Y9" s="563"/>
      <c r="Z9" s="563"/>
      <c r="AA9" s="563"/>
      <c r="AB9" s="557"/>
      <c r="AC9" s="572"/>
      <c r="AD9" s="572"/>
      <c r="AE9" s="572"/>
      <c r="AF9" s="572"/>
    </row>
    <row r="10" spans="1:32">
      <c r="B10" s="548" t="s">
        <v>278</v>
      </c>
      <c r="C10" s="568">
        <v>0</v>
      </c>
      <c r="D10" s="578">
        <f>'8. P&amp;L and Cashflow'!D79</f>
        <v>8058.8028117434178</v>
      </c>
      <c r="E10" s="564">
        <f>'8. P&amp;L and Cashflow'!E79</f>
        <v>9219.0769039387687</v>
      </c>
      <c r="F10" s="564">
        <f>'8. P&amp;L and Cashflow'!F79</f>
        <v>10565.361656438014</v>
      </c>
      <c r="G10" s="564">
        <f>'8. P&amp;L and Cashflow'!G79</f>
        <v>10518.345518060456</v>
      </c>
      <c r="H10" s="564">
        <f>'8. P&amp;L and Cashflow'!H79</f>
        <v>10471.247657078633</v>
      </c>
      <c r="I10" s="564">
        <f>'8. P&amp;L and Cashflow'!I79</f>
        <v>10424.067630828438</v>
      </c>
      <c r="J10" s="564">
        <f>'8. P&amp;L and Cashflow'!J79</f>
        <v>10376.804994248001</v>
      </c>
      <c r="K10" s="564">
        <f>'8. P&amp;L and Cashflow'!K79</f>
        <v>10329.4592998647</v>
      </c>
      <c r="L10" s="564">
        <f>'8. P&amp;L and Cashflow'!L79</f>
        <v>10282.030097782103</v>
      </c>
      <c r="M10" s="564">
        <f>'8. P&amp;L and Cashflow'!M79</f>
        <v>10234.516935666838</v>
      </c>
      <c r="N10" s="564">
        <f>'8. P&amp;L and Cashflow'!N79</f>
        <v>10186.919358735393</v>
      </c>
      <c r="O10" s="558">
        <f>'8. P&amp;L and Cashflow'!O79</f>
        <v>10139.23690974085</v>
      </c>
      <c r="P10" s="573">
        <f>O10</f>
        <v>10139.23690974085</v>
      </c>
      <c r="Q10" s="578">
        <f>'8. P&amp;L and Cashflow'!Q65</f>
        <v>10139.23690974085</v>
      </c>
      <c r="R10" s="564">
        <f>'8. P&amp;L and Cashflow'!R79</f>
        <v>10462.910325169356</v>
      </c>
      <c r="S10" s="564">
        <f>'8. P&amp;L and Cashflow'!S79</f>
        <v>10624.617877165178</v>
      </c>
      <c r="T10" s="564">
        <f>'8. P&amp;L and Cashflow'!T79</f>
        <v>10786.238703208153</v>
      </c>
      <c r="U10" s="564">
        <f>'8. P&amp;L and Cashflow'!U79</f>
        <v>10947.772333532705</v>
      </c>
      <c r="V10" s="564">
        <f>'8. P&amp;L and Cashflow'!V79</f>
        <v>11109.218295828692</v>
      </c>
      <c r="W10" s="564">
        <f>'8. P&amp;L and Cashflow'!W79</f>
        <v>11270.576115227626</v>
      </c>
      <c r="X10" s="564">
        <f>'8. P&amp;L and Cashflow'!X79</f>
        <v>11431.845314288814</v>
      </c>
      <c r="Y10" s="564">
        <f>'8. P&amp;L and Cashflow'!Y79</f>
        <v>11593.025412985427</v>
      </c>
      <c r="Z10" s="564">
        <f>'8. P&amp;L and Cashflow'!Z79</f>
        <v>11754.115928690491</v>
      </c>
      <c r="AA10" s="564">
        <f>'8. P&amp;L and Cashflow'!AA79</f>
        <v>11915.116376162801</v>
      </c>
      <c r="AB10" s="558">
        <f>'8. P&amp;L and Cashflow'!AB79</f>
        <v>12076.026267532763</v>
      </c>
      <c r="AC10" s="573">
        <f>AB10</f>
        <v>12076.026267532763</v>
      </c>
      <c r="AD10" s="573">
        <f>'8. P&amp;L and Cashflow'!AD79</f>
        <v>16274.549168618763</v>
      </c>
      <c r="AE10" s="573">
        <f>'8. P&amp;L and Cashflow'!AE79</f>
        <v>26319.954297190197</v>
      </c>
      <c r="AF10" s="573">
        <f>'8. P&amp;L and Cashflow'!AF79</f>
        <v>39589.488900761629</v>
      </c>
    </row>
    <row r="11" spans="1:32">
      <c r="B11" s="549" t="s">
        <v>279</v>
      </c>
      <c r="C11" s="568">
        <v>0</v>
      </c>
      <c r="D11" s="579">
        <v>0</v>
      </c>
      <c r="E11" s="565">
        <v>0</v>
      </c>
      <c r="F11" s="565">
        <v>0</v>
      </c>
      <c r="G11" s="565">
        <v>0</v>
      </c>
      <c r="H11" s="565">
        <v>0</v>
      </c>
      <c r="I11" s="565">
        <v>0</v>
      </c>
      <c r="J11" s="565">
        <v>0</v>
      </c>
      <c r="K11" s="565">
        <v>0</v>
      </c>
      <c r="L11" s="565">
        <v>0</v>
      </c>
      <c r="M11" s="565">
        <v>0</v>
      </c>
      <c r="N11" s="565">
        <v>0</v>
      </c>
      <c r="O11" s="559">
        <v>0</v>
      </c>
      <c r="P11" s="574">
        <v>0</v>
      </c>
      <c r="Q11" s="579">
        <v>0</v>
      </c>
      <c r="R11" s="565">
        <v>0</v>
      </c>
      <c r="S11" s="565">
        <v>0</v>
      </c>
      <c r="T11" s="565">
        <v>0</v>
      </c>
      <c r="U11" s="565">
        <v>0</v>
      </c>
      <c r="V11" s="565">
        <v>0</v>
      </c>
      <c r="W11" s="565">
        <v>0</v>
      </c>
      <c r="X11" s="565">
        <v>0</v>
      </c>
      <c r="Y11" s="565">
        <v>0</v>
      </c>
      <c r="Z11" s="565">
        <v>0</v>
      </c>
      <c r="AA11" s="565">
        <v>0</v>
      </c>
      <c r="AB11" s="559">
        <v>0</v>
      </c>
      <c r="AC11" s="574">
        <v>0</v>
      </c>
      <c r="AD11" s="574">
        <v>0</v>
      </c>
      <c r="AE11" s="574">
        <v>0</v>
      </c>
      <c r="AF11" s="574">
        <v>0</v>
      </c>
    </row>
    <row r="12" spans="1:32">
      <c r="B12" s="548" t="s">
        <v>280</v>
      </c>
      <c r="C12" s="568">
        <v>0</v>
      </c>
      <c r="D12" s="579">
        <f>'8. P&amp;L and Cashflow'!D73</f>
        <v>0</v>
      </c>
      <c r="E12" s="565">
        <f>'8. P&amp;L and Cashflow'!E73</f>
        <v>0</v>
      </c>
      <c r="F12" s="565">
        <f>'8. P&amp;L and Cashflow'!F73</f>
        <v>0</v>
      </c>
      <c r="G12" s="565">
        <f>'8. P&amp;L and Cashflow'!G73</f>
        <v>0</v>
      </c>
      <c r="H12" s="565">
        <f>'8. P&amp;L and Cashflow'!H73</f>
        <v>0</v>
      </c>
      <c r="I12" s="565">
        <f>'8. P&amp;L and Cashflow'!I73</f>
        <v>0</v>
      </c>
      <c r="J12" s="565">
        <f>'8. P&amp;L and Cashflow'!J73</f>
        <v>0</v>
      </c>
      <c r="K12" s="565">
        <f>'8. P&amp;L and Cashflow'!K73</f>
        <v>0</v>
      </c>
      <c r="L12" s="565">
        <f>'8. P&amp;L and Cashflow'!L73</f>
        <v>0</v>
      </c>
      <c r="M12" s="565">
        <f>'8. P&amp;L and Cashflow'!M73</f>
        <v>0</v>
      </c>
      <c r="N12" s="565">
        <f>'8. P&amp;L and Cashflow'!N73</f>
        <v>0</v>
      </c>
      <c r="O12" s="559">
        <f>'8. P&amp;L and Cashflow'!O73</f>
        <v>0</v>
      </c>
      <c r="P12" s="574">
        <f>O12</f>
        <v>0</v>
      </c>
      <c r="Q12" s="579">
        <f>'8. P&amp;L and Cashflow'!Q73</f>
        <v>0</v>
      </c>
      <c r="R12" s="565">
        <f>'8. P&amp;L and Cashflow'!R73</f>
        <v>0</v>
      </c>
      <c r="S12" s="565">
        <f>'8. P&amp;L and Cashflow'!S73</f>
        <v>0</v>
      </c>
      <c r="T12" s="565">
        <f>'8. P&amp;L and Cashflow'!T73</f>
        <v>0</v>
      </c>
      <c r="U12" s="565">
        <f>'8. P&amp;L and Cashflow'!U73</f>
        <v>0</v>
      </c>
      <c r="V12" s="565">
        <f>'8. P&amp;L and Cashflow'!V73</f>
        <v>0</v>
      </c>
      <c r="W12" s="565">
        <f>'8. P&amp;L and Cashflow'!W73</f>
        <v>0</v>
      </c>
      <c r="X12" s="565">
        <f>'8. P&amp;L and Cashflow'!X73</f>
        <v>0</v>
      </c>
      <c r="Y12" s="565">
        <f>'8. P&amp;L and Cashflow'!Y73</f>
        <v>0</v>
      </c>
      <c r="Z12" s="565">
        <f>'8. P&amp;L and Cashflow'!Z73</f>
        <v>0</v>
      </c>
      <c r="AA12" s="565">
        <f>'8. P&amp;L and Cashflow'!AA73</f>
        <v>0</v>
      </c>
      <c r="AB12" s="559">
        <f>'8. P&amp;L and Cashflow'!AB73</f>
        <v>0</v>
      </c>
      <c r="AC12" s="574">
        <f>'8. P&amp;L and Cashflow'!AC73</f>
        <v>0</v>
      </c>
      <c r="AD12" s="574">
        <f>'8. P&amp;L and Cashflow'!AD73</f>
        <v>0</v>
      </c>
      <c r="AE12" s="574">
        <f>'8. P&amp;L and Cashflow'!AE73</f>
        <v>0</v>
      </c>
      <c r="AF12" s="574">
        <f>'8. P&amp;L and Cashflow'!AF73</f>
        <v>0</v>
      </c>
    </row>
    <row r="13" spans="1:32" hidden="1">
      <c r="B13" s="530" t="s">
        <v>281</v>
      </c>
      <c r="C13" s="568">
        <v>0</v>
      </c>
      <c r="D13" s="578">
        <v>0</v>
      </c>
      <c r="E13" s="564">
        <v>0</v>
      </c>
      <c r="F13" s="564">
        <v>0</v>
      </c>
      <c r="G13" s="564">
        <v>0</v>
      </c>
      <c r="H13" s="564">
        <v>0</v>
      </c>
      <c r="I13" s="564">
        <v>0</v>
      </c>
      <c r="J13" s="564">
        <v>0</v>
      </c>
      <c r="K13" s="564">
        <v>0</v>
      </c>
      <c r="L13" s="564">
        <v>0</v>
      </c>
      <c r="M13" s="564">
        <v>0</v>
      </c>
      <c r="N13" s="564">
        <v>0</v>
      </c>
      <c r="O13" s="558">
        <v>0</v>
      </c>
      <c r="P13" s="573">
        <v>0</v>
      </c>
      <c r="Q13" s="578">
        <v>0</v>
      </c>
      <c r="R13" s="564">
        <v>0</v>
      </c>
      <c r="S13" s="564">
        <v>0</v>
      </c>
      <c r="T13" s="564">
        <v>0</v>
      </c>
      <c r="U13" s="564">
        <v>0</v>
      </c>
      <c r="V13" s="564">
        <v>0</v>
      </c>
      <c r="W13" s="564">
        <v>0</v>
      </c>
      <c r="X13" s="564">
        <v>0</v>
      </c>
      <c r="Y13" s="564">
        <v>0</v>
      </c>
      <c r="Z13" s="564">
        <v>0</v>
      </c>
      <c r="AA13" s="564">
        <v>0</v>
      </c>
      <c r="AB13" s="558">
        <v>0</v>
      </c>
      <c r="AC13" s="573">
        <v>0</v>
      </c>
      <c r="AD13" s="573">
        <v>0</v>
      </c>
      <c r="AE13" s="573">
        <v>0</v>
      </c>
      <c r="AF13" s="573">
        <v>0</v>
      </c>
    </row>
    <row r="14" spans="1:32" ht="13.5" thickBot="1">
      <c r="B14" s="540" t="s">
        <v>282</v>
      </c>
      <c r="C14" s="569">
        <f>SUM(C10:C13)</f>
        <v>0</v>
      </c>
      <c r="D14" s="580">
        <f t="shared" ref="D14:AF14" si="5">SUM(D10:D13)</f>
        <v>8058.8028117434178</v>
      </c>
      <c r="E14" s="566">
        <f t="shared" si="5"/>
        <v>9219.0769039387687</v>
      </c>
      <c r="F14" s="566">
        <f t="shared" si="5"/>
        <v>10565.361656438014</v>
      </c>
      <c r="G14" s="566">
        <f t="shared" si="5"/>
        <v>10518.345518060456</v>
      </c>
      <c r="H14" s="566">
        <f t="shared" si="5"/>
        <v>10471.247657078633</v>
      </c>
      <c r="I14" s="566">
        <f t="shared" si="5"/>
        <v>10424.067630828438</v>
      </c>
      <c r="J14" s="566">
        <f t="shared" si="5"/>
        <v>10376.804994248001</v>
      </c>
      <c r="K14" s="566">
        <f t="shared" si="5"/>
        <v>10329.4592998647</v>
      </c>
      <c r="L14" s="566">
        <f t="shared" si="5"/>
        <v>10282.030097782103</v>
      </c>
      <c r="M14" s="566">
        <f t="shared" si="5"/>
        <v>10234.516935666838</v>
      </c>
      <c r="N14" s="566">
        <f t="shared" si="5"/>
        <v>10186.919358735393</v>
      </c>
      <c r="O14" s="560">
        <f t="shared" si="5"/>
        <v>10139.23690974085</v>
      </c>
      <c r="P14" s="575">
        <f t="shared" si="5"/>
        <v>10139.23690974085</v>
      </c>
      <c r="Q14" s="580">
        <f t="shared" si="5"/>
        <v>10139.23690974085</v>
      </c>
      <c r="R14" s="566">
        <f t="shared" si="5"/>
        <v>10462.910325169356</v>
      </c>
      <c r="S14" s="566">
        <f t="shared" si="5"/>
        <v>10624.617877165178</v>
      </c>
      <c r="T14" s="566">
        <f t="shared" si="5"/>
        <v>10786.238703208153</v>
      </c>
      <c r="U14" s="566">
        <f t="shared" si="5"/>
        <v>10947.772333532705</v>
      </c>
      <c r="V14" s="566">
        <f t="shared" si="5"/>
        <v>11109.218295828692</v>
      </c>
      <c r="W14" s="566">
        <f t="shared" si="5"/>
        <v>11270.576115227626</v>
      </c>
      <c r="X14" s="566">
        <f t="shared" si="5"/>
        <v>11431.845314288814</v>
      </c>
      <c r="Y14" s="566">
        <f t="shared" si="5"/>
        <v>11593.025412985427</v>
      </c>
      <c r="Z14" s="566">
        <f t="shared" si="5"/>
        <v>11754.115928690491</v>
      </c>
      <c r="AA14" s="566">
        <f t="shared" si="5"/>
        <v>11915.116376162801</v>
      </c>
      <c r="AB14" s="560">
        <f t="shared" si="5"/>
        <v>12076.026267532763</v>
      </c>
      <c r="AC14" s="575">
        <f t="shared" si="5"/>
        <v>12076.026267532763</v>
      </c>
      <c r="AD14" s="575">
        <f t="shared" si="5"/>
        <v>16274.549168618763</v>
      </c>
      <c r="AE14" s="575">
        <f t="shared" si="5"/>
        <v>26319.954297190197</v>
      </c>
      <c r="AF14" s="575">
        <f t="shared" si="5"/>
        <v>39589.488900761629</v>
      </c>
    </row>
    <row r="15" spans="1:32">
      <c r="B15" s="539" t="s">
        <v>283</v>
      </c>
      <c r="C15" s="583"/>
      <c r="D15" s="577"/>
      <c r="E15" s="563"/>
      <c r="F15" s="563"/>
      <c r="G15" s="563"/>
      <c r="H15" s="563"/>
      <c r="I15" s="563"/>
      <c r="J15" s="563"/>
      <c r="K15" s="563"/>
      <c r="L15" s="563"/>
      <c r="M15" s="563"/>
      <c r="N15" s="563"/>
      <c r="O15" s="557"/>
      <c r="P15" s="572"/>
      <c r="Q15" s="577"/>
      <c r="R15" s="563"/>
      <c r="S15" s="563"/>
      <c r="T15" s="563"/>
      <c r="U15" s="563"/>
      <c r="V15" s="563"/>
      <c r="W15" s="563"/>
      <c r="X15" s="563"/>
      <c r="Y15" s="563"/>
      <c r="Z15" s="563"/>
      <c r="AA15" s="563"/>
      <c r="AB15" s="557"/>
      <c r="AC15" s="572"/>
      <c r="AD15" s="572"/>
      <c r="AE15" s="572"/>
      <c r="AF15" s="572"/>
    </row>
    <row r="16" spans="1:32">
      <c r="B16" s="548" t="s">
        <v>283</v>
      </c>
      <c r="C16" s="568">
        <f>'7. Funding Plan'!C7+'7. Funding Plan'!C8</f>
        <v>2479.6999999999998</v>
      </c>
      <c r="D16" s="578">
        <f>C16</f>
        <v>2479.6999999999998</v>
      </c>
      <c r="E16" s="564">
        <f t="shared" ref="E16:AF16" si="6">D16</f>
        <v>2479.6999999999998</v>
      </c>
      <c r="F16" s="564">
        <f t="shared" si="6"/>
        <v>2479.6999999999998</v>
      </c>
      <c r="G16" s="564">
        <f t="shared" si="6"/>
        <v>2479.6999999999998</v>
      </c>
      <c r="H16" s="564">
        <f t="shared" si="6"/>
        <v>2479.6999999999998</v>
      </c>
      <c r="I16" s="564">
        <f t="shared" si="6"/>
        <v>2479.6999999999998</v>
      </c>
      <c r="J16" s="564">
        <f t="shared" si="6"/>
        <v>2479.6999999999998</v>
      </c>
      <c r="K16" s="564">
        <f t="shared" si="6"/>
        <v>2479.6999999999998</v>
      </c>
      <c r="L16" s="564">
        <f t="shared" si="6"/>
        <v>2479.6999999999998</v>
      </c>
      <c r="M16" s="564">
        <f t="shared" si="6"/>
        <v>2479.6999999999998</v>
      </c>
      <c r="N16" s="564">
        <f t="shared" si="6"/>
        <v>2479.6999999999998</v>
      </c>
      <c r="O16" s="558">
        <f t="shared" si="6"/>
        <v>2479.6999999999998</v>
      </c>
      <c r="P16" s="573">
        <f t="shared" si="6"/>
        <v>2479.6999999999998</v>
      </c>
      <c r="Q16" s="578">
        <f t="shared" si="6"/>
        <v>2479.6999999999998</v>
      </c>
      <c r="R16" s="564">
        <f t="shared" si="6"/>
        <v>2479.6999999999998</v>
      </c>
      <c r="S16" s="564">
        <f t="shared" si="6"/>
        <v>2479.6999999999998</v>
      </c>
      <c r="T16" s="564">
        <f t="shared" si="6"/>
        <v>2479.6999999999998</v>
      </c>
      <c r="U16" s="564">
        <f t="shared" si="6"/>
        <v>2479.6999999999998</v>
      </c>
      <c r="V16" s="564">
        <f t="shared" si="6"/>
        <v>2479.6999999999998</v>
      </c>
      <c r="W16" s="564">
        <f t="shared" si="6"/>
        <v>2479.6999999999998</v>
      </c>
      <c r="X16" s="564">
        <f t="shared" si="6"/>
        <v>2479.6999999999998</v>
      </c>
      <c r="Y16" s="564">
        <f t="shared" si="6"/>
        <v>2479.6999999999998</v>
      </c>
      <c r="Z16" s="564">
        <f t="shared" si="6"/>
        <v>2479.6999999999998</v>
      </c>
      <c r="AA16" s="564">
        <f t="shared" si="6"/>
        <v>2479.6999999999998</v>
      </c>
      <c r="AB16" s="558">
        <f t="shared" si="6"/>
        <v>2479.6999999999998</v>
      </c>
      <c r="AC16" s="573">
        <f t="shared" si="6"/>
        <v>2479.6999999999998</v>
      </c>
      <c r="AD16" s="573">
        <f t="shared" si="6"/>
        <v>2479.6999999999998</v>
      </c>
      <c r="AE16" s="573">
        <f t="shared" si="6"/>
        <v>2479.6999999999998</v>
      </c>
      <c r="AF16" s="573">
        <f t="shared" si="6"/>
        <v>2479.6999999999998</v>
      </c>
    </row>
    <row r="17" spans="2:32">
      <c r="B17" s="548" t="s">
        <v>284</v>
      </c>
      <c r="C17" s="568">
        <f>0</f>
        <v>0</v>
      </c>
      <c r="D17" s="579">
        <f>'8. P&amp;L and Cashflow'!D51</f>
        <v>24.849126984126983</v>
      </c>
      <c r="E17" s="565">
        <f>D17+'8. P&amp;L and Cashflow'!E51</f>
        <v>49.698253968253965</v>
      </c>
      <c r="F17" s="565">
        <f>E17+'8. P&amp;L and Cashflow'!F51</f>
        <v>74.547380952380948</v>
      </c>
      <c r="G17" s="565">
        <f>F17+'8. P&amp;L and Cashflow'!G51</f>
        <v>99.39650793650793</v>
      </c>
      <c r="H17" s="565">
        <f>G17+'8. P&amp;L and Cashflow'!H51</f>
        <v>124.24563492063491</v>
      </c>
      <c r="I17" s="565">
        <f>H17+'8. P&amp;L and Cashflow'!I51</f>
        <v>149.0947619047619</v>
      </c>
      <c r="J17" s="565">
        <f>I17+'8. P&amp;L and Cashflow'!J51</f>
        <v>173.94388888888886</v>
      </c>
      <c r="K17" s="565">
        <f>J17+'8. P&amp;L and Cashflow'!K51</f>
        <v>198.79301587301586</v>
      </c>
      <c r="L17" s="565">
        <f>K17+'8. P&amp;L and Cashflow'!L51</f>
        <v>223.64214285714286</v>
      </c>
      <c r="M17" s="565">
        <f>L17+'8. P&amp;L and Cashflow'!M51</f>
        <v>248.49126984126985</v>
      </c>
      <c r="N17" s="565">
        <f>M17+'8. P&amp;L and Cashflow'!N51</f>
        <v>273.34039682539685</v>
      </c>
      <c r="O17" s="559">
        <f>N17+'8. P&amp;L and Cashflow'!O51</f>
        <v>298.18952380952385</v>
      </c>
      <c r="P17" s="574">
        <f>O17</f>
        <v>298.18952380952385</v>
      </c>
      <c r="Q17" s="579">
        <f>'8. P&amp;L and Cashflow'!Q51+P17</f>
        <v>323.03865079365085</v>
      </c>
      <c r="R17" s="565">
        <f>Q17+'8. P&amp;L and Cashflow'!R51</f>
        <v>347.88777777777784</v>
      </c>
      <c r="S17" s="565">
        <f>R17+'8. P&amp;L and Cashflow'!S51</f>
        <v>372.73690476190484</v>
      </c>
      <c r="T17" s="565">
        <f>S17+'8. P&amp;L and Cashflow'!T51</f>
        <v>397.58603174603184</v>
      </c>
      <c r="U17" s="565">
        <f>T17+'8. P&amp;L and Cashflow'!U51</f>
        <v>422.43515873015883</v>
      </c>
      <c r="V17" s="565">
        <f>U17+'8. P&amp;L and Cashflow'!V51</f>
        <v>447.28428571428583</v>
      </c>
      <c r="W17" s="565">
        <f>V17+'8. P&amp;L and Cashflow'!W51</f>
        <v>472.13341269841283</v>
      </c>
      <c r="X17" s="565">
        <f>W17+'8. P&amp;L and Cashflow'!X51</f>
        <v>496.98253968253982</v>
      </c>
      <c r="Y17" s="565">
        <f>X17+'8. P&amp;L and Cashflow'!Y51</f>
        <v>521.83166666666682</v>
      </c>
      <c r="Z17" s="565">
        <f>Y17+'8. P&amp;L and Cashflow'!Z51</f>
        <v>546.68079365079382</v>
      </c>
      <c r="AA17" s="565">
        <f>Z17+'8. P&amp;L and Cashflow'!AA51</f>
        <v>571.52992063492081</v>
      </c>
      <c r="AB17" s="559">
        <f>AA17+'8. P&amp;L and Cashflow'!AB51</f>
        <v>596.37904761904781</v>
      </c>
      <c r="AC17" s="574">
        <f>AB17</f>
        <v>596.37904761904781</v>
      </c>
      <c r="AD17" s="574">
        <f>'8. P&amp;L and Cashflow'!AD51+AC17</f>
        <v>894.56857142857166</v>
      </c>
      <c r="AE17" s="574">
        <f>'8. P&amp;L and Cashflow'!AE51+AD17</f>
        <v>1192.7580952380956</v>
      </c>
      <c r="AF17" s="574">
        <f>'8. P&amp;L and Cashflow'!AF51+AE17</f>
        <v>1490.9476190476196</v>
      </c>
    </row>
    <row r="18" spans="2:32" ht="13.5" thickBot="1">
      <c r="B18" s="540" t="s">
        <v>285</v>
      </c>
      <c r="C18" s="569">
        <f t="shared" ref="C18:AF18" si="7">C16-C17</f>
        <v>2479.6999999999998</v>
      </c>
      <c r="D18" s="580">
        <f t="shared" si="7"/>
        <v>2454.8508730158728</v>
      </c>
      <c r="E18" s="566">
        <f t="shared" si="7"/>
        <v>2430.0017460317458</v>
      </c>
      <c r="F18" s="566">
        <f t="shared" si="7"/>
        <v>2405.1526190476188</v>
      </c>
      <c r="G18" s="566">
        <f t="shared" si="7"/>
        <v>2380.3034920634918</v>
      </c>
      <c r="H18" s="566">
        <f t="shared" si="7"/>
        <v>2355.4543650793648</v>
      </c>
      <c r="I18" s="566">
        <f t="shared" si="7"/>
        <v>2330.6052380952378</v>
      </c>
      <c r="J18" s="566">
        <f t="shared" si="7"/>
        <v>2305.7561111111108</v>
      </c>
      <c r="K18" s="566">
        <f t="shared" si="7"/>
        <v>2280.9069841269838</v>
      </c>
      <c r="L18" s="566">
        <f t="shared" si="7"/>
        <v>2256.0578571428568</v>
      </c>
      <c r="M18" s="566">
        <f t="shared" si="7"/>
        <v>2231.2087301587298</v>
      </c>
      <c r="N18" s="566">
        <f t="shared" si="7"/>
        <v>2206.3596031746029</v>
      </c>
      <c r="O18" s="560">
        <f t="shared" si="7"/>
        <v>2181.5104761904759</v>
      </c>
      <c r="P18" s="575">
        <f t="shared" si="7"/>
        <v>2181.5104761904759</v>
      </c>
      <c r="Q18" s="580">
        <f t="shared" si="7"/>
        <v>2156.6613492063489</v>
      </c>
      <c r="R18" s="566">
        <f t="shared" si="7"/>
        <v>2131.8122222222219</v>
      </c>
      <c r="S18" s="566">
        <f t="shared" si="7"/>
        <v>2106.9630952380949</v>
      </c>
      <c r="T18" s="566">
        <f t="shared" si="7"/>
        <v>2082.1139682539679</v>
      </c>
      <c r="U18" s="566">
        <f t="shared" si="7"/>
        <v>2057.2648412698409</v>
      </c>
      <c r="V18" s="566">
        <f t="shared" si="7"/>
        <v>2032.4157142857139</v>
      </c>
      <c r="W18" s="566">
        <f t="shared" si="7"/>
        <v>2007.5665873015869</v>
      </c>
      <c r="X18" s="566">
        <f t="shared" si="7"/>
        <v>1982.7174603174599</v>
      </c>
      <c r="Y18" s="566">
        <f t="shared" si="7"/>
        <v>1957.8683333333329</v>
      </c>
      <c r="Z18" s="566">
        <f t="shared" si="7"/>
        <v>1933.0192063492059</v>
      </c>
      <c r="AA18" s="566">
        <f t="shared" si="7"/>
        <v>1908.1700793650789</v>
      </c>
      <c r="AB18" s="560">
        <f t="shared" si="7"/>
        <v>1883.3209523809519</v>
      </c>
      <c r="AC18" s="575">
        <f t="shared" si="7"/>
        <v>1883.3209523809519</v>
      </c>
      <c r="AD18" s="575">
        <f t="shared" si="7"/>
        <v>1585.1314285714282</v>
      </c>
      <c r="AE18" s="575">
        <f t="shared" si="7"/>
        <v>1286.9419047619042</v>
      </c>
      <c r="AF18" s="575">
        <f t="shared" si="7"/>
        <v>988.75238095238024</v>
      </c>
    </row>
    <row r="19" spans="2:32" ht="24" customHeight="1" thickBot="1">
      <c r="B19" s="543" t="s">
        <v>286</v>
      </c>
      <c r="C19" s="584">
        <f t="shared" ref="C19:AF19" si="8">C18+C14</f>
        <v>2479.6999999999998</v>
      </c>
      <c r="D19" s="581">
        <f t="shared" si="8"/>
        <v>10513.653684759291</v>
      </c>
      <c r="E19" s="567">
        <f t="shared" si="8"/>
        <v>11649.078649970514</v>
      </c>
      <c r="F19" s="567">
        <f t="shared" si="8"/>
        <v>12970.514275485632</v>
      </c>
      <c r="G19" s="567">
        <f t="shared" si="8"/>
        <v>12898.649010123947</v>
      </c>
      <c r="H19" s="567">
        <f t="shared" si="8"/>
        <v>12826.702022157999</v>
      </c>
      <c r="I19" s="567">
        <f t="shared" si="8"/>
        <v>12754.672868923677</v>
      </c>
      <c r="J19" s="567">
        <f t="shared" si="8"/>
        <v>12682.561105359113</v>
      </c>
      <c r="K19" s="567">
        <f t="shared" si="8"/>
        <v>12610.366283991683</v>
      </c>
      <c r="L19" s="567">
        <f t="shared" si="8"/>
        <v>12538.087954924958</v>
      </c>
      <c r="M19" s="567">
        <f t="shared" si="8"/>
        <v>12465.725665825568</v>
      </c>
      <c r="N19" s="567">
        <f t="shared" si="8"/>
        <v>12393.278961909997</v>
      </c>
      <c r="O19" s="561">
        <f t="shared" si="8"/>
        <v>12320.747385931325</v>
      </c>
      <c r="P19" s="576">
        <f t="shared" si="8"/>
        <v>12320.747385931325</v>
      </c>
      <c r="Q19" s="581">
        <f t="shared" si="8"/>
        <v>12295.8982589472</v>
      </c>
      <c r="R19" s="567">
        <f t="shared" si="8"/>
        <v>12594.722547391579</v>
      </c>
      <c r="S19" s="567">
        <f t="shared" si="8"/>
        <v>12731.580972403273</v>
      </c>
      <c r="T19" s="567">
        <f t="shared" si="8"/>
        <v>12868.352671462122</v>
      </c>
      <c r="U19" s="567">
        <f t="shared" si="8"/>
        <v>13005.037174802546</v>
      </c>
      <c r="V19" s="567">
        <f t="shared" si="8"/>
        <v>13141.634010114405</v>
      </c>
      <c r="W19" s="567">
        <f t="shared" si="8"/>
        <v>13278.142702529214</v>
      </c>
      <c r="X19" s="567">
        <f t="shared" si="8"/>
        <v>13414.562774606275</v>
      </c>
      <c r="Y19" s="567">
        <f t="shared" si="8"/>
        <v>13550.893746318761</v>
      </c>
      <c r="Z19" s="567">
        <f t="shared" si="8"/>
        <v>13687.135135039698</v>
      </c>
      <c r="AA19" s="567">
        <f t="shared" si="8"/>
        <v>13823.286455527879</v>
      </c>
      <c r="AB19" s="561">
        <f t="shared" si="8"/>
        <v>13959.347219913714</v>
      </c>
      <c r="AC19" s="576">
        <f t="shared" si="8"/>
        <v>13959.347219913714</v>
      </c>
      <c r="AD19" s="576">
        <f t="shared" si="8"/>
        <v>17859.680597190192</v>
      </c>
      <c r="AE19" s="576">
        <f t="shared" si="8"/>
        <v>27606.896201952102</v>
      </c>
      <c r="AF19" s="576">
        <f t="shared" si="8"/>
        <v>40578.241281714007</v>
      </c>
    </row>
    <row r="20" spans="2:32" ht="13.5" thickBot="1">
      <c r="B20" s="544"/>
      <c r="C20" s="545"/>
      <c r="D20" s="546"/>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5"/>
      <c r="AE20" s="545"/>
      <c r="AF20" s="547"/>
    </row>
    <row r="21" spans="2:32" ht="13.5" thickBot="1">
      <c r="B21" s="621" t="s">
        <v>303</v>
      </c>
      <c r="C21" s="585"/>
      <c r="D21" s="591">
        <f t="shared" ref="D21:AF21" si="9">D8</f>
        <v>42370</v>
      </c>
      <c r="E21" s="601">
        <f t="shared" si="9"/>
        <v>42401</v>
      </c>
      <c r="F21" s="601">
        <f t="shared" si="9"/>
        <v>42430</v>
      </c>
      <c r="G21" s="601">
        <f t="shared" si="9"/>
        <v>42461</v>
      </c>
      <c r="H21" s="601">
        <f t="shared" si="9"/>
        <v>42491</v>
      </c>
      <c r="I21" s="601">
        <f t="shared" si="9"/>
        <v>42522</v>
      </c>
      <c r="J21" s="601">
        <f t="shared" si="9"/>
        <v>42552</v>
      </c>
      <c r="K21" s="601">
        <f t="shared" si="9"/>
        <v>42583</v>
      </c>
      <c r="L21" s="601">
        <f t="shared" si="9"/>
        <v>42614</v>
      </c>
      <c r="M21" s="601">
        <f t="shared" si="9"/>
        <v>42644</v>
      </c>
      <c r="N21" s="601">
        <f t="shared" si="9"/>
        <v>42675</v>
      </c>
      <c r="O21" s="607">
        <f t="shared" si="9"/>
        <v>42705</v>
      </c>
      <c r="P21" s="622">
        <f t="shared" si="9"/>
        <v>2016</v>
      </c>
      <c r="Q21" s="591">
        <f t="shared" si="9"/>
        <v>42736</v>
      </c>
      <c r="R21" s="601">
        <f t="shared" si="9"/>
        <v>42767</v>
      </c>
      <c r="S21" s="601">
        <f t="shared" si="9"/>
        <v>42795</v>
      </c>
      <c r="T21" s="601">
        <f t="shared" si="9"/>
        <v>42826</v>
      </c>
      <c r="U21" s="601">
        <f t="shared" si="9"/>
        <v>42856</v>
      </c>
      <c r="V21" s="601">
        <f t="shared" si="9"/>
        <v>42887</v>
      </c>
      <c r="W21" s="601">
        <f t="shared" si="9"/>
        <v>42917</v>
      </c>
      <c r="X21" s="601">
        <f t="shared" si="9"/>
        <v>42948</v>
      </c>
      <c r="Y21" s="601">
        <f t="shared" si="9"/>
        <v>42979</v>
      </c>
      <c r="Z21" s="601">
        <f t="shared" si="9"/>
        <v>43009</v>
      </c>
      <c r="AA21" s="601">
        <f t="shared" si="9"/>
        <v>43040</v>
      </c>
      <c r="AB21" s="607">
        <f t="shared" si="9"/>
        <v>43070</v>
      </c>
      <c r="AC21" s="622">
        <f t="shared" si="9"/>
        <v>2017</v>
      </c>
      <c r="AD21" s="622">
        <f t="shared" si="9"/>
        <v>2018</v>
      </c>
      <c r="AE21" s="622">
        <f t="shared" si="9"/>
        <v>2019</v>
      </c>
      <c r="AF21" s="622">
        <f t="shared" si="9"/>
        <v>2020</v>
      </c>
    </row>
    <row r="22" spans="2:32">
      <c r="B22" s="539" t="s">
        <v>304</v>
      </c>
      <c r="C22" s="583"/>
      <c r="D22" s="592"/>
      <c r="E22" s="563"/>
      <c r="F22" s="563"/>
      <c r="G22" s="563"/>
      <c r="H22" s="563"/>
      <c r="I22" s="563"/>
      <c r="J22" s="563"/>
      <c r="K22" s="563"/>
      <c r="L22" s="563"/>
      <c r="M22" s="563"/>
      <c r="N22" s="563"/>
      <c r="O22" s="557"/>
      <c r="P22" s="572"/>
      <c r="Q22" s="592"/>
      <c r="R22" s="563"/>
      <c r="S22" s="563"/>
      <c r="T22" s="563"/>
      <c r="U22" s="563"/>
      <c r="V22" s="563"/>
      <c r="W22" s="563"/>
      <c r="X22" s="563"/>
      <c r="Y22" s="563"/>
      <c r="Z22" s="563"/>
      <c r="AA22" s="563"/>
      <c r="AB22" s="557"/>
      <c r="AC22" s="572"/>
      <c r="AD22" s="572"/>
      <c r="AE22" s="572"/>
      <c r="AF22" s="572"/>
    </row>
    <row r="23" spans="2:32">
      <c r="B23" s="548" t="s">
        <v>287</v>
      </c>
      <c r="C23" s="568">
        <v>0</v>
      </c>
      <c r="D23" s="593">
        <v>0</v>
      </c>
      <c r="E23" s="565">
        <v>0</v>
      </c>
      <c r="F23" s="565">
        <v>0</v>
      </c>
      <c r="G23" s="565">
        <v>0</v>
      </c>
      <c r="H23" s="565">
        <v>0</v>
      </c>
      <c r="I23" s="565">
        <v>0</v>
      </c>
      <c r="J23" s="565">
        <v>0</v>
      </c>
      <c r="K23" s="565">
        <v>0</v>
      </c>
      <c r="L23" s="565">
        <v>0</v>
      </c>
      <c r="M23" s="565">
        <v>0</v>
      </c>
      <c r="N23" s="565">
        <v>0</v>
      </c>
      <c r="O23" s="559">
        <v>0</v>
      </c>
      <c r="P23" s="574">
        <v>0</v>
      </c>
      <c r="Q23" s="593">
        <v>0</v>
      </c>
      <c r="R23" s="565">
        <v>0</v>
      </c>
      <c r="S23" s="565">
        <v>0</v>
      </c>
      <c r="T23" s="565">
        <v>0</v>
      </c>
      <c r="U23" s="565">
        <v>0</v>
      </c>
      <c r="V23" s="565">
        <v>0</v>
      </c>
      <c r="W23" s="565">
        <v>0</v>
      </c>
      <c r="X23" s="565">
        <v>0</v>
      </c>
      <c r="Y23" s="565">
        <v>0</v>
      </c>
      <c r="Z23" s="565">
        <v>0</v>
      </c>
      <c r="AA23" s="565">
        <v>0</v>
      </c>
      <c r="AB23" s="559">
        <v>0</v>
      </c>
      <c r="AC23" s="574">
        <v>0</v>
      </c>
      <c r="AD23" s="574">
        <v>0</v>
      </c>
      <c r="AE23" s="574">
        <v>0</v>
      </c>
      <c r="AF23" s="574">
        <v>0</v>
      </c>
    </row>
    <row r="24" spans="2:32">
      <c r="B24" s="548" t="s">
        <v>288</v>
      </c>
      <c r="C24" s="568">
        <f>'7. Funding Plan'!C18</f>
        <v>0</v>
      </c>
      <c r="D24" s="594">
        <f>'8. P&amp;L and Cashflow'!D80</f>
        <v>0</v>
      </c>
      <c r="E24" s="564">
        <f>'8. P&amp;L and Cashflow'!E80</f>
        <v>1200</v>
      </c>
      <c r="F24" s="564">
        <f>'8. P&amp;L and Cashflow'!F80</f>
        <v>600</v>
      </c>
      <c r="G24" s="564">
        <f>'8. P&amp;L and Cashflow'!G80</f>
        <v>600</v>
      </c>
      <c r="H24" s="564">
        <f>'8. P&amp;L and Cashflow'!H80</f>
        <v>600</v>
      </c>
      <c r="I24" s="564">
        <f>'8. P&amp;L and Cashflow'!I80</f>
        <v>600</v>
      </c>
      <c r="J24" s="564">
        <f>'8. P&amp;L and Cashflow'!J80</f>
        <v>600</v>
      </c>
      <c r="K24" s="564">
        <f>'8. P&amp;L and Cashflow'!K80</f>
        <v>600</v>
      </c>
      <c r="L24" s="564">
        <f>'8. P&amp;L and Cashflow'!L80</f>
        <v>600</v>
      </c>
      <c r="M24" s="564">
        <f>'8. P&amp;L and Cashflow'!M80</f>
        <v>600</v>
      </c>
      <c r="N24" s="564">
        <f>'8. P&amp;L and Cashflow'!N80</f>
        <v>600</v>
      </c>
      <c r="O24" s="558">
        <f>'8. P&amp;L and Cashflow'!O80</f>
        <v>600</v>
      </c>
      <c r="P24" s="573">
        <f>'8. P&amp;L and Cashflow'!P80</f>
        <v>600</v>
      </c>
      <c r="Q24" s="594">
        <f>'8. P&amp;L and Cashflow'!Q80</f>
        <v>600</v>
      </c>
      <c r="R24" s="564">
        <f>'8. P&amp;L and Cashflow'!R80</f>
        <v>600</v>
      </c>
      <c r="S24" s="564">
        <f>'8. P&amp;L and Cashflow'!S80</f>
        <v>600</v>
      </c>
      <c r="T24" s="564">
        <f>'8. P&amp;L and Cashflow'!T80</f>
        <v>600</v>
      </c>
      <c r="U24" s="564">
        <f>'8. P&amp;L and Cashflow'!U80</f>
        <v>600</v>
      </c>
      <c r="V24" s="564">
        <f>'8. P&amp;L and Cashflow'!V80</f>
        <v>600</v>
      </c>
      <c r="W24" s="564">
        <f>'8. P&amp;L and Cashflow'!W80</f>
        <v>600</v>
      </c>
      <c r="X24" s="564">
        <f>'8. P&amp;L and Cashflow'!X80</f>
        <v>600</v>
      </c>
      <c r="Y24" s="564">
        <f>'8. P&amp;L and Cashflow'!Y80</f>
        <v>600</v>
      </c>
      <c r="Z24" s="564">
        <f>'8. P&amp;L and Cashflow'!Z80</f>
        <v>600</v>
      </c>
      <c r="AA24" s="564">
        <f>'8. P&amp;L and Cashflow'!AA80</f>
        <v>600</v>
      </c>
      <c r="AB24" s="558">
        <f>'8. P&amp;L and Cashflow'!AB80</f>
        <v>600</v>
      </c>
      <c r="AC24" s="573">
        <f>'8. P&amp;L and Cashflow'!AC80</f>
        <v>600</v>
      </c>
      <c r="AD24" s="573">
        <f>'8. P&amp;L and Cashflow'!AD80</f>
        <v>600</v>
      </c>
      <c r="AE24" s="573">
        <f>'8. P&amp;L and Cashflow'!AE80</f>
        <v>600</v>
      </c>
      <c r="AF24" s="573">
        <f>'8. P&amp;L and Cashflow'!AF80</f>
        <v>600</v>
      </c>
    </row>
    <row r="25" spans="2:32" ht="13.5" thickBot="1">
      <c r="B25" s="548" t="s">
        <v>289</v>
      </c>
      <c r="C25" s="568">
        <v>0</v>
      </c>
      <c r="D25" s="594">
        <v>0</v>
      </c>
      <c r="E25" s="564">
        <v>0</v>
      </c>
      <c r="F25" s="564">
        <v>0</v>
      </c>
      <c r="G25" s="564">
        <v>0</v>
      </c>
      <c r="H25" s="564">
        <v>0</v>
      </c>
      <c r="I25" s="564">
        <v>0</v>
      </c>
      <c r="J25" s="564">
        <v>0</v>
      </c>
      <c r="K25" s="564">
        <v>0</v>
      </c>
      <c r="L25" s="564">
        <v>0</v>
      </c>
      <c r="M25" s="564">
        <v>0</v>
      </c>
      <c r="N25" s="564">
        <v>0</v>
      </c>
      <c r="O25" s="558">
        <v>0</v>
      </c>
      <c r="P25" s="573">
        <v>0</v>
      </c>
      <c r="Q25" s="594">
        <v>0</v>
      </c>
      <c r="R25" s="564">
        <v>0</v>
      </c>
      <c r="S25" s="564">
        <v>0</v>
      </c>
      <c r="T25" s="564">
        <v>0</v>
      </c>
      <c r="U25" s="564">
        <v>0</v>
      </c>
      <c r="V25" s="564">
        <v>0</v>
      </c>
      <c r="W25" s="564">
        <v>0</v>
      </c>
      <c r="X25" s="564">
        <v>0</v>
      </c>
      <c r="Y25" s="564">
        <v>0</v>
      </c>
      <c r="Z25" s="564">
        <v>0</v>
      </c>
      <c r="AA25" s="564">
        <v>0</v>
      </c>
      <c r="AB25" s="558">
        <v>0</v>
      </c>
      <c r="AC25" s="573">
        <v>0</v>
      </c>
      <c r="AD25" s="573">
        <v>0</v>
      </c>
      <c r="AE25" s="573">
        <v>0</v>
      </c>
      <c r="AF25" s="573">
        <v>0</v>
      </c>
    </row>
    <row r="26" spans="2:32">
      <c r="B26" s="550" t="s">
        <v>290</v>
      </c>
      <c r="C26" s="586">
        <f>SUM(C23:C25)</f>
        <v>0</v>
      </c>
      <c r="D26" s="595">
        <f t="shared" ref="D26:AF26" si="10">SUM(D23:D25)</f>
        <v>0</v>
      </c>
      <c r="E26" s="602">
        <f t="shared" si="10"/>
        <v>1200</v>
      </c>
      <c r="F26" s="602">
        <f t="shared" si="10"/>
        <v>600</v>
      </c>
      <c r="G26" s="602">
        <f t="shared" si="10"/>
        <v>600</v>
      </c>
      <c r="H26" s="602">
        <f t="shared" si="10"/>
        <v>600</v>
      </c>
      <c r="I26" s="602">
        <f t="shared" si="10"/>
        <v>600</v>
      </c>
      <c r="J26" s="602">
        <f t="shared" si="10"/>
        <v>600</v>
      </c>
      <c r="K26" s="602">
        <f t="shared" si="10"/>
        <v>600</v>
      </c>
      <c r="L26" s="602">
        <f t="shared" si="10"/>
        <v>600</v>
      </c>
      <c r="M26" s="602">
        <f t="shared" si="10"/>
        <v>600</v>
      </c>
      <c r="N26" s="602">
        <f t="shared" si="10"/>
        <v>600</v>
      </c>
      <c r="O26" s="608">
        <f t="shared" si="10"/>
        <v>600</v>
      </c>
      <c r="P26" s="612">
        <f t="shared" si="10"/>
        <v>600</v>
      </c>
      <c r="Q26" s="595">
        <f t="shared" si="10"/>
        <v>600</v>
      </c>
      <c r="R26" s="602">
        <f t="shared" si="10"/>
        <v>600</v>
      </c>
      <c r="S26" s="602">
        <f t="shared" si="10"/>
        <v>600</v>
      </c>
      <c r="T26" s="602">
        <f t="shared" si="10"/>
        <v>600</v>
      </c>
      <c r="U26" s="602">
        <f t="shared" si="10"/>
        <v>600</v>
      </c>
      <c r="V26" s="602">
        <f t="shared" si="10"/>
        <v>600</v>
      </c>
      <c r="W26" s="602">
        <f t="shared" si="10"/>
        <v>600</v>
      </c>
      <c r="X26" s="602">
        <f t="shared" si="10"/>
        <v>600</v>
      </c>
      <c r="Y26" s="602">
        <f t="shared" si="10"/>
        <v>600</v>
      </c>
      <c r="Z26" s="602">
        <f t="shared" si="10"/>
        <v>600</v>
      </c>
      <c r="AA26" s="602">
        <f t="shared" si="10"/>
        <v>600</v>
      </c>
      <c r="AB26" s="608">
        <f t="shared" si="10"/>
        <v>600</v>
      </c>
      <c r="AC26" s="612">
        <f t="shared" si="10"/>
        <v>600</v>
      </c>
      <c r="AD26" s="612">
        <f t="shared" si="10"/>
        <v>600</v>
      </c>
      <c r="AE26" s="612">
        <f t="shared" si="10"/>
        <v>600</v>
      </c>
      <c r="AF26" s="612">
        <f t="shared" si="10"/>
        <v>600</v>
      </c>
    </row>
    <row r="27" spans="2:32" ht="7.15" customHeight="1">
      <c r="B27" s="548"/>
      <c r="C27" s="587"/>
      <c r="D27" s="596"/>
      <c r="E27" s="603"/>
      <c r="F27" s="603"/>
      <c r="G27" s="603"/>
      <c r="H27" s="603"/>
      <c r="I27" s="603"/>
      <c r="J27" s="603"/>
      <c r="K27" s="603"/>
      <c r="L27" s="603"/>
      <c r="M27" s="603"/>
      <c r="N27" s="603"/>
      <c r="O27" s="77"/>
      <c r="P27" s="613"/>
      <c r="Q27" s="596"/>
      <c r="R27" s="603"/>
      <c r="S27" s="603"/>
      <c r="T27" s="603"/>
      <c r="U27" s="603"/>
      <c r="V27" s="603"/>
      <c r="W27" s="603"/>
      <c r="X27" s="603"/>
      <c r="Y27" s="603"/>
      <c r="Z27" s="603"/>
      <c r="AA27" s="603"/>
      <c r="AB27" s="77"/>
      <c r="AC27" s="613"/>
      <c r="AD27" s="613"/>
      <c r="AE27" s="613"/>
      <c r="AF27" s="613"/>
    </row>
    <row r="28" spans="2:32" ht="13.5" thickBot="1">
      <c r="B28" s="551" t="s">
        <v>291</v>
      </c>
      <c r="C28" s="588">
        <v>0</v>
      </c>
      <c r="D28" s="597">
        <f>'12. Loan Detail'!D31</f>
        <v>7880.9965617434182</v>
      </c>
      <c r="E28" s="604">
        <f>'12. Loan Detail'!E31</f>
        <v>7675.8881048629464</v>
      </c>
      <c r="F28" s="604">
        <f>'12. Loan Detail'!F31</f>
        <v>7469.6686438410388</v>
      </c>
      <c r="G28" s="604">
        <f>'12. Loan Detail'!G31</f>
        <v>7262.332160738596</v>
      </c>
      <c r="H28" s="604">
        <f>'12. Loan Detail'!H31</f>
        <v>7053.8726050193482</v>
      </c>
      <c r="I28" s="604">
        <f>'12. Loan Detail'!I31</f>
        <v>6844.2838933732883</v>
      </c>
      <c r="J28" s="604">
        <f>'12. Loan Detail'!J31</f>
        <v>6633.5599095391453</v>
      </c>
      <c r="K28" s="604">
        <f>'12. Loan Detail'!K31</f>
        <v>6421.6945041259005</v>
      </c>
      <c r="L28" s="604">
        <f>'12. Loan Detail'!L31</f>
        <v>6208.6814944333346</v>
      </c>
      <c r="M28" s="604">
        <f>'12. Loan Detail'!M31</f>
        <v>5994.5146642715999</v>
      </c>
      <c r="N28" s="604">
        <f>'12. Loan Detail'!N31</f>
        <v>5779.1877637798225</v>
      </c>
      <c r="O28" s="609">
        <f>'12. Loan Detail'!O31</f>
        <v>5562.6945092437145</v>
      </c>
      <c r="P28" s="614">
        <f>'12. Loan Detail'!P31</f>
        <v>5562.6945092437145</v>
      </c>
      <c r="Q28" s="597">
        <f>'12. Loan Detail'!Q31</f>
        <v>5345.0285829122031</v>
      </c>
      <c r="R28" s="604">
        <f>'12. Loan Detail'!R31</f>
        <v>5126.183632813063</v>
      </c>
      <c r="S28" s="604">
        <f>'12. Loan Detail'!S31</f>
        <v>4906.1532725675524</v>
      </c>
      <c r="T28" s="604">
        <f>'12. Loan Detail'!T31</f>
        <v>4684.9310812040449</v>
      </c>
      <c r="U28" s="604">
        <f>'12. Loan Detail'!U31</f>
        <v>4462.5106029706521</v>
      </c>
      <c r="V28" s="604">
        <f>'12. Loan Detail'!V31</f>
        <v>4238.8853471468283</v>
      </c>
      <c r="W28" s="604">
        <f>'12. Loan Detail'!W31</f>
        <v>4014.0487878539589</v>
      </c>
      <c r="X28" s="604">
        <f>'12. Loan Detail'!X31</f>
        <v>3787.9943638649197</v>
      </c>
      <c r="Y28" s="604">
        <f>'12. Loan Detail'!Y31</f>
        <v>3560.7154784126064</v>
      </c>
      <c r="Z28" s="604">
        <f>'12. Loan Detail'!Z31</f>
        <v>3332.2054989974263</v>
      </c>
      <c r="AA28" s="604">
        <f>'12. Loan Detail'!AA31</f>
        <v>3102.4577571937475</v>
      </c>
      <c r="AB28" s="609">
        <f>'12. Loan Detail'!AB31</f>
        <v>2871.4655484552986</v>
      </c>
      <c r="AC28" s="614">
        <f>'12. Loan Detail'!AC31</f>
        <v>2871.4655484552986</v>
      </c>
      <c r="AD28" s="614">
        <f>'12. Loan Detail'!AP31</f>
        <v>0</v>
      </c>
      <c r="AE28" s="614">
        <f>'12. Loan Detail'!BC31</f>
        <v>0</v>
      </c>
      <c r="AF28" s="614">
        <f>'12. Loan Detail'!BP31</f>
        <v>0</v>
      </c>
    </row>
    <row r="29" spans="2:32" ht="13.5" thickBot="1">
      <c r="B29" s="540" t="s">
        <v>292</v>
      </c>
      <c r="C29" s="569">
        <f t="shared" ref="C29:AF29" si="11">C26+C28</f>
        <v>0</v>
      </c>
      <c r="D29" s="598">
        <f t="shared" si="11"/>
        <v>7880.9965617434182</v>
      </c>
      <c r="E29" s="566">
        <f t="shared" si="11"/>
        <v>8875.8881048629464</v>
      </c>
      <c r="F29" s="566">
        <f t="shared" si="11"/>
        <v>8069.6686438410388</v>
      </c>
      <c r="G29" s="566">
        <f t="shared" si="11"/>
        <v>7862.332160738596</v>
      </c>
      <c r="H29" s="566">
        <f t="shared" si="11"/>
        <v>7653.8726050193482</v>
      </c>
      <c r="I29" s="566">
        <f t="shared" si="11"/>
        <v>7444.2838933732883</v>
      </c>
      <c r="J29" s="566">
        <f t="shared" si="11"/>
        <v>7233.5599095391453</v>
      </c>
      <c r="K29" s="566">
        <f t="shared" si="11"/>
        <v>7021.6945041259005</v>
      </c>
      <c r="L29" s="566">
        <f t="shared" si="11"/>
        <v>6808.6814944333346</v>
      </c>
      <c r="M29" s="566">
        <f t="shared" si="11"/>
        <v>6594.5146642715999</v>
      </c>
      <c r="N29" s="566">
        <f t="shared" si="11"/>
        <v>6379.1877637798225</v>
      </c>
      <c r="O29" s="560">
        <f t="shared" si="11"/>
        <v>6162.6945092437145</v>
      </c>
      <c r="P29" s="575">
        <f t="shared" si="11"/>
        <v>6162.6945092437145</v>
      </c>
      <c r="Q29" s="598">
        <f t="shared" si="11"/>
        <v>5945.0285829122031</v>
      </c>
      <c r="R29" s="566">
        <f t="shared" si="11"/>
        <v>5726.183632813063</v>
      </c>
      <c r="S29" s="566">
        <f t="shared" si="11"/>
        <v>5506.1532725675524</v>
      </c>
      <c r="T29" s="566">
        <f t="shared" si="11"/>
        <v>5284.9310812040449</v>
      </c>
      <c r="U29" s="566">
        <f t="shared" si="11"/>
        <v>5062.5106029706521</v>
      </c>
      <c r="V29" s="566">
        <f t="shared" si="11"/>
        <v>4838.8853471468283</v>
      </c>
      <c r="W29" s="566">
        <f t="shared" si="11"/>
        <v>4614.0487878539589</v>
      </c>
      <c r="X29" s="566">
        <f t="shared" si="11"/>
        <v>4387.9943638649202</v>
      </c>
      <c r="Y29" s="566">
        <f t="shared" si="11"/>
        <v>4160.7154784126069</v>
      </c>
      <c r="Z29" s="566">
        <f t="shared" si="11"/>
        <v>3932.2054989974263</v>
      </c>
      <c r="AA29" s="566">
        <f t="shared" si="11"/>
        <v>3702.4577571937475</v>
      </c>
      <c r="AB29" s="560">
        <f t="shared" si="11"/>
        <v>3471.4655484552986</v>
      </c>
      <c r="AC29" s="575">
        <f t="shared" si="11"/>
        <v>3471.4655484552986</v>
      </c>
      <c r="AD29" s="575">
        <f t="shared" si="11"/>
        <v>600</v>
      </c>
      <c r="AE29" s="575">
        <f t="shared" si="11"/>
        <v>600</v>
      </c>
      <c r="AF29" s="575">
        <f t="shared" si="11"/>
        <v>600</v>
      </c>
    </row>
    <row r="30" spans="2:32">
      <c r="B30" s="539" t="s">
        <v>305</v>
      </c>
      <c r="C30" s="583"/>
      <c r="D30" s="592"/>
      <c r="E30" s="563"/>
      <c r="F30" s="563"/>
      <c r="G30" s="563"/>
      <c r="H30" s="563"/>
      <c r="I30" s="563"/>
      <c r="J30" s="563"/>
      <c r="K30" s="563"/>
      <c r="L30" s="563"/>
      <c r="M30" s="563"/>
      <c r="N30" s="563"/>
      <c r="O30" s="557"/>
      <c r="P30" s="572"/>
      <c r="Q30" s="592"/>
      <c r="R30" s="563"/>
      <c r="S30" s="563"/>
      <c r="T30" s="563"/>
      <c r="U30" s="563"/>
      <c r="V30" s="563"/>
      <c r="W30" s="563"/>
      <c r="X30" s="563"/>
      <c r="Y30" s="563"/>
      <c r="Z30" s="563"/>
      <c r="AA30" s="563"/>
      <c r="AB30" s="557"/>
      <c r="AC30" s="572"/>
      <c r="AD30" s="572"/>
      <c r="AE30" s="572"/>
      <c r="AF30" s="572"/>
    </row>
    <row r="31" spans="2:32">
      <c r="B31" s="548" t="s">
        <v>293</v>
      </c>
      <c r="C31" s="568">
        <f>'7. Funding Plan'!C16</f>
        <v>1610</v>
      </c>
      <c r="D31" s="594">
        <f>C31+'8. P&amp;L and Cashflow'!D67+'8. P&amp;L and Cashflow'!D68</f>
        <v>2610</v>
      </c>
      <c r="E31" s="564">
        <f>D31+'8. P&amp;L and Cashflow'!E67+'8. P&amp;L and Cashflow'!E68</f>
        <v>2610</v>
      </c>
      <c r="F31" s="564">
        <f>E31+'8. P&amp;L and Cashflow'!F67+'8. P&amp;L and Cashflow'!F68</f>
        <v>4610</v>
      </c>
      <c r="G31" s="564">
        <f>F31+'8. P&amp;L and Cashflow'!G67+'8. P&amp;L and Cashflow'!G68</f>
        <v>4610</v>
      </c>
      <c r="H31" s="564">
        <f>G31+'8. P&amp;L and Cashflow'!H67+'8. P&amp;L and Cashflow'!H68</f>
        <v>4610</v>
      </c>
      <c r="I31" s="564">
        <f>H31+'8. P&amp;L and Cashflow'!I67+'8. P&amp;L and Cashflow'!I68</f>
        <v>4610</v>
      </c>
      <c r="J31" s="564">
        <f>I31+'8. P&amp;L and Cashflow'!J67+'8. P&amp;L and Cashflow'!J68</f>
        <v>4610</v>
      </c>
      <c r="K31" s="564">
        <f>J31+'8. P&amp;L and Cashflow'!K67+'8. P&amp;L and Cashflow'!K68</f>
        <v>4610</v>
      </c>
      <c r="L31" s="564">
        <f>K31+'8. P&amp;L and Cashflow'!L67+'8. P&amp;L and Cashflow'!L68</f>
        <v>4610</v>
      </c>
      <c r="M31" s="564">
        <f>L31+'8. P&amp;L and Cashflow'!M67+'8. P&amp;L and Cashflow'!M68</f>
        <v>4610</v>
      </c>
      <c r="N31" s="564">
        <f>M31+'8. P&amp;L and Cashflow'!N67+'8. P&amp;L and Cashflow'!N68</f>
        <v>4610</v>
      </c>
      <c r="O31" s="558">
        <f>N31+'8. P&amp;L and Cashflow'!O67+'8. P&amp;L and Cashflow'!O68</f>
        <v>4610</v>
      </c>
      <c r="P31" s="573">
        <f>O31</f>
        <v>4610</v>
      </c>
      <c r="Q31" s="594">
        <f>P31+'8. P&amp;L and Cashflow'!Q67+'8. P&amp;L and Cashflow'!Q68</f>
        <v>4610</v>
      </c>
      <c r="R31" s="564">
        <f>Q31+'8. P&amp;L and Cashflow'!R67+'8. P&amp;L and Cashflow'!R68</f>
        <v>4610</v>
      </c>
      <c r="S31" s="564">
        <f>R31+'8. P&amp;L and Cashflow'!S67+'8. P&amp;L and Cashflow'!S68</f>
        <v>4610</v>
      </c>
      <c r="T31" s="564">
        <f>S31+'8. P&amp;L and Cashflow'!T67+'8. P&amp;L and Cashflow'!T68</f>
        <v>4610</v>
      </c>
      <c r="U31" s="564">
        <f>T31+'8. P&amp;L and Cashflow'!U67+'8. P&amp;L and Cashflow'!U68</f>
        <v>4610</v>
      </c>
      <c r="V31" s="564">
        <f>U31+'8. P&amp;L and Cashflow'!V67+'8. P&amp;L and Cashflow'!V68</f>
        <v>4610</v>
      </c>
      <c r="W31" s="564">
        <f>V31+'8. P&amp;L and Cashflow'!W67+'8. P&amp;L and Cashflow'!W68</f>
        <v>4610</v>
      </c>
      <c r="X31" s="564">
        <f>W31+'8. P&amp;L and Cashflow'!X67+'8. P&amp;L and Cashflow'!X68</f>
        <v>4610</v>
      </c>
      <c r="Y31" s="564">
        <f>X31+'8. P&amp;L and Cashflow'!Y67+'8. P&amp;L and Cashflow'!Y68</f>
        <v>4610</v>
      </c>
      <c r="Z31" s="564">
        <f>Y31+'8. P&amp;L and Cashflow'!Z67+'8. P&amp;L and Cashflow'!Z68</f>
        <v>4610</v>
      </c>
      <c r="AA31" s="564">
        <f>Z31+'8. P&amp;L and Cashflow'!AA67+'8. P&amp;L and Cashflow'!AA68</f>
        <v>4610</v>
      </c>
      <c r="AB31" s="558">
        <f>AA31+'8. P&amp;L and Cashflow'!AB67+'8. P&amp;L and Cashflow'!AB68</f>
        <v>4610</v>
      </c>
      <c r="AC31" s="573">
        <f>AB31+'8. P&amp;L and Cashflow'!AC67+'8. P&amp;L and Cashflow'!AC68</f>
        <v>4610</v>
      </c>
      <c r="AD31" s="573">
        <f>AC31+'8. P&amp;L and Cashflow'!AD67+'8. P&amp;L and Cashflow'!AD68</f>
        <v>4610</v>
      </c>
      <c r="AE31" s="573">
        <f>AD31+'8. P&amp;L and Cashflow'!AE67+'8. P&amp;L and Cashflow'!AE68</f>
        <v>4610</v>
      </c>
      <c r="AF31" s="573">
        <f>AE31+'8. P&amp;L and Cashflow'!AF67+'8. P&amp;L and Cashflow'!AF68</f>
        <v>4610</v>
      </c>
    </row>
    <row r="32" spans="2:32">
      <c r="B32" s="548" t="s">
        <v>300</v>
      </c>
      <c r="C32" s="568">
        <f t="shared" ref="C32" si="12">C19-C26-C28-C31-C33</f>
        <v>869.69999999999982</v>
      </c>
      <c r="D32" s="593">
        <f>C32+C33-'8. P&amp;L and Cashflow'!D72</f>
        <v>869.69999999999982</v>
      </c>
      <c r="E32" s="565">
        <f>D32+D33-'8. P&amp;L and Cashflow'!E72</f>
        <v>22.657123015872685</v>
      </c>
      <c r="F32" s="565">
        <f>E32+E33-'8. P&amp;L and Cashflow'!F72</f>
        <v>163.19054510756894</v>
      </c>
      <c r="G32" s="565">
        <f>F32+F33-'8. P&amp;L and Cashflow'!G72</f>
        <v>290.84563164459439</v>
      </c>
      <c r="H32" s="565">
        <f>G32+G33-'8. P&amp;L and Cashflow'!H72</f>
        <v>426.31684938535284</v>
      </c>
      <c r="I32" s="565">
        <f>H32+H33-'8. P&amp;L and Cashflow'!I72</f>
        <v>562.82941713865068</v>
      </c>
      <c r="J32" s="565">
        <f>I32+I33-'8. P&amp;L and Cashflow'!J72</f>
        <v>700.3889755503892</v>
      </c>
      <c r="K32" s="565">
        <f>J32+J33-'8. P&amp;L and Cashflow'!K72</f>
        <v>839.0011958199683</v>
      </c>
      <c r="L32" s="565">
        <f>K32+K33-'8. P&amp;L and Cashflow'!L72</f>
        <v>978.67177986578463</v>
      </c>
      <c r="M32" s="565">
        <f>L32+L33-'8. P&amp;L and Cashflow'!M72</f>
        <v>1119.4064604916261</v>
      </c>
      <c r="N32" s="565">
        <f>M32+M33-'8. P&amp;L and Cashflow'!N72</f>
        <v>1261.2110015539679</v>
      </c>
      <c r="O32" s="559">
        <f>N32+N33-'8. P&amp;L and Cashflow'!O72</f>
        <v>1404.0911981301742</v>
      </c>
      <c r="P32" s="574">
        <f>D32</f>
        <v>869.69999999999982</v>
      </c>
      <c r="Q32" s="593">
        <f>P32+P33</f>
        <v>1548.0528766876118</v>
      </c>
      <c r="R32" s="565">
        <f>Q32+Q33-'8. P&amp;L and Cashflow'!R72</f>
        <v>1902.7492807495591</v>
      </c>
      <c r="S32" s="565">
        <f>R32+R33-'8. P&amp;L and Cashflow'!S72</f>
        <v>2258.5389145785161</v>
      </c>
      <c r="T32" s="565">
        <f>S32+S33-'8. P&amp;L and Cashflow'!T72</f>
        <v>2615.4276998357209</v>
      </c>
      <c r="U32" s="565">
        <f>T32+T33-'8. P&amp;L and Cashflow'!U72</f>
        <v>2973.4215902580768</v>
      </c>
      <c r="V32" s="565">
        <f>U32+U33-'8. P&amp;L and Cashflow'!V72</f>
        <v>3332.5265718318947</v>
      </c>
      <c r="W32" s="565">
        <f>V32+V33-'8. P&amp;L and Cashflow'!W72</f>
        <v>3692.7486629675782</v>
      </c>
      <c r="X32" s="565">
        <f>W32+W33-'8. P&amp;L and Cashflow'!X72</f>
        <v>4054.0939146752544</v>
      </c>
      <c r="Y32" s="565">
        <f>X32+X33-'8. P&amp;L and Cashflow'!Y72</f>
        <v>4416.5684107413545</v>
      </c>
      <c r="Z32" s="565">
        <f>Y32+Y33-'8. P&amp;L and Cashflow'!Z72</f>
        <v>4780.1782679061535</v>
      </c>
      <c r="AA32" s="565">
        <f>Z32+Z33-'8. P&amp;L and Cashflow'!AA72</f>
        <v>5144.9296360422695</v>
      </c>
      <c r="AB32" s="559">
        <f>AA32+AA33-'8. P&amp;L and Cashflow'!AB72</f>
        <v>5510.8286983341304</v>
      </c>
      <c r="AC32" s="574">
        <f>Q32</f>
        <v>1548.0528766876118</v>
      </c>
      <c r="AD32" s="574">
        <f>AC32+AC33</f>
        <v>5877.8816714584154</v>
      </c>
      <c r="AE32" s="574">
        <f t="shared" ref="AE32:AF32" si="13">AD32+AD33</f>
        <v>12649.680597190194</v>
      </c>
      <c r="AF32" s="574">
        <f t="shared" si="13"/>
        <v>22396.896201952106</v>
      </c>
    </row>
    <row r="33" spans="2:32">
      <c r="B33" s="548" t="s">
        <v>301</v>
      </c>
      <c r="C33" s="568">
        <v>0</v>
      </c>
      <c r="D33" s="593">
        <f>'8. P&amp;L and Cashflow'!D60</f>
        <v>-847.04287698412713</v>
      </c>
      <c r="E33" s="565">
        <f>'8. P&amp;L and Cashflow'!E60</f>
        <v>140.53342209169625</v>
      </c>
      <c r="F33" s="565">
        <f>'8. P&amp;L and Cashflow'!F60</f>
        <v>127.65508653702545</v>
      </c>
      <c r="G33" s="565">
        <f>'8. P&amp;L and Cashflow'!G60</f>
        <v>135.47121774075842</v>
      </c>
      <c r="H33" s="565">
        <f>'8. P&amp;L and Cashflow'!H60</f>
        <v>136.51256775329784</v>
      </c>
      <c r="I33" s="565">
        <f>'8. P&amp;L and Cashflow'!I60</f>
        <v>137.55955841173852</v>
      </c>
      <c r="J33" s="565">
        <f>'8. P&amp;L and Cashflow'!J60</f>
        <v>138.6122202695791</v>
      </c>
      <c r="K33" s="565">
        <f>'8. P&amp;L and Cashflow'!K60</f>
        <v>139.67058404581627</v>
      </c>
      <c r="L33" s="565">
        <f>'8. P&amp;L and Cashflow'!L60</f>
        <v>140.73468062584143</v>
      </c>
      <c r="M33" s="565">
        <f>'8. P&amp;L and Cashflow'!M60</f>
        <v>141.80454106234171</v>
      </c>
      <c r="N33" s="565">
        <f>'8. P&amp;L and Cashflow'!N60</f>
        <v>142.88019657620637</v>
      </c>
      <c r="O33" s="559">
        <f>'8. P&amp;L and Cashflow'!O60</f>
        <v>143.96167855743781</v>
      </c>
      <c r="P33" s="574">
        <f>SUM(D33:O33)</f>
        <v>678.35287668761214</v>
      </c>
      <c r="Q33" s="593">
        <f>'8. P&amp;L and Cashflow'!Q60</f>
        <v>354.69640406194719</v>
      </c>
      <c r="R33" s="565">
        <f>'8. P&amp;L and Cashflow'!R60</f>
        <v>355.78963382895705</v>
      </c>
      <c r="S33" s="565">
        <f>'8. P&amp;L and Cashflow'!S60</f>
        <v>356.88878525720492</v>
      </c>
      <c r="T33" s="565">
        <f>'8. P&amp;L and Cashflow'!T60</f>
        <v>357.99389042235572</v>
      </c>
      <c r="U33" s="565">
        <f>'8. P&amp;L and Cashflow'!U60</f>
        <v>359.10498157381778</v>
      </c>
      <c r="V33" s="565">
        <f>'8. P&amp;L and Cashflow'!V60</f>
        <v>360.22209113568363</v>
      </c>
      <c r="W33" s="565">
        <f>'8. P&amp;L and Cashflow'!W60</f>
        <v>361.34525170767614</v>
      </c>
      <c r="X33" s="565">
        <f>'8. P&amp;L and Cashflow'!X60</f>
        <v>362.47449606610036</v>
      </c>
      <c r="Y33" s="565">
        <f>'8. P&amp;L and Cashflow'!Y60</f>
        <v>363.60985716479939</v>
      </c>
      <c r="Z33" s="565">
        <f>'8. P&amp;L and Cashflow'!Z60</f>
        <v>364.75136813611635</v>
      </c>
      <c r="AA33" s="565">
        <f>'8. P&amp;L and Cashflow'!AA60</f>
        <v>365.8990622918613</v>
      </c>
      <c r="AB33" s="559">
        <f>'8. P&amp;L and Cashflow'!AB60</f>
        <v>367.05297312428314</v>
      </c>
      <c r="AC33" s="574">
        <f>SUM(Q33:AB33)</f>
        <v>4329.8287947708031</v>
      </c>
      <c r="AD33" s="574">
        <f>'8. P&amp;L and Cashflow'!AD60</f>
        <v>6771.7989257317786</v>
      </c>
      <c r="AE33" s="574">
        <f>'8. P&amp;L and Cashflow'!AE60</f>
        <v>9747.2156047619119</v>
      </c>
      <c r="AF33" s="574">
        <f>'8. P&amp;L and Cashflow'!AF60</f>
        <v>12971.34507976191</v>
      </c>
    </row>
    <row r="34" spans="2:32" ht="13.5" thickBot="1">
      <c r="B34" s="540" t="s">
        <v>294</v>
      </c>
      <c r="C34" s="569">
        <f t="shared" ref="C34" si="14">C31+C32+C33</f>
        <v>2479.6999999999998</v>
      </c>
      <c r="D34" s="598">
        <f>SUM(D31:D33)</f>
        <v>2632.6571230158725</v>
      </c>
      <c r="E34" s="566">
        <f t="shared" ref="E34:AF34" si="15">SUM(E31:E33)</f>
        <v>2773.1905451075686</v>
      </c>
      <c r="F34" s="566">
        <f t="shared" si="15"/>
        <v>4900.8456316445945</v>
      </c>
      <c r="G34" s="566">
        <f t="shared" si="15"/>
        <v>5036.3168493853527</v>
      </c>
      <c r="H34" s="566">
        <f t="shared" si="15"/>
        <v>5172.8294171386506</v>
      </c>
      <c r="I34" s="566">
        <f t="shared" si="15"/>
        <v>5310.3889755503887</v>
      </c>
      <c r="J34" s="566">
        <f t="shared" si="15"/>
        <v>5449.0011958199684</v>
      </c>
      <c r="K34" s="566">
        <f t="shared" si="15"/>
        <v>5588.6717798657846</v>
      </c>
      <c r="L34" s="566">
        <f t="shared" si="15"/>
        <v>5729.4064604916257</v>
      </c>
      <c r="M34" s="566">
        <f t="shared" si="15"/>
        <v>5871.2110015539674</v>
      </c>
      <c r="N34" s="566">
        <f t="shared" si="15"/>
        <v>6014.0911981301742</v>
      </c>
      <c r="O34" s="560">
        <f t="shared" si="15"/>
        <v>6158.0528766876123</v>
      </c>
      <c r="P34" s="575">
        <f t="shared" si="15"/>
        <v>6158.0528766876123</v>
      </c>
      <c r="Q34" s="598">
        <f t="shared" si="15"/>
        <v>6512.7492807495591</v>
      </c>
      <c r="R34" s="566">
        <f t="shared" si="15"/>
        <v>6868.5389145785166</v>
      </c>
      <c r="S34" s="566">
        <f t="shared" si="15"/>
        <v>7225.4276998357209</v>
      </c>
      <c r="T34" s="566">
        <f t="shared" si="15"/>
        <v>7583.4215902580763</v>
      </c>
      <c r="U34" s="566">
        <f t="shared" si="15"/>
        <v>7942.5265718318942</v>
      </c>
      <c r="V34" s="566">
        <f t="shared" si="15"/>
        <v>8302.7486629675786</v>
      </c>
      <c r="W34" s="566">
        <f t="shared" si="15"/>
        <v>8664.0939146752553</v>
      </c>
      <c r="X34" s="566">
        <f t="shared" si="15"/>
        <v>9026.5684107413545</v>
      </c>
      <c r="Y34" s="566">
        <f t="shared" si="15"/>
        <v>9390.1782679061544</v>
      </c>
      <c r="Z34" s="566">
        <f t="shared" si="15"/>
        <v>9754.9296360422704</v>
      </c>
      <c r="AA34" s="566">
        <f t="shared" si="15"/>
        <v>10120.828698334131</v>
      </c>
      <c r="AB34" s="560">
        <f t="shared" si="15"/>
        <v>10487.881671458414</v>
      </c>
      <c r="AC34" s="575">
        <f t="shared" si="15"/>
        <v>10487.881671458415</v>
      </c>
      <c r="AD34" s="575">
        <f t="shared" si="15"/>
        <v>17259.680597190192</v>
      </c>
      <c r="AE34" s="575">
        <f t="shared" si="15"/>
        <v>27006.896201952106</v>
      </c>
      <c r="AF34" s="575">
        <f t="shared" si="15"/>
        <v>39978.241281714014</v>
      </c>
    </row>
    <row r="35" spans="2:32" ht="21" customHeight="1" thickBot="1">
      <c r="B35" s="541" t="s">
        <v>295</v>
      </c>
      <c r="C35" s="589">
        <f>C26+C28+C31+C32+C33</f>
        <v>2479.6999999999998</v>
      </c>
      <c r="D35" s="599">
        <f t="shared" ref="D35:AF35" si="16">D34+D29</f>
        <v>10513.653684759291</v>
      </c>
      <c r="E35" s="605">
        <f t="shared" si="16"/>
        <v>11649.078649970515</v>
      </c>
      <c r="F35" s="605">
        <f t="shared" si="16"/>
        <v>12970.514275485633</v>
      </c>
      <c r="G35" s="605">
        <f t="shared" si="16"/>
        <v>12898.649010123949</v>
      </c>
      <c r="H35" s="605">
        <f t="shared" si="16"/>
        <v>12826.702022157999</v>
      </c>
      <c r="I35" s="605">
        <f t="shared" si="16"/>
        <v>12754.672868923677</v>
      </c>
      <c r="J35" s="605">
        <f t="shared" si="16"/>
        <v>12682.561105359113</v>
      </c>
      <c r="K35" s="605">
        <f t="shared" si="16"/>
        <v>12610.366283991685</v>
      </c>
      <c r="L35" s="605">
        <f t="shared" si="16"/>
        <v>12538.08795492496</v>
      </c>
      <c r="M35" s="605">
        <f t="shared" si="16"/>
        <v>12465.725665825568</v>
      </c>
      <c r="N35" s="605">
        <f t="shared" si="16"/>
        <v>12393.278961909997</v>
      </c>
      <c r="O35" s="610">
        <f t="shared" si="16"/>
        <v>12320.747385931327</v>
      </c>
      <c r="P35" s="615">
        <f t="shared" si="16"/>
        <v>12320.747385931327</v>
      </c>
      <c r="Q35" s="599">
        <f t="shared" si="16"/>
        <v>12457.777863661762</v>
      </c>
      <c r="R35" s="605">
        <f t="shared" si="16"/>
        <v>12594.722547391579</v>
      </c>
      <c r="S35" s="605">
        <f t="shared" si="16"/>
        <v>12731.580972403273</v>
      </c>
      <c r="T35" s="605">
        <f t="shared" si="16"/>
        <v>12868.352671462122</v>
      </c>
      <c r="U35" s="605">
        <f t="shared" si="16"/>
        <v>13005.037174802546</v>
      </c>
      <c r="V35" s="605">
        <f t="shared" si="16"/>
        <v>13141.634010114407</v>
      </c>
      <c r="W35" s="605">
        <f t="shared" si="16"/>
        <v>13278.142702529214</v>
      </c>
      <c r="X35" s="605">
        <f t="shared" si="16"/>
        <v>13414.562774606275</v>
      </c>
      <c r="Y35" s="605">
        <f t="shared" si="16"/>
        <v>13550.893746318761</v>
      </c>
      <c r="Z35" s="605">
        <f t="shared" si="16"/>
        <v>13687.135135039696</v>
      </c>
      <c r="AA35" s="605">
        <f t="shared" si="16"/>
        <v>13823.286455527879</v>
      </c>
      <c r="AB35" s="610">
        <f t="shared" si="16"/>
        <v>13959.347219913712</v>
      </c>
      <c r="AC35" s="615">
        <f t="shared" si="16"/>
        <v>13959.347219913714</v>
      </c>
      <c r="AD35" s="615">
        <f t="shared" si="16"/>
        <v>17859.680597190192</v>
      </c>
      <c r="AE35" s="615">
        <f t="shared" si="16"/>
        <v>27606.896201952106</v>
      </c>
      <c r="AF35" s="615">
        <f t="shared" si="16"/>
        <v>40578.241281714014</v>
      </c>
    </row>
    <row r="36" spans="2:32">
      <c r="B36" s="542" t="s">
        <v>296</v>
      </c>
      <c r="C36" s="590">
        <f t="shared" ref="C36:AF36" si="17">C19-C29</f>
        <v>2479.6999999999998</v>
      </c>
      <c r="D36" s="600">
        <f t="shared" si="17"/>
        <v>2632.6571230158725</v>
      </c>
      <c r="E36" s="606">
        <f t="shared" si="17"/>
        <v>2773.1905451075672</v>
      </c>
      <c r="F36" s="606">
        <f t="shared" si="17"/>
        <v>4900.8456316445927</v>
      </c>
      <c r="G36" s="606">
        <f t="shared" si="17"/>
        <v>5036.3168493853509</v>
      </c>
      <c r="H36" s="606">
        <f t="shared" si="17"/>
        <v>5172.8294171386506</v>
      </c>
      <c r="I36" s="606">
        <f t="shared" si="17"/>
        <v>5310.3889755503887</v>
      </c>
      <c r="J36" s="606">
        <f t="shared" si="17"/>
        <v>5449.0011958199675</v>
      </c>
      <c r="K36" s="606">
        <f t="shared" si="17"/>
        <v>5588.6717798657828</v>
      </c>
      <c r="L36" s="606">
        <f t="shared" si="17"/>
        <v>5729.4064604916239</v>
      </c>
      <c r="M36" s="606">
        <f t="shared" si="17"/>
        <v>5871.2110015539683</v>
      </c>
      <c r="N36" s="606">
        <f t="shared" si="17"/>
        <v>6014.0911981301742</v>
      </c>
      <c r="O36" s="611">
        <f t="shared" si="17"/>
        <v>6158.0528766876105</v>
      </c>
      <c r="P36" s="616">
        <f t="shared" si="17"/>
        <v>6158.0528766876105</v>
      </c>
      <c r="Q36" s="600">
        <f t="shared" si="17"/>
        <v>6350.8696760349967</v>
      </c>
      <c r="R36" s="606">
        <f t="shared" si="17"/>
        <v>6868.5389145785157</v>
      </c>
      <c r="S36" s="606">
        <f t="shared" si="17"/>
        <v>7225.4276998357209</v>
      </c>
      <c r="T36" s="606">
        <f t="shared" si="17"/>
        <v>7583.4215902580772</v>
      </c>
      <c r="U36" s="606">
        <f t="shared" si="17"/>
        <v>7942.5265718318942</v>
      </c>
      <c r="V36" s="606">
        <f t="shared" si="17"/>
        <v>8302.7486629675768</v>
      </c>
      <c r="W36" s="606">
        <f t="shared" si="17"/>
        <v>8664.0939146752553</v>
      </c>
      <c r="X36" s="606">
        <f t="shared" si="17"/>
        <v>9026.5684107413545</v>
      </c>
      <c r="Y36" s="606">
        <f t="shared" si="17"/>
        <v>9390.1782679061544</v>
      </c>
      <c r="Z36" s="606">
        <f t="shared" si="17"/>
        <v>9754.9296360422723</v>
      </c>
      <c r="AA36" s="606">
        <f t="shared" si="17"/>
        <v>10120.828698334131</v>
      </c>
      <c r="AB36" s="611">
        <f t="shared" si="17"/>
        <v>10487.881671458415</v>
      </c>
      <c r="AC36" s="616">
        <f t="shared" si="17"/>
        <v>10487.881671458415</v>
      </c>
      <c r="AD36" s="616">
        <f t="shared" si="17"/>
        <v>17259.680597190192</v>
      </c>
      <c r="AE36" s="616">
        <f t="shared" si="17"/>
        <v>27006.896201952102</v>
      </c>
      <c r="AF36" s="616">
        <f t="shared" si="17"/>
        <v>39978.241281714007</v>
      </c>
    </row>
    <row r="37" spans="2:32">
      <c r="B37" s="259"/>
      <c r="C37" s="531" t="str">
        <f t="shared" ref="C37:AF37" si="18">IF(ROUND(C35-C19,0)&lt;&gt;0,"Checkline Problem"," ")</f>
        <v xml:space="preserve"> </v>
      </c>
      <c r="D37" s="531" t="str">
        <f t="shared" si="18"/>
        <v xml:space="preserve"> </v>
      </c>
      <c r="E37" s="531" t="str">
        <f t="shared" si="18"/>
        <v xml:space="preserve"> </v>
      </c>
      <c r="F37" s="531" t="str">
        <f t="shared" si="18"/>
        <v xml:space="preserve"> </v>
      </c>
      <c r="G37" s="531" t="str">
        <f t="shared" si="18"/>
        <v xml:space="preserve"> </v>
      </c>
      <c r="H37" s="531" t="str">
        <f t="shared" si="18"/>
        <v xml:space="preserve"> </v>
      </c>
      <c r="I37" s="531" t="str">
        <f t="shared" si="18"/>
        <v xml:space="preserve"> </v>
      </c>
      <c r="J37" s="531" t="str">
        <f t="shared" si="18"/>
        <v xml:space="preserve"> </v>
      </c>
      <c r="K37" s="531" t="str">
        <f t="shared" si="18"/>
        <v xml:space="preserve"> </v>
      </c>
      <c r="L37" s="531" t="str">
        <f t="shared" si="18"/>
        <v xml:space="preserve"> </v>
      </c>
      <c r="M37" s="531" t="str">
        <f t="shared" si="18"/>
        <v xml:space="preserve"> </v>
      </c>
      <c r="N37" s="531" t="str">
        <f t="shared" si="18"/>
        <v xml:space="preserve"> </v>
      </c>
      <c r="O37" s="531" t="str">
        <f t="shared" si="18"/>
        <v xml:space="preserve"> </v>
      </c>
      <c r="P37" s="531" t="str">
        <f t="shared" si="18"/>
        <v xml:space="preserve"> </v>
      </c>
      <c r="Q37" s="531" t="str">
        <f t="shared" si="18"/>
        <v>Checkline Problem</v>
      </c>
      <c r="R37" s="531" t="str">
        <f t="shared" si="18"/>
        <v xml:space="preserve"> </v>
      </c>
      <c r="S37" s="531" t="str">
        <f t="shared" si="18"/>
        <v xml:space="preserve"> </v>
      </c>
      <c r="T37" s="531" t="str">
        <f t="shared" si="18"/>
        <v xml:space="preserve"> </v>
      </c>
      <c r="U37" s="531" t="str">
        <f t="shared" si="18"/>
        <v xml:space="preserve"> </v>
      </c>
      <c r="V37" s="531" t="str">
        <f t="shared" si="18"/>
        <v xml:space="preserve"> </v>
      </c>
      <c r="W37" s="531" t="str">
        <f t="shared" si="18"/>
        <v xml:space="preserve"> </v>
      </c>
      <c r="X37" s="531" t="str">
        <f t="shared" si="18"/>
        <v xml:space="preserve"> </v>
      </c>
      <c r="Y37" s="531" t="str">
        <f t="shared" si="18"/>
        <v xml:space="preserve"> </v>
      </c>
      <c r="Z37" s="531" t="str">
        <f t="shared" si="18"/>
        <v xml:space="preserve"> </v>
      </c>
      <c r="AA37" s="531" t="str">
        <f t="shared" si="18"/>
        <v xml:space="preserve"> </v>
      </c>
      <c r="AB37" s="531" t="str">
        <f t="shared" si="18"/>
        <v xml:space="preserve"> </v>
      </c>
      <c r="AC37" s="531" t="str">
        <f t="shared" si="18"/>
        <v xml:space="preserve"> </v>
      </c>
      <c r="AD37" s="531" t="str">
        <f t="shared" si="18"/>
        <v xml:space="preserve"> </v>
      </c>
      <c r="AE37" s="531" t="str">
        <f t="shared" si="18"/>
        <v xml:space="preserve"> </v>
      </c>
      <c r="AF37" s="531" t="str">
        <f t="shared" si="18"/>
        <v xml:space="preserve"> </v>
      </c>
    </row>
    <row r="38" spans="2:32">
      <c r="B38" s="259"/>
      <c r="C38" s="532"/>
      <c r="D38" s="532">
        <f>D19-D35</f>
        <v>0</v>
      </c>
      <c r="E38" s="532">
        <f t="shared" ref="E38:AF38" si="19">E19-E35</f>
        <v>0</v>
      </c>
      <c r="F38" s="532">
        <f t="shared" si="19"/>
        <v>0</v>
      </c>
      <c r="G38" s="532">
        <f t="shared" si="19"/>
        <v>0</v>
      </c>
      <c r="H38" s="532">
        <f t="shared" si="19"/>
        <v>0</v>
      </c>
      <c r="I38" s="532">
        <f t="shared" si="19"/>
        <v>0</v>
      </c>
      <c r="J38" s="532">
        <f t="shared" si="19"/>
        <v>0</v>
      </c>
      <c r="K38" s="532">
        <f t="shared" si="19"/>
        <v>0</v>
      </c>
      <c r="L38" s="532">
        <f t="shared" si="19"/>
        <v>0</v>
      </c>
      <c r="M38" s="532">
        <f t="shared" si="19"/>
        <v>0</v>
      </c>
      <c r="N38" s="532">
        <f t="shared" si="19"/>
        <v>0</v>
      </c>
      <c r="O38" s="532">
        <f t="shared" si="19"/>
        <v>0</v>
      </c>
      <c r="P38" s="532">
        <f t="shared" si="19"/>
        <v>0</v>
      </c>
      <c r="Q38" s="532">
        <f t="shared" si="19"/>
        <v>-161.87960471456245</v>
      </c>
      <c r="R38" s="532">
        <f t="shared" si="19"/>
        <v>0</v>
      </c>
      <c r="S38" s="532">
        <f t="shared" si="19"/>
        <v>0</v>
      </c>
      <c r="T38" s="532">
        <f t="shared" si="19"/>
        <v>0</v>
      </c>
      <c r="U38" s="532">
        <f t="shared" si="19"/>
        <v>0</v>
      </c>
      <c r="V38" s="532">
        <f t="shared" si="19"/>
        <v>0</v>
      </c>
      <c r="W38" s="532">
        <f t="shared" si="19"/>
        <v>0</v>
      </c>
      <c r="X38" s="532">
        <f t="shared" si="19"/>
        <v>0</v>
      </c>
      <c r="Y38" s="532">
        <f t="shared" si="19"/>
        <v>0</v>
      </c>
      <c r="Z38" s="532">
        <f t="shared" si="19"/>
        <v>0</v>
      </c>
      <c r="AA38" s="532">
        <f t="shared" si="19"/>
        <v>0</v>
      </c>
      <c r="AB38" s="532">
        <f t="shared" si="19"/>
        <v>0</v>
      </c>
      <c r="AC38" s="532">
        <f t="shared" si="19"/>
        <v>0</v>
      </c>
      <c r="AD38" s="532">
        <f t="shared" si="19"/>
        <v>0</v>
      </c>
      <c r="AE38" s="532">
        <f t="shared" si="19"/>
        <v>0</v>
      </c>
      <c r="AF38" s="532">
        <f t="shared" si="19"/>
        <v>0</v>
      </c>
    </row>
    <row r="39" spans="2:32">
      <c r="E39" s="538"/>
      <c r="F39" s="538"/>
      <c r="G39" s="538"/>
      <c r="H39" s="538"/>
      <c r="I39" s="538"/>
      <c r="J39" s="538"/>
      <c r="K39" s="538"/>
      <c r="L39" s="538"/>
      <c r="M39" s="538"/>
      <c r="N39" s="538"/>
      <c r="O39" s="538"/>
      <c r="P39" s="538"/>
      <c r="Q39" s="538"/>
      <c r="R39" s="538"/>
      <c r="S39" s="538"/>
      <c r="T39" s="538"/>
      <c r="U39" s="538"/>
      <c r="V39" s="538"/>
      <c r="W39" s="538"/>
      <c r="X39" s="538"/>
      <c r="Y39" s="538"/>
      <c r="Z39" s="538"/>
      <c r="AA39" s="538"/>
      <c r="AB39" s="538"/>
      <c r="AC39" s="538"/>
      <c r="AD39" s="538"/>
      <c r="AE39" s="538"/>
      <c r="AF39" s="538"/>
    </row>
  </sheetData>
  <pageMargins left="0.17" right="0.17" top="0.55000000000000004" bottom="0.41" header="0.3" footer="0.3"/>
  <pageSetup scale="41" orientation="landscape" r:id="rId1"/>
  <headerFooter>
    <oddHeader>&amp;LTab 12 Balance Sheet&amp;CRapid Business Plan</oddHeader>
    <oddFooter>&amp;L&amp;D&amp;CHeartland Information Research,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P31"/>
  <sheetViews>
    <sheetView showGridLines="0" zoomScale="85" zoomScaleNormal="85" workbookViewId="0">
      <pane xSplit="3" ySplit="3" topLeftCell="V4" activePane="bottomRight" state="frozenSplit"/>
      <selection pane="topRight" activeCell="C6" sqref="C6"/>
      <selection pane="bottomLeft" activeCell="A4" sqref="A4"/>
      <selection pane="bottomRight" activeCell="AD4" sqref="AD4"/>
    </sheetView>
  </sheetViews>
  <sheetFormatPr defaultColWidth="18.7109375" defaultRowHeight="12.75" customHeight="1"/>
  <cols>
    <col min="1" max="1" width="11.140625" customWidth="1"/>
    <col min="2" max="2" width="8.85546875" customWidth="1"/>
    <col min="3" max="3" width="11.7109375" customWidth="1"/>
    <col min="4" max="4" width="10" bestFit="1" customWidth="1"/>
    <col min="5" max="6" width="9.42578125" bestFit="1" customWidth="1"/>
    <col min="7" max="15" width="9.42578125" customWidth="1"/>
    <col min="16" max="16" width="10" bestFit="1" customWidth="1"/>
    <col min="17" max="17" width="10" customWidth="1"/>
    <col min="18" max="68" width="9.42578125" customWidth="1"/>
  </cols>
  <sheetData>
    <row r="1" spans="1:68">
      <c r="A1" t="s">
        <v>55</v>
      </c>
    </row>
    <row r="2" spans="1:68">
      <c r="A2" s="699" t="str">
        <f>'0. Basic Info'!D11</f>
        <v>ACME 5 Year</v>
      </c>
      <c r="B2" s="699"/>
      <c r="C2" s="699"/>
      <c r="D2" s="1">
        <v>1</v>
      </c>
      <c r="E2" s="1">
        <v>2</v>
      </c>
      <c r="F2" s="1">
        <v>3</v>
      </c>
      <c r="G2" s="1">
        <v>4</v>
      </c>
      <c r="H2" s="1">
        <v>5</v>
      </c>
      <c r="I2" s="1">
        <v>6</v>
      </c>
      <c r="J2" s="1">
        <v>7</v>
      </c>
      <c r="K2" s="1">
        <v>8</v>
      </c>
      <c r="L2" s="1">
        <v>9</v>
      </c>
      <c r="M2" s="1">
        <v>10</v>
      </c>
      <c r="N2" s="1">
        <v>11</v>
      </c>
      <c r="O2" s="1">
        <v>12</v>
      </c>
      <c r="Q2" s="1">
        <v>13</v>
      </c>
      <c r="R2" s="1">
        <v>14</v>
      </c>
      <c r="S2" s="1">
        <v>15</v>
      </c>
      <c r="T2" s="1">
        <v>16</v>
      </c>
      <c r="U2" s="1">
        <v>17</v>
      </c>
      <c r="V2" s="1">
        <v>18</v>
      </c>
      <c r="W2" s="1">
        <v>19</v>
      </c>
      <c r="X2" s="1">
        <v>20</v>
      </c>
      <c r="Y2" s="1">
        <v>21</v>
      </c>
      <c r="Z2" s="1">
        <v>22</v>
      </c>
      <c r="AA2" s="1">
        <v>23</v>
      </c>
      <c r="AB2" s="1">
        <v>24</v>
      </c>
      <c r="AD2" s="1">
        <v>25</v>
      </c>
      <c r="AE2" s="1">
        <v>26</v>
      </c>
      <c r="AF2" s="1">
        <v>27</v>
      </c>
      <c r="AG2" s="1">
        <v>28</v>
      </c>
      <c r="AH2" s="1">
        <v>29</v>
      </c>
      <c r="AI2" s="1">
        <v>30</v>
      </c>
      <c r="AJ2" s="1">
        <v>31</v>
      </c>
      <c r="AK2" s="1">
        <v>32</v>
      </c>
      <c r="AL2" s="1">
        <v>33</v>
      </c>
      <c r="AM2" s="1">
        <v>34</v>
      </c>
      <c r="AN2" s="1">
        <v>35</v>
      </c>
      <c r="AO2" s="1">
        <v>36</v>
      </c>
      <c r="AQ2" s="1">
        <v>37</v>
      </c>
      <c r="AR2" s="1">
        <v>38</v>
      </c>
      <c r="AS2" s="1">
        <v>39</v>
      </c>
      <c r="AT2" s="1">
        <v>40</v>
      </c>
      <c r="AU2" s="1">
        <v>41</v>
      </c>
      <c r="AV2" s="1">
        <v>42</v>
      </c>
      <c r="AW2" s="1">
        <v>43</v>
      </c>
      <c r="AX2" s="1">
        <v>44</v>
      </c>
      <c r="AY2" s="1">
        <v>45</v>
      </c>
      <c r="AZ2" s="1">
        <v>46</v>
      </c>
      <c r="BA2" s="1">
        <v>47</v>
      </c>
      <c r="BB2" s="1">
        <v>48</v>
      </c>
      <c r="BD2" s="1">
        <v>49</v>
      </c>
      <c r="BE2" s="1">
        <v>50</v>
      </c>
      <c r="BF2" s="1">
        <v>51</v>
      </c>
      <c r="BG2" s="1">
        <v>52</v>
      </c>
      <c r="BH2" s="1">
        <v>53</v>
      </c>
      <c r="BI2" s="1">
        <v>54</v>
      </c>
      <c r="BJ2" s="1">
        <v>55</v>
      </c>
      <c r="BK2" s="1">
        <v>56</v>
      </c>
      <c r="BL2" s="1">
        <v>57</v>
      </c>
      <c r="BM2" s="1">
        <v>58</v>
      </c>
      <c r="BN2" s="1">
        <v>59</v>
      </c>
      <c r="BO2" s="1">
        <v>60</v>
      </c>
      <c r="BP2" s="1"/>
    </row>
    <row r="3" spans="1:68" ht="13.5" thickBot="1">
      <c r="A3" t="str">
        <f>'7. Funding Plan'!A22</f>
        <v>Term Loan 1</v>
      </c>
      <c r="D3" s="60">
        <f>DATE('0. Basic Info'!D16,'0. Basic Info'!D17,1)</f>
        <v>42370</v>
      </c>
      <c r="E3" s="60">
        <f>D3+31</f>
        <v>42401</v>
      </c>
      <c r="F3" s="60">
        <f>E3+31</f>
        <v>42432</v>
      </c>
      <c r="G3" s="60">
        <f>F3+31</f>
        <v>42463</v>
      </c>
      <c r="H3" s="60">
        <f t="shared" ref="H3:O3" si="0">G3+31</f>
        <v>42494</v>
      </c>
      <c r="I3" s="60">
        <f t="shared" si="0"/>
        <v>42525</v>
      </c>
      <c r="J3" s="60">
        <f t="shared" si="0"/>
        <v>42556</v>
      </c>
      <c r="K3" s="60">
        <f t="shared" si="0"/>
        <v>42587</v>
      </c>
      <c r="L3" s="60">
        <f t="shared" si="0"/>
        <v>42618</v>
      </c>
      <c r="M3" s="60">
        <f t="shared" si="0"/>
        <v>42649</v>
      </c>
      <c r="N3" s="60">
        <f t="shared" si="0"/>
        <v>42680</v>
      </c>
      <c r="O3" s="60">
        <f t="shared" si="0"/>
        <v>42711</v>
      </c>
      <c r="P3" s="70">
        <f>IF('0. Basic Info'!$D17=1,'0. Basic Info'!$D16,"Year 1")</f>
        <v>2016</v>
      </c>
      <c r="Q3" s="60">
        <f>D3</f>
        <v>42370</v>
      </c>
      <c r="R3" s="60">
        <f>Q3+31</f>
        <v>42401</v>
      </c>
      <c r="S3" s="60">
        <f>R3+31</f>
        <v>42432</v>
      </c>
      <c r="T3" s="60">
        <f>S3+31</f>
        <v>42463</v>
      </c>
      <c r="U3" s="60">
        <f t="shared" ref="U3:AB3" si="1">T3+31</f>
        <v>42494</v>
      </c>
      <c r="V3" s="60">
        <f t="shared" si="1"/>
        <v>42525</v>
      </c>
      <c r="W3" s="60">
        <f t="shared" si="1"/>
        <v>42556</v>
      </c>
      <c r="X3" s="60">
        <f t="shared" si="1"/>
        <v>42587</v>
      </c>
      <c r="Y3" s="60">
        <f t="shared" si="1"/>
        <v>42618</v>
      </c>
      <c r="Z3" s="60">
        <f t="shared" si="1"/>
        <v>42649</v>
      </c>
      <c r="AA3" s="60">
        <f t="shared" si="1"/>
        <v>42680</v>
      </c>
      <c r="AB3" s="60">
        <f t="shared" si="1"/>
        <v>42711</v>
      </c>
      <c r="AC3" s="70">
        <f>IF('0. Basic Info'!$D17=1,'0. Basic Info'!$D16+1,"Year 2")</f>
        <v>2017</v>
      </c>
      <c r="AD3" s="60">
        <f>Q3</f>
        <v>42370</v>
      </c>
      <c r="AE3" s="60">
        <f>AD3+31</f>
        <v>42401</v>
      </c>
      <c r="AF3" s="60">
        <f>AE3+31</f>
        <v>42432</v>
      </c>
      <c r="AG3" s="60">
        <f>AF3+31</f>
        <v>42463</v>
      </c>
      <c r="AH3" s="60">
        <f t="shared" ref="AH3:AO3" si="2">AG3+31</f>
        <v>42494</v>
      </c>
      <c r="AI3" s="60">
        <f t="shared" si="2"/>
        <v>42525</v>
      </c>
      <c r="AJ3" s="60">
        <f t="shared" si="2"/>
        <v>42556</v>
      </c>
      <c r="AK3" s="60">
        <f t="shared" si="2"/>
        <v>42587</v>
      </c>
      <c r="AL3" s="60">
        <f t="shared" si="2"/>
        <v>42618</v>
      </c>
      <c r="AM3" s="60">
        <f t="shared" si="2"/>
        <v>42649</v>
      </c>
      <c r="AN3" s="60">
        <f t="shared" si="2"/>
        <v>42680</v>
      </c>
      <c r="AO3" s="60">
        <f t="shared" si="2"/>
        <v>42711</v>
      </c>
      <c r="AP3" s="70">
        <f>IF('0. Basic Info'!$D17=1,'0. Basic Info'!$D16+2,"Year 3")</f>
        <v>2018</v>
      </c>
      <c r="AQ3" s="60">
        <f>AD3</f>
        <v>42370</v>
      </c>
      <c r="AR3" s="60">
        <f>AQ3+31</f>
        <v>42401</v>
      </c>
      <c r="AS3" s="60">
        <f>AR3+31</f>
        <v>42432</v>
      </c>
      <c r="AT3" s="60">
        <f>AS3+31</f>
        <v>42463</v>
      </c>
      <c r="AU3" s="60">
        <f t="shared" ref="AU3:BB3" si="3">AT3+31</f>
        <v>42494</v>
      </c>
      <c r="AV3" s="60">
        <f t="shared" si="3"/>
        <v>42525</v>
      </c>
      <c r="AW3" s="60">
        <f t="shared" si="3"/>
        <v>42556</v>
      </c>
      <c r="AX3" s="60">
        <f t="shared" si="3"/>
        <v>42587</v>
      </c>
      <c r="AY3" s="60">
        <f t="shared" si="3"/>
        <v>42618</v>
      </c>
      <c r="AZ3" s="60">
        <f t="shared" si="3"/>
        <v>42649</v>
      </c>
      <c r="BA3" s="60">
        <f t="shared" si="3"/>
        <v>42680</v>
      </c>
      <c r="BB3" s="60">
        <f t="shared" si="3"/>
        <v>42711</v>
      </c>
      <c r="BC3" s="70">
        <f>IF('0. Basic Info'!$D17=1,'0. Basic Info'!$D16+3,"Year 4")</f>
        <v>2019</v>
      </c>
      <c r="BD3" s="60">
        <f>AQ3</f>
        <v>42370</v>
      </c>
      <c r="BE3" s="60">
        <f>BD3+31</f>
        <v>42401</v>
      </c>
      <c r="BF3" s="60">
        <f>BE3+31</f>
        <v>42432</v>
      </c>
      <c r="BG3" s="60">
        <f>BF3+31</f>
        <v>42463</v>
      </c>
      <c r="BH3" s="60">
        <f t="shared" ref="BH3:BO3" si="4">BG3+31</f>
        <v>42494</v>
      </c>
      <c r="BI3" s="60">
        <f t="shared" si="4"/>
        <v>42525</v>
      </c>
      <c r="BJ3" s="60">
        <f t="shared" si="4"/>
        <v>42556</v>
      </c>
      <c r="BK3" s="60">
        <f t="shared" si="4"/>
        <v>42587</v>
      </c>
      <c r="BL3" s="60">
        <f t="shared" si="4"/>
        <v>42618</v>
      </c>
      <c r="BM3" s="60">
        <f t="shared" si="4"/>
        <v>42649</v>
      </c>
      <c r="BN3" s="60">
        <f t="shared" si="4"/>
        <v>42680</v>
      </c>
      <c r="BO3" s="60">
        <f t="shared" si="4"/>
        <v>42711</v>
      </c>
      <c r="BP3" s="70">
        <f>IF('0. Basic Info'!$D17=1,'0. Basic Info'!$D16+4,"Year 5")</f>
        <v>2020</v>
      </c>
    </row>
    <row r="4" spans="1:68">
      <c r="A4" s="61">
        <f>'7. Funding Plan'!C22</f>
        <v>8085</v>
      </c>
      <c r="B4" s="62" t="s">
        <v>25</v>
      </c>
      <c r="C4" s="10" t="s">
        <v>58</v>
      </c>
      <c r="D4" s="67">
        <f>A4</f>
        <v>8085</v>
      </c>
      <c r="E4" s="69">
        <f>D8</f>
        <v>7880.9965617434182</v>
      </c>
      <c r="F4" s="69">
        <f t="shared" ref="F4:O4" si="5">E8</f>
        <v>7675.8881048629464</v>
      </c>
      <c r="G4" s="69">
        <f t="shared" si="5"/>
        <v>7469.6686438410388</v>
      </c>
      <c r="H4" s="69">
        <f t="shared" si="5"/>
        <v>7262.332160738596</v>
      </c>
      <c r="I4" s="69">
        <f t="shared" si="5"/>
        <v>7053.8726050193482</v>
      </c>
      <c r="J4" s="69">
        <f t="shared" si="5"/>
        <v>6844.2838933732883</v>
      </c>
      <c r="K4" s="69">
        <f t="shared" si="5"/>
        <v>6633.5599095391453</v>
      </c>
      <c r="L4" s="69">
        <f t="shared" si="5"/>
        <v>6421.6945041259005</v>
      </c>
      <c r="M4" s="69">
        <f t="shared" si="5"/>
        <v>6208.6814944333346</v>
      </c>
      <c r="N4" s="69">
        <f t="shared" si="5"/>
        <v>5994.5146642715999</v>
      </c>
      <c r="O4" s="69">
        <f t="shared" si="5"/>
        <v>5779.1877637798225</v>
      </c>
      <c r="P4" s="67">
        <f>D4</f>
        <v>8085</v>
      </c>
      <c r="Q4" s="67">
        <f>O8</f>
        <v>5562.6945092437145</v>
      </c>
      <c r="R4" s="69">
        <f>Q8</f>
        <v>5345.0285829122031</v>
      </c>
      <c r="S4" s="69">
        <f t="shared" ref="S4:AB4" si="6">R8</f>
        <v>5126.183632813063</v>
      </c>
      <c r="T4" s="69">
        <f t="shared" si="6"/>
        <v>4906.1532725675524</v>
      </c>
      <c r="U4" s="69">
        <f t="shared" si="6"/>
        <v>4684.9310812040449</v>
      </c>
      <c r="V4" s="69">
        <f t="shared" si="6"/>
        <v>4462.5106029706521</v>
      </c>
      <c r="W4" s="69">
        <f t="shared" si="6"/>
        <v>4238.8853471468283</v>
      </c>
      <c r="X4" s="69">
        <f t="shared" si="6"/>
        <v>4014.0487878539589</v>
      </c>
      <c r="Y4" s="69">
        <f t="shared" si="6"/>
        <v>3787.9943638649197</v>
      </c>
      <c r="Z4" s="69">
        <f t="shared" si="6"/>
        <v>3560.7154784126064</v>
      </c>
      <c r="AA4" s="69">
        <f t="shared" si="6"/>
        <v>3332.2054989974263</v>
      </c>
      <c r="AB4" s="69">
        <f t="shared" si="6"/>
        <v>3102.4577571937475</v>
      </c>
      <c r="AC4" s="67">
        <f>Q4</f>
        <v>5562.6945092437145</v>
      </c>
      <c r="AD4" s="67">
        <f>IF(AB8&lt;0.1,0,AB8)</f>
        <v>2871.4655484552986</v>
      </c>
      <c r="AE4" s="69">
        <f>AD8</f>
        <v>2639.2221319195164</v>
      </c>
      <c r="AF4" s="69">
        <f t="shared" ref="AF4:AO4" si="7">AE8</f>
        <v>2405.7207302108322</v>
      </c>
      <c r="AG4" s="69">
        <f t="shared" si="7"/>
        <v>2170.9545292428925</v>
      </c>
      <c r="AH4" s="69">
        <f t="shared" si="7"/>
        <v>1934.9166780197099</v>
      </c>
      <c r="AI4" s="69">
        <f t="shared" si="7"/>
        <v>1697.6002884357351</v>
      </c>
      <c r="AJ4" s="69">
        <f t="shared" si="7"/>
        <v>1458.9984350748471</v>
      </c>
      <c r="AK4" s="69">
        <f t="shared" si="7"/>
        <v>1219.1041550082541</v>
      </c>
      <c r="AL4" s="69">
        <f t="shared" si="7"/>
        <v>977.91044759130057</v>
      </c>
      <c r="AM4" s="69">
        <f t="shared" si="7"/>
        <v>735.41027425917184</v>
      </c>
      <c r="AN4" s="69">
        <f t="shared" si="7"/>
        <v>491.59655832149406</v>
      </c>
      <c r="AO4" s="69">
        <f t="shared" si="7"/>
        <v>246.46218475582054</v>
      </c>
      <c r="AP4" s="67">
        <f>AO4</f>
        <v>246.46218475582054</v>
      </c>
      <c r="AQ4" s="67">
        <f>IF(AO8&lt;0.1,0,AO8)</f>
        <v>0</v>
      </c>
      <c r="AR4" s="69">
        <f>AQ8</f>
        <v>0</v>
      </c>
      <c r="AS4" s="69">
        <f t="shared" ref="AS4:BB4" si="8">AR8</f>
        <v>0</v>
      </c>
      <c r="AT4" s="69">
        <f t="shared" si="8"/>
        <v>0</v>
      </c>
      <c r="AU4" s="69">
        <f t="shared" si="8"/>
        <v>0</v>
      </c>
      <c r="AV4" s="69">
        <f t="shared" si="8"/>
        <v>0</v>
      </c>
      <c r="AW4" s="69">
        <f t="shared" si="8"/>
        <v>0</v>
      </c>
      <c r="AX4" s="69">
        <f t="shared" si="8"/>
        <v>0</v>
      </c>
      <c r="AY4" s="69">
        <f t="shared" si="8"/>
        <v>0</v>
      </c>
      <c r="AZ4" s="69">
        <f t="shared" si="8"/>
        <v>0</v>
      </c>
      <c r="BA4" s="69">
        <f t="shared" si="8"/>
        <v>0</v>
      </c>
      <c r="BB4" s="69">
        <f t="shared" si="8"/>
        <v>0</v>
      </c>
      <c r="BC4" s="67">
        <f>BB4</f>
        <v>0</v>
      </c>
      <c r="BD4" s="67">
        <f>IF(BB8&lt;0.1,0,BB8)</f>
        <v>0</v>
      </c>
      <c r="BE4" s="69">
        <f>BD8</f>
        <v>0</v>
      </c>
      <c r="BF4" s="69">
        <f t="shared" ref="BF4:BO4" si="9">BE8</f>
        <v>0</v>
      </c>
      <c r="BG4" s="69">
        <f t="shared" si="9"/>
        <v>0</v>
      </c>
      <c r="BH4" s="69">
        <f t="shared" si="9"/>
        <v>0</v>
      </c>
      <c r="BI4" s="69">
        <f t="shared" si="9"/>
        <v>0</v>
      </c>
      <c r="BJ4" s="69">
        <f t="shared" si="9"/>
        <v>0</v>
      </c>
      <c r="BK4" s="69">
        <f t="shared" si="9"/>
        <v>0</v>
      </c>
      <c r="BL4" s="69">
        <f t="shared" si="9"/>
        <v>0</v>
      </c>
      <c r="BM4" s="69">
        <f t="shared" si="9"/>
        <v>0</v>
      </c>
      <c r="BN4" s="69">
        <f t="shared" si="9"/>
        <v>0</v>
      </c>
      <c r="BO4" s="69">
        <f t="shared" si="9"/>
        <v>0</v>
      </c>
      <c r="BP4" s="67">
        <f>BO4</f>
        <v>0</v>
      </c>
    </row>
    <row r="5" spans="1:68">
      <c r="A5" s="63">
        <f>'7. Funding Plan'!D22</f>
        <v>6.5000000000000002E-2</v>
      </c>
      <c r="B5" s="64" t="s">
        <v>3</v>
      </c>
      <c r="C5" s="10" t="s">
        <v>59</v>
      </c>
      <c r="D5" s="68">
        <f>IF(D4&gt;0,PMT($A5/12,$A6*12,$A4)*-1,0)</f>
        <v>247.79718825658162</v>
      </c>
      <c r="E5" s="68">
        <f t="shared" ref="E5:BO5" si="10">IF(E4&gt;0,PMT($A5/12,$A6*12,$A4)*-1,0)</f>
        <v>247.79718825658162</v>
      </c>
      <c r="F5" s="68">
        <f t="shared" si="10"/>
        <v>247.79718825658162</v>
      </c>
      <c r="G5" s="68">
        <f t="shared" si="10"/>
        <v>247.79718825658162</v>
      </c>
      <c r="H5" s="68">
        <f t="shared" si="10"/>
        <v>247.79718825658162</v>
      </c>
      <c r="I5" s="68">
        <f t="shared" si="10"/>
        <v>247.79718825658162</v>
      </c>
      <c r="J5" s="68">
        <f t="shared" si="10"/>
        <v>247.79718825658162</v>
      </c>
      <c r="K5" s="68">
        <f t="shared" si="10"/>
        <v>247.79718825658162</v>
      </c>
      <c r="L5" s="68">
        <f t="shared" si="10"/>
        <v>247.79718825658162</v>
      </c>
      <c r="M5" s="68">
        <f t="shared" si="10"/>
        <v>247.79718825658162</v>
      </c>
      <c r="N5" s="68">
        <f t="shared" si="10"/>
        <v>247.79718825658162</v>
      </c>
      <c r="O5" s="68">
        <f t="shared" si="10"/>
        <v>247.79718825658162</v>
      </c>
      <c r="P5" s="69">
        <f>SUM(D5:O5)</f>
        <v>2973.5662590789793</v>
      </c>
      <c r="Q5" s="68">
        <f t="shared" si="10"/>
        <v>247.79718825658162</v>
      </c>
      <c r="R5" s="68">
        <f t="shared" si="10"/>
        <v>247.79718825658162</v>
      </c>
      <c r="S5" s="68">
        <f t="shared" si="10"/>
        <v>247.79718825658162</v>
      </c>
      <c r="T5" s="68">
        <f t="shared" si="10"/>
        <v>247.79718825658162</v>
      </c>
      <c r="U5" s="68">
        <f t="shared" si="10"/>
        <v>247.79718825658162</v>
      </c>
      <c r="V5" s="68">
        <f t="shared" si="10"/>
        <v>247.79718825658162</v>
      </c>
      <c r="W5" s="68">
        <f t="shared" si="10"/>
        <v>247.79718825658162</v>
      </c>
      <c r="X5" s="68">
        <f t="shared" si="10"/>
        <v>247.79718825658162</v>
      </c>
      <c r="Y5" s="68">
        <f t="shared" si="10"/>
        <v>247.79718825658162</v>
      </c>
      <c r="Z5" s="68">
        <f t="shared" si="10"/>
        <v>247.79718825658162</v>
      </c>
      <c r="AA5" s="68">
        <f t="shared" si="10"/>
        <v>247.79718825658162</v>
      </c>
      <c r="AB5" s="68">
        <f t="shared" si="10"/>
        <v>247.79718825658162</v>
      </c>
      <c r="AC5" s="69">
        <f>SUM(Q5:AB5)</f>
        <v>2973.5662590789793</v>
      </c>
      <c r="AD5" s="68">
        <f t="shared" si="10"/>
        <v>247.79718825658162</v>
      </c>
      <c r="AE5" s="68">
        <f t="shared" si="10"/>
        <v>247.79718825658162</v>
      </c>
      <c r="AF5" s="68">
        <f t="shared" si="10"/>
        <v>247.79718825658162</v>
      </c>
      <c r="AG5" s="68">
        <f t="shared" si="10"/>
        <v>247.79718825658162</v>
      </c>
      <c r="AH5" s="68">
        <f t="shared" si="10"/>
        <v>247.79718825658162</v>
      </c>
      <c r="AI5" s="68">
        <f t="shared" si="10"/>
        <v>247.79718825658162</v>
      </c>
      <c r="AJ5" s="68">
        <f t="shared" si="10"/>
        <v>247.79718825658162</v>
      </c>
      <c r="AK5" s="68">
        <f t="shared" si="10"/>
        <v>247.79718825658162</v>
      </c>
      <c r="AL5" s="68">
        <f t="shared" si="10"/>
        <v>247.79718825658162</v>
      </c>
      <c r="AM5" s="68">
        <f t="shared" si="10"/>
        <v>247.79718825658162</v>
      </c>
      <c r="AN5" s="68">
        <f t="shared" si="10"/>
        <v>247.79718825658162</v>
      </c>
      <c r="AO5" s="68">
        <f t="shared" si="10"/>
        <v>247.79718825658162</v>
      </c>
      <c r="AP5" s="69">
        <f>SUM(AD5:AO5)</f>
        <v>2973.5662590789793</v>
      </c>
      <c r="AQ5" s="68">
        <f t="shared" si="10"/>
        <v>0</v>
      </c>
      <c r="AR5" s="68">
        <f t="shared" si="10"/>
        <v>0</v>
      </c>
      <c r="AS5" s="68">
        <f t="shared" si="10"/>
        <v>0</v>
      </c>
      <c r="AT5" s="68">
        <f t="shared" si="10"/>
        <v>0</v>
      </c>
      <c r="AU5" s="68">
        <f t="shared" si="10"/>
        <v>0</v>
      </c>
      <c r="AV5" s="68">
        <f t="shared" si="10"/>
        <v>0</v>
      </c>
      <c r="AW5" s="68">
        <f t="shared" si="10"/>
        <v>0</v>
      </c>
      <c r="AX5" s="68">
        <f t="shared" si="10"/>
        <v>0</v>
      </c>
      <c r="AY5" s="68">
        <f t="shared" si="10"/>
        <v>0</v>
      </c>
      <c r="AZ5" s="68">
        <f t="shared" si="10"/>
        <v>0</v>
      </c>
      <c r="BA5" s="68">
        <f t="shared" si="10"/>
        <v>0</v>
      </c>
      <c r="BB5" s="68">
        <f t="shared" si="10"/>
        <v>0</v>
      </c>
      <c r="BC5" s="69">
        <f>SUM(AQ5:BB5)</f>
        <v>0</v>
      </c>
      <c r="BD5" s="68">
        <f t="shared" si="10"/>
        <v>0</v>
      </c>
      <c r="BE5" s="68">
        <f t="shared" si="10"/>
        <v>0</v>
      </c>
      <c r="BF5" s="68">
        <f t="shared" si="10"/>
        <v>0</v>
      </c>
      <c r="BG5" s="68">
        <f t="shared" si="10"/>
        <v>0</v>
      </c>
      <c r="BH5" s="68">
        <f t="shared" si="10"/>
        <v>0</v>
      </c>
      <c r="BI5" s="68">
        <f t="shared" si="10"/>
        <v>0</v>
      </c>
      <c r="BJ5" s="68">
        <f t="shared" si="10"/>
        <v>0</v>
      </c>
      <c r="BK5" s="68">
        <f t="shared" si="10"/>
        <v>0</v>
      </c>
      <c r="BL5" s="68">
        <f t="shared" si="10"/>
        <v>0</v>
      </c>
      <c r="BM5" s="68">
        <f t="shared" si="10"/>
        <v>0</v>
      </c>
      <c r="BN5" s="68">
        <f t="shared" si="10"/>
        <v>0</v>
      </c>
      <c r="BO5" s="68">
        <f t="shared" si="10"/>
        <v>0</v>
      </c>
      <c r="BP5" s="69">
        <f>SUM(BD5:BO5)</f>
        <v>0</v>
      </c>
    </row>
    <row r="6" spans="1:68" ht="13.5" thickBot="1">
      <c r="A6" s="65">
        <f>'7. Funding Plan'!E22</f>
        <v>3</v>
      </c>
      <c r="B6" s="66" t="s">
        <v>27</v>
      </c>
      <c r="C6" s="10" t="s">
        <v>3</v>
      </c>
      <c r="D6" s="69">
        <f>$A5/12*D4</f>
        <v>43.793750000000003</v>
      </c>
      <c r="E6" s="69">
        <f>$A5/12*E4</f>
        <v>42.688731376110184</v>
      </c>
      <c r="F6" s="69">
        <f t="shared" ref="F6:O6" si="11">$A5/12*F4</f>
        <v>41.577727234674292</v>
      </c>
      <c r="G6" s="69">
        <f t="shared" si="11"/>
        <v>40.460705154138964</v>
      </c>
      <c r="H6" s="69">
        <f t="shared" si="11"/>
        <v>39.337632537334066</v>
      </c>
      <c r="I6" s="69">
        <f t="shared" si="11"/>
        <v>38.208476610521473</v>
      </c>
      <c r="J6" s="69">
        <f t="shared" si="11"/>
        <v>37.073204422438643</v>
      </c>
      <c r="K6" s="69">
        <f t="shared" si="11"/>
        <v>35.931782843337039</v>
      </c>
      <c r="L6" s="69">
        <f t="shared" si="11"/>
        <v>34.784178564015292</v>
      </c>
      <c r="M6" s="69">
        <f t="shared" si="11"/>
        <v>33.630358094847232</v>
      </c>
      <c r="N6" s="69">
        <f t="shared" si="11"/>
        <v>32.470287764804503</v>
      </c>
      <c r="O6" s="69">
        <f t="shared" si="11"/>
        <v>31.303933720474038</v>
      </c>
      <c r="P6" s="69">
        <f>SUM(D6:O6)</f>
        <v>451.2607683226957</v>
      </c>
      <c r="Q6" s="69">
        <f t="shared" ref="Q6:AB6" si="12">$A5/12*Q4</f>
        <v>30.13126192507012</v>
      </c>
      <c r="R6" s="69">
        <f t="shared" si="12"/>
        <v>28.952238157441101</v>
      </c>
      <c r="S6" s="69">
        <f t="shared" si="12"/>
        <v>27.766828011070761</v>
      </c>
      <c r="T6" s="69">
        <f t="shared" si="12"/>
        <v>26.574996893074243</v>
      </c>
      <c r="U6" s="69">
        <f t="shared" si="12"/>
        <v>25.376710023188576</v>
      </c>
      <c r="V6" s="69">
        <f t="shared" si="12"/>
        <v>24.1719324327577</v>
      </c>
      <c r="W6" s="69">
        <f t="shared" si="12"/>
        <v>22.960628963711986</v>
      </c>
      <c r="X6" s="69">
        <f t="shared" si="12"/>
        <v>21.742764267542277</v>
      </c>
      <c r="Y6" s="69">
        <f t="shared" si="12"/>
        <v>20.518302804268316</v>
      </c>
      <c r="Z6" s="69">
        <f t="shared" si="12"/>
        <v>19.287208841401618</v>
      </c>
      <c r="AA6" s="69">
        <f t="shared" si="12"/>
        <v>18.049446452902725</v>
      </c>
      <c r="AB6" s="69">
        <f t="shared" si="12"/>
        <v>16.8049795181328</v>
      </c>
      <c r="AC6" s="69">
        <f>SUM(Q6:AB6)</f>
        <v>282.33729829056227</v>
      </c>
      <c r="AD6" s="69">
        <f t="shared" ref="AD6:AO6" si="13">$A5/12*AD4</f>
        <v>15.553771720799535</v>
      </c>
      <c r="AE6" s="69">
        <f t="shared" si="13"/>
        <v>14.29578654789738</v>
      </c>
      <c r="AF6" s="69">
        <f t="shared" si="13"/>
        <v>13.030987288642008</v>
      </c>
      <c r="AG6" s="69">
        <f t="shared" si="13"/>
        <v>11.759337033399001</v>
      </c>
      <c r="AH6" s="69">
        <f t="shared" si="13"/>
        <v>10.480798672606763</v>
      </c>
      <c r="AI6" s="69">
        <f t="shared" si="13"/>
        <v>9.1953348956935663</v>
      </c>
      <c r="AJ6" s="69">
        <f t="shared" si="13"/>
        <v>7.9029081899887554</v>
      </c>
      <c r="AK6" s="69">
        <f t="shared" si="13"/>
        <v>6.6034808396280429</v>
      </c>
      <c r="AL6" s="69">
        <f t="shared" si="13"/>
        <v>5.2970149244528786</v>
      </c>
      <c r="AM6" s="69">
        <f t="shared" si="13"/>
        <v>3.9834723189038477</v>
      </c>
      <c r="AN6" s="69">
        <f t="shared" si="13"/>
        <v>2.662814690908093</v>
      </c>
      <c r="AO6" s="69">
        <f t="shared" si="13"/>
        <v>1.3350035007606946</v>
      </c>
      <c r="AP6" s="69">
        <f>SUM(AD6:AO6)</f>
        <v>102.10071062368057</v>
      </c>
      <c r="AQ6" s="69">
        <f t="shared" ref="AQ6:BB6" si="14">$A5/12*AQ4</f>
        <v>0</v>
      </c>
      <c r="AR6" s="69">
        <f t="shared" si="14"/>
        <v>0</v>
      </c>
      <c r="AS6" s="69">
        <f t="shared" si="14"/>
        <v>0</v>
      </c>
      <c r="AT6" s="69">
        <f t="shared" si="14"/>
        <v>0</v>
      </c>
      <c r="AU6" s="69">
        <f t="shared" si="14"/>
        <v>0</v>
      </c>
      <c r="AV6" s="69">
        <f t="shared" si="14"/>
        <v>0</v>
      </c>
      <c r="AW6" s="69">
        <f t="shared" si="14"/>
        <v>0</v>
      </c>
      <c r="AX6" s="69">
        <f t="shared" si="14"/>
        <v>0</v>
      </c>
      <c r="AY6" s="69">
        <f t="shared" si="14"/>
        <v>0</v>
      </c>
      <c r="AZ6" s="69">
        <f t="shared" si="14"/>
        <v>0</v>
      </c>
      <c r="BA6" s="69">
        <f t="shared" si="14"/>
        <v>0</v>
      </c>
      <c r="BB6" s="69">
        <f t="shared" si="14"/>
        <v>0</v>
      </c>
      <c r="BC6" s="69">
        <f>SUM(AQ6:BB6)</f>
        <v>0</v>
      </c>
      <c r="BD6" s="69">
        <f t="shared" ref="BD6:BO6" si="15">$A5/12*BD4</f>
        <v>0</v>
      </c>
      <c r="BE6" s="69">
        <f t="shared" si="15"/>
        <v>0</v>
      </c>
      <c r="BF6" s="69">
        <f t="shared" si="15"/>
        <v>0</v>
      </c>
      <c r="BG6" s="69">
        <f t="shared" si="15"/>
        <v>0</v>
      </c>
      <c r="BH6" s="69">
        <f t="shared" si="15"/>
        <v>0</v>
      </c>
      <c r="BI6" s="69">
        <f t="shared" si="15"/>
        <v>0</v>
      </c>
      <c r="BJ6" s="69">
        <f t="shared" si="15"/>
        <v>0</v>
      </c>
      <c r="BK6" s="69">
        <f t="shared" si="15"/>
        <v>0</v>
      </c>
      <c r="BL6" s="69">
        <f t="shared" si="15"/>
        <v>0</v>
      </c>
      <c r="BM6" s="69">
        <f t="shared" si="15"/>
        <v>0</v>
      </c>
      <c r="BN6" s="69">
        <f t="shared" si="15"/>
        <v>0</v>
      </c>
      <c r="BO6" s="69">
        <f t="shared" si="15"/>
        <v>0</v>
      </c>
      <c r="BP6" s="69">
        <f>SUM(BD6:BO6)</f>
        <v>0</v>
      </c>
    </row>
    <row r="7" spans="1:68">
      <c r="C7" s="44" t="s">
        <v>60</v>
      </c>
      <c r="D7" s="69">
        <f>D5-D6</f>
        <v>204.0034382565816</v>
      </c>
      <c r="E7" s="69">
        <f>E5-E6</f>
        <v>205.10845688047144</v>
      </c>
      <c r="F7" s="69">
        <f t="shared" ref="F7:O7" si="16">F5-F6</f>
        <v>206.21946102190734</v>
      </c>
      <c r="G7" s="69">
        <f t="shared" si="16"/>
        <v>207.33648310244266</v>
      </c>
      <c r="H7" s="69">
        <f t="shared" si="16"/>
        <v>208.45955571924756</v>
      </c>
      <c r="I7" s="69">
        <f t="shared" si="16"/>
        <v>209.58871164606015</v>
      </c>
      <c r="J7" s="69">
        <f t="shared" si="16"/>
        <v>210.72398383414298</v>
      </c>
      <c r="K7" s="69">
        <f t="shared" si="16"/>
        <v>211.86540541324459</v>
      </c>
      <c r="L7" s="69">
        <f t="shared" si="16"/>
        <v>213.01300969256633</v>
      </c>
      <c r="M7" s="69">
        <f t="shared" si="16"/>
        <v>214.1668301617344</v>
      </c>
      <c r="N7" s="69">
        <f t="shared" si="16"/>
        <v>215.32690049177711</v>
      </c>
      <c r="O7" s="69">
        <f t="shared" si="16"/>
        <v>216.49325453610757</v>
      </c>
      <c r="P7" s="69">
        <f>SUM(D7:O7)</f>
        <v>2522.3054907562837</v>
      </c>
      <c r="Q7" s="69">
        <f t="shared" ref="Q7:AB7" si="17">Q5-Q6</f>
        <v>217.66592633151151</v>
      </c>
      <c r="R7" s="69">
        <f t="shared" si="17"/>
        <v>218.84495009914053</v>
      </c>
      <c r="S7" s="69">
        <f t="shared" si="17"/>
        <v>220.03036024551085</v>
      </c>
      <c r="T7" s="69">
        <f t="shared" si="17"/>
        <v>221.22219136350736</v>
      </c>
      <c r="U7" s="69">
        <f t="shared" si="17"/>
        <v>222.42047823339306</v>
      </c>
      <c r="V7" s="69">
        <f t="shared" si="17"/>
        <v>223.62525582382392</v>
      </c>
      <c r="W7" s="69">
        <f t="shared" si="17"/>
        <v>224.83655929286962</v>
      </c>
      <c r="X7" s="69">
        <f t="shared" si="17"/>
        <v>226.05442398903935</v>
      </c>
      <c r="Y7" s="69">
        <f t="shared" si="17"/>
        <v>227.27888545231332</v>
      </c>
      <c r="Z7" s="69">
        <f t="shared" si="17"/>
        <v>228.50997941518</v>
      </c>
      <c r="AA7" s="69">
        <f t="shared" si="17"/>
        <v>229.74774180367891</v>
      </c>
      <c r="AB7" s="69">
        <f t="shared" si="17"/>
        <v>230.99220873844882</v>
      </c>
      <c r="AC7" s="69">
        <f>SUM(Q7:AB7)</f>
        <v>2691.2289607884172</v>
      </c>
      <c r="AD7" s="69">
        <f t="shared" ref="AD7:AO7" si="18">AD5-AD6</f>
        <v>232.24341653578207</v>
      </c>
      <c r="AE7" s="69">
        <f t="shared" si="18"/>
        <v>233.50140170868423</v>
      </c>
      <c r="AF7" s="69">
        <f t="shared" si="18"/>
        <v>234.76620096793962</v>
      </c>
      <c r="AG7" s="69">
        <f t="shared" si="18"/>
        <v>236.03785122318263</v>
      </c>
      <c r="AH7" s="69">
        <f t="shared" si="18"/>
        <v>237.31638958397485</v>
      </c>
      <c r="AI7" s="69">
        <f t="shared" si="18"/>
        <v>238.60185336088804</v>
      </c>
      <c r="AJ7" s="69">
        <f t="shared" si="18"/>
        <v>239.89428006659287</v>
      </c>
      <c r="AK7" s="69">
        <f t="shared" si="18"/>
        <v>241.19370741695357</v>
      </c>
      <c r="AL7" s="69">
        <f t="shared" si="18"/>
        <v>242.50017333212875</v>
      </c>
      <c r="AM7" s="69">
        <f t="shared" si="18"/>
        <v>243.81371593767778</v>
      </c>
      <c r="AN7" s="69">
        <f t="shared" si="18"/>
        <v>245.13437356567351</v>
      </c>
      <c r="AO7" s="69">
        <f t="shared" si="18"/>
        <v>246.46218475582091</v>
      </c>
      <c r="AP7" s="69">
        <f>SUM(AD7:AO7)</f>
        <v>2871.4655484552995</v>
      </c>
      <c r="AQ7" s="69">
        <f t="shared" ref="AQ7:BB7" si="19">AQ5-AQ6</f>
        <v>0</v>
      </c>
      <c r="AR7" s="69">
        <f t="shared" si="19"/>
        <v>0</v>
      </c>
      <c r="AS7" s="69">
        <f t="shared" si="19"/>
        <v>0</v>
      </c>
      <c r="AT7" s="69">
        <f t="shared" si="19"/>
        <v>0</v>
      </c>
      <c r="AU7" s="69">
        <f t="shared" si="19"/>
        <v>0</v>
      </c>
      <c r="AV7" s="69">
        <f t="shared" si="19"/>
        <v>0</v>
      </c>
      <c r="AW7" s="69">
        <f t="shared" si="19"/>
        <v>0</v>
      </c>
      <c r="AX7" s="69">
        <f t="shared" si="19"/>
        <v>0</v>
      </c>
      <c r="AY7" s="69">
        <f t="shared" si="19"/>
        <v>0</v>
      </c>
      <c r="AZ7" s="69">
        <f t="shared" si="19"/>
        <v>0</v>
      </c>
      <c r="BA7" s="69">
        <f t="shared" si="19"/>
        <v>0</v>
      </c>
      <c r="BB7" s="69">
        <f t="shared" si="19"/>
        <v>0</v>
      </c>
      <c r="BC7" s="69">
        <f>SUM(AQ7:BB7)</f>
        <v>0</v>
      </c>
      <c r="BD7" s="69">
        <f t="shared" ref="BD7:BO7" si="20">BD5-BD6</f>
        <v>0</v>
      </c>
      <c r="BE7" s="69">
        <f t="shared" si="20"/>
        <v>0</v>
      </c>
      <c r="BF7" s="69">
        <f t="shared" si="20"/>
        <v>0</v>
      </c>
      <c r="BG7" s="69">
        <f t="shared" si="20"/>
        <v>0</v>
      </c>
      <c r="BH7" s="69">
        <f t="shared" si="20"/>
        <v>0</v>
      </c>
      <c r="BI7" s="69">
        <f t="shared" si="20"/>
        <v>0</v>
      </c>
      <c r="BJ7" s="69">
        <f t="shared" si="20"/>
        <v>0</v>
      </c>
      <c r="BK7" s="69">
        <f t="shared" si="20"/>
        <v>0</v>
      </c>
      <c r="BL7" s="69">
        <f t="shared" si="20"/>
        <v>0</v>
      </c>
      <c r="BM7" s="69">
        <f t="shared" si="20"/>
        <v>0</v>
      </c>
      <c r="BN7" s="69">
        <f t="shared" si="20"/>
        <v>0</v>
      </c>
      <c r="BO7" s="69">
        <f t="shared" si="20"/>
        <v>0</v>
      </c>
      <c r="BP7" s="69">
        <f>SUM(BD7:BO7)</f>
        <v>0</v>
      </c>
    </row>
    <row r="8" spans="1:68">
      <c r="C8" s="44" t="s">
        <v>61</v>
      </c>
      <c r="D8" s="69">
        <f>IF(D4-D7&lt;0,0,D4-D7)</f>
        <v>7880.9965617434182</v>
      </c>
      <c r="E8" s="69">
        <f t="shared" ref="E8:BO8" si="21">IF(E4-E7&lt;0,0,E4-E7)</f>
        <v>7675.8881048629464</v>
      </c>
      <c r="F8" s="69">
        <f t="shared" si="21"/>
        <v>7469.6686438410388</v>
      </c>
      <c r="G8" s="69">
        <f t="shared" si="21"/>
        <v>7262.332160738596</v>
      </c>
      <c r="H8" s="69">
        <f t="shared" si="21"/>
        <v>7053.8726050193482</v>
      </c>
      <c r="I8" s="69">
        <f t="shared" si="21"/>
        <v>6844.2838933732883</v>
      </c>
      <c r="J8" s="69">
        <f t="shared" si="21"/>
        <v>6633.5599095391453</v>
      </c>
      <c r="K8" s="69">
        <f t="shared" si="21"/>
        <v>6421.6945041259005</v>
      </c>
      <c r="L8" s="69">
        <f t="shared" si="21"/>
        <v>6208.6814944333346</v>
      </c>
      <c r="M8" s="69">
        <f t="shared" si="21"/>
        <v>5994.5146642715999</v>
      </c>
      <c r="N8" s="69">
        <f t="shared" si="21"/>
        <v>5779.1877637798225</v>
      </c>
      <c r="O8" s="69">
        <f t="shared" si="21"/>
        <v>5562.6945092437145</v>
      </c>
      <c r="P8" s="69">
        <f>O8</f>
        <v>5562.6945092437145</v>
      </c>
      <c r="Q8" s="69">
        <f t="shared" si="21"/>
        <v>5345.0285829122031</v>
      </c>
      <c r="R8" s="69">
        <f t="shared" si="21"/>
        <v>5126.183632813063</v>
      </c>
      <c r="S8" s="69">
        <f t="shared" si="21"/>
        <v>4906.1532725675524</v>
      </c>
      <c r="T8" s="69">
        <f t="shared" si="21"/>
        <v>4684.9310812040449</v>
      </c>
      <c r="U8" s="69">
        <f t="shared" si="21"/>
        <v>4462.5106029706521</v>
      </c>
      <c r="V8" s="69">
        <f t="shared" si="21"/>
        <v>4238.8853471468283</v>
      </c>
      <c r="W8" s="69">
        <f t="shared" si="21"/>
        <v>4014.0487878539589</v>
      </c>
      <c r="X8" s="69">
        <f t="shared" si="21"/>
        <v>3787.9943638649197</v>
      </c>
      <c r="Y8" s="69">
        <f t="shared" si="21"/>
        <v>3560.7154784126064</v>
      </c>
      <c r="Z8" s="69">
        <f t="shared" si="21"/>
        <v>3332.2054989974263</v>
      </c>
      <c r="AA8" s="69">
        <f t="shared" si="21"/>
        <v>3102.4577571937475</v>
      </c>
      <c r="AB8" s="69">
        <f t="shared" si="21"/>
        <v>2871.4655484552986</v>
      </c>
      <c r="AC8" s="69">
        <f>AB8</f>
        <v>2871.4655484552986</v>
      </c>
      <c r="AD8" s="69">
        <f t="shared" si="21"/>
        <v>2639.2221319195164</v>
      </c>
      <c r="AE8" s="69">
        <f t="shared" si="21"/>
        <v>2405.7207302108322</v>
      </c>
      <c r="AF8" s="69">
        <f t="shared" si="21"/>
        <v>2170.9545292428925</v>
      </c>
      <c r="AG8" s="69">
        <f t="shared" si="21"/>
        <v>1934.9166780197099</v>
      </c>
      <c r="AH8" s="69">
        <f t="shared" si="21"/>
        <v>1697.6002884357351</v>
      </c>
      <c r="AI8" s="69">
        <f t="shared" si="21"/>
        <v>1458.9984350748471</v>
      </c>
      <c r="AJ8" s="69">
        <f t="shared" si="21"/>
        <v>1219.1041550082541</v>
      </c>
      <c r="AK8" s="69">
        <f t="shared" si="21"/>
        <v>977.91044759130057</v>
      </c>
      <c r="AL8" s="69">
        <f t="shared" si="21"/>
        <v>735.41027425917184</v>
      </c>
      <c r="AM8" s="69">
        <f t="shared" si="21"/>
        <v>491.59655832149406</v>
      </c>
      <c r="AN8" s="69">
        <f t="shared" si="21"/>
        <v>246.46218475582054</v>
      </c>
      <c r="AO8" s="69">
        <f t="shared" si="21"/>
        <v>0</v>
      </c>
      <c r="AP8" s="69">
        <f>AO8</f>
        <v>0</v>
      </c>
      <c r="AQ8" s="69">
        <f t="shared" si="21"/>
        <v>0</v>
      </c>
      <c r="AR8" s="69">
        <f t="shared" si="21"/>
        <v>0</v>
      </c>
      <c r="AS8" s="69">
        <f t="shared" si="21"/>
        <v>0</v>
      </c>
      <c r="AT8" s="69">
        <f t="shared" si="21"/>
        <v>0</v>
      </c>
      <c r="AU8" s="69">
        <f t="shared" si="21"/>
        <v>0</v>
      </c>
      <c r="AV8" s="69">
        <f t="shared" si="21"/>
        <v>0</v>
      </c>
      <c r="AW8" s="69">
        <f t="shared" si="21"/>
        <v>0</v>
      </c>
      <c r="AX8" s="69">
        <f t="shared" si="21"/>
        <v>0</v>
      </c>
      <c r="AY8" s="69">
        <f t="shared" si="21"/>
        <v>0</v>
      </c>
      <c r="AZ8" s="69">
        <f t="shared" si="21"/>
        <v>0</v>
      </c>
      <c r="BA8" s="69">
        <f t="shared" si="21"/>
        <v>0</v>
      </c>
      <c r="BB8" s="69">
        <f t="shared" si="21"/>
        <v>0</v>
      </c>
      <c r="BC8" s="69">
        <f>BB8</f>
        <v>0</v>
      </c>
      <c r="BD8" s="69">
        <f t="shared" si="21"/>
        <v>0</v>
      </c>
      <c r="BE8" s="69">
        <f t="shared" si="21"/>
        <v>0</v>
      </c>
      <c r="BF8" s="69">
        <f t="shared" si="21"/>
        <v>0</v>
      </c>
      <c r="BG8" s="69">
        <f t="shared" si="21"/>
        <v>0</v>
      </c>
      <c r="BH8" s="69">
        <f t="shared" si="21"/>
        <v>0</v>
      </c>
      <c r="BI8" s="69">
        <f t="shared" si="21"/>
        <v>0</v>
      </c>
      <c r="BJ8" s="69">
        <f t="shared" si="21"/>
        <v>0</v>
      </c>
      <c r="BK8" s="69">
        <f t="shared" si="21"/>
        <v>0</v>
      </c>
      <c r="BL8" s="69">
        <f t="shared" si="21"/>
        <v>0</v>
      </c>
      <c r="BM8" s="69">
        <f t="shared" si="21"/>
        <v>0</v>
      </c>
      <c r="BN8" s="69">
        <f t="shared" si="21"/>
        <v>0</v>
      </c>
      <c r="BO8" s="69">
        <f t="shared" si="21"/>
        <v>0</v>
      </c>
      <c r="BP8" s="69">
        <f>BO8</f>
        <v>0</v>
      </c>
    </row>
    <row r="10" spans="1:68">
      <c r="D10" s="1">
        <v>1</v>
      </c>
      <c r="E10" s="1">
        <v>2</v>
      </c>
      <c r="F10" s="1">
        <v>3</v>
      </c>
      <c r="G10" s="1">
        <v>4</v>
      </c>
      <c r="H10" s="1">
        <v>5</v>
      </c>
      <c r="I10" s="1">
        <v>6</v>
      </c>
      <c r="J10" s="1">
        <v>7</v>
      </c>
      <c r="K10" s="1">
        <v>8</v>
      </c>
      <c r="L10" s="1">
        <v>9</v>
      </c>
      <c r="M10" s="1">
        <v>10</v>
      </c>
      <c r="N10" s="1">
        <v>11</v>
      </c>
      <c r="O10" s="1">
        <v>12</v>
      </c>
      <c r="Q10" s="1">
        <v>13</v>
      </c>
      <c r="R10" s="1">
        <v>14</v>
      </c>
      <c r="S10" s="1">
        <v>15</v>
      </c>
      <c r="T10" s="1">
        <v>16</v>
      </c>
      <c r="U10" s="1">
        <v>17</v>
      </c>
      <c r="V10" s="1">
        <v>18</v>
      </c>
      <c r="W10" s="1">
        <v>19</v>
      </c>
      <c r="X10" s="1">
        <v>20</v>
      </c>
      <c r="Y10" s="1">
        <v>21</v>
      </c>
      <c r="Z10" s="1">
        <v>22</v>
      </c>
      <c r="AA10" s="1">
        <v>23</v>
      </c>
      <c r="AB10" s="1">
        <v>24</v>
      </c>
      <c r="AD10" s="1">
        <v>25</v>
      </c>
      <c r="AE10" s="1">
        <v>26</v>
      </c>
      <c r="AF10" s="1">
        <v>27</v>
      </c>
      <c r="AG10" s="1">
        <v>28</v>
      </c>
      <c r="AH10" s="1">
        <v>29</v>
      </c>
      <c r="AI10" s="1">
        <v>30</v>
      </c>
      <c r="AJ10" s="1">
        <v>31</v>
      </c>
      <c r="AK10" s="1">
        <v>32</v>
      </c>
      <c r="AL10" s="1">
        <v>33</v>
      </c>
      <c r="AM10" s="1">
        <v>34</v>
      </c>
      <c r="AN10" s="1">
        <v>35</v>
      </c>
      <c r="AO10" s="1">
        <v>36</v>
      </c>
      <c r="AQ10" s="1">
        <v>37</v>
      </c>
      <c r="AR10" s="1">
        <v>38</v>
      </c>
      <c r="AS10" s="1">
        <v>39</v>
      </c>
      <c r="AT10" s="1">
        <v>40</v>
      </c>
      <c r="AU10" s="1">
        <v>41</v>
      </c>
      <c r="AV10" s="1">
        <v>42</v>
      </c>
      <c r="AW10" s="1">
        <v>43</v>
      </c>
      <c r="AX10" s="1">
        <v>44</v>
      </c>
      <c r="AY10" s="1">
        <v>45</v>
      </c>
      <c r="AZ10" s="1">
        <v>46</v>
      </c>
      <c r="BA10" s="1">
        <v>47</v>
      </c>
      <c r="BB10" s="1">
        <v>48</v>
      </c>
      <c r="BD10" s="1">
        <v>49</v>
      </c>
      <c r="BE10" s="1">
        <v>50</v>
      </c>
      <c r="BF10" s="1">
        <v>51</v>
      </c>
      <c r="BG10" s="1">
        <v>52</v>
      </c>
      <c r="BH10" s="1">
        <v>53</v>
      </c>
      <c r="BI10" s="1">
        <v>54</v>
      </c>
      <c r="BJ10" s="1">
        <v>55</v>
      </c>
      <c r="BK10" s="1">
        <v>56</v>
      </c>
      <c r="BL10" s="1">
        <v>57</v>
      </c>
      <c r="BM10" s="1">
        <v>58</v>
      </c>
      <c r="BN10" s="1">
        <v>59</v>
      </c>
      <c r="BO10" s="1">
        <v>60</v>
      </c>
      <c r="BP10" s="1"/>
    </row>
    <row r="11" spans="1:68" ht="13.5" thickBot="1">
      <c r="A11" t="str">
        <f>'7. Funding Plan'!A23</f>
        <v>Term Loan 2</v>
      </c>
      <c r="D11" s="60">
        <f>D3</f>
        <v>42370</v>
      </c>
      <c r="E11" s="60">
        <f>D11+31</f>
        <v>42401</v>
      </c>
      <c r="F11" s="60">
        <f>E11+31</f>
        <v>42432</v>
      </c>
      <c r="G11" s="60">
        <f>F11+31</f>
        <v>42463</v>
      </c>
      <c r="H11" s="60">
        <f t="shared" ref="H11:O11" si="22">G11+31</f>
        <v>42494</v>
      </c>
      <c r="I11" s="60">
        <f t="shared" si="22"/>
        <v>42525</v>
      </c>
      <c r="J11" s="60">
        <f t="shared" si="22"/>
        <v>42556</v>
      </c>
      <c r="K11" s="60">
        <f t="shared" si="22"/>
        <v>42587</v>
      </c>
      <c r="L11" s="60">
        <f t="shared" si="22"/>
        <v>42618</v>
      </c>
      <c r="M11" s="60">
        <f t="shared" si="22"/>
        <v>42649</v>
      </c>
      <c r="N11" s="60">
        <f t="shared" si="22"/>
        <v>42680</v>
      </c>
      <c r="O11" s="60">
        <f t="shared" si="22"/>
        <v>42711</v>
      </c>
      <c r="P11" s="70">
        <f>P3</f>
        <v>2016</v>
      </c>
      <c r="Q11" s="60">
        <f>D11</f>
        <v>42370</v>
      </c>
      <c r="R11" s="60">
        <f>Q11+31</f>
        <v>42401</v>
      </c>
      <c r="S11" s="60">
        <f>R11+31</f>
        <v>42432</v>
      </c>
      <c r="T11" s="60">
        <f>S11+31</f>
        <v>42463</v>
      </c>
      <c r="U11" s="60">
        <f t="shared" ref="U11:AB11" si="23">T11+31</f>
        <v>42494</v>
      </c>
      <c r="V11" s="60">
        <f t="shared" si="23"/>
        <v>42525</v>
      </c>
      <c r="W11" s="60">
        <f t="shared" si="23"/>
        <v>42556</v>
      </c>
      <c r="X11" s="60">
        <f t="shared" si="23"/>
        <v>42587</v>
      </c>
      <c r="Y11" s="60">
        <f t="shared" si="23"/>
        <v>42618</v>
      </c>
      <c r="Z11" s="60">
        <f t="shared" si="23"/>
        <v>42649</v>
      </c>
      <c r="AA11" s="60">
        <f t="shared" si="23"/>
        <v>42680</v>
      </c>
      <c r="AB11" s="60">
        <f t="shared" si="23"/>
        <v>42711</v>
      </c>
      <c r="AC11" s="70">
        <f>AC3</f>
        <v>2017</v>
      </c>
      <c r="AD11" s="60">
        <f>Q11</f>
        <v>42370</v>
      </c>
      <c r="AE11" s="60">
        <f>AD11+31</f>
        <v>42401</v>
      </c>
      <c r="AF11" s="60">
        <f>AE11+31</f>
        <v>42432</v>
      </c>
      <c r="AG11" s="60">
        <f>AF11+31</f>
        <v>42463</v>
      </c>
      <c r="AH11" s="60">
        <f t="shared" ref="AH11:AO11" si="24">AG11+31</f>
        <v>42494</v>
      </c>
      <c r="AI11" s="60">
        <f t="shared" si="24"/>
        <v>42525</v>
      </c>
      <c r="AJ11" s="60">
        <f t="shared" si="24"/>
        <v>42556</v>
      </c>
      <c r="AK11" s="60">
        <f t="shared" si="24"/>
        <v>42587</v>
      </c>
      <c r="AL11" s="60">
        <f t="shared" si="24"/>
        <v>42618</v>
      </c>
      <c r="AM11" s="60">
        <f t="shared" si="24"/>
        <v>42649</v>
      </c>
      <c r="AN11" s="60">
        <f t="shared" si="24"/>
        <v>42680</v>
      </c>
      <c r="AO11" s="60">
        <f t="shared" si="24"/>
        <v>42711</v>
      </c>
      <c r="AP11" s="70">
        <f>AP3</f>
        <v>2018</v>
      </c>
      <c r="AQ11" s="60">
        <f>AD11</f>
        <v>42370</v>
      </c>
      <c r="AR11" s="60">
        <f>AQ11+31</f>
        <v>42401</v>
      </c>
      <c r="AS11" s="60">
        <f>AR11+31</f>
        <v>42432</v>
      </c>
      <c r="AT11" s="60">
        <f>AS11+31</f>
        <v>42463</v>
      </c>
      <c r="AU11" s="60">
        <f t="shared" ref="AU11:BB11" si="25">AT11+31</f>
        <v>42494</v>
      </c>
      <c r="AV11" s="60">
        <f t="shared" si="25"/>
        <v>42525</v>
      </c>
      <c r="AW11" s="60">
        <f t="shared" si="25"/>
        <v>42556</v>
      </c>
      <c r="AX11" s="60">
        <f t="shared" si="25"/>
        <v>42587</v>
      </c>
      <c r="AY11" s="60">
        <f t="shared" si="25"/>
        <v>42618</v>
      </c>
      <c r="AZ11" s="60">
        <f t="shared" si="25"/>
        <v>42649</v>
      </c>
      <c r="BA11" s="60">
        <f t="shared" si="25"/>
        <v>42680</v>
      </c>
      <c r="BB11" s="60">
        <f t="shared" si="25"/>
        <v>42711</v>
      </c>
      <c r="BC11" s="70">
        <f>BC3</f>
        <v>2019</v>
      </c>
      <c r="BD11" s="60">
        <f>AQ11</f>
        <v>42370</v>
      </c>
      <c r="BE11" s="60">
        <f>BD11+31</f>
        <v>42401</v>
      </c>
      <c r="BF11" s="60">
        <f>BE11+31</f>
        <v>42432</v>
      </c>
      <c r="BG11" s="60">
        <f>BF11+31</f>
        <v>42463</v>
      </c>
      <c r="BH11" s="60">
        <f t="shared" ref="BH11:BO11" si="26">BG11+31</f>
        <v>42494</v>
      </c>
      <c r="BI11" s="60">
        <f t="shared" si="26"/>
        <v>42525</v>
      </c>
      <c r="BJ11" s="60">
        <f t="shared" si="26"/>
        <v>42556</v>
      </c>
      <c r="BK11" s="60">
        <f t="shared" si="26"/>
        <v>42587</v>
      </c>
      <c r="BL11" s="60">
        <f t="shared" si="26"/>
        <v>42618</v>
      </c>
      <c r="BM11" s="60">
        <f t="shared" si="26"/>
        <v>42649</v>
      </c>
      <c r="BN11" s="60">
        <f t="shared" si="26"/>
        <v>42680</v>
      </c>
      <c r="BO11" s="60">
        <f t="shared" si="26"/>
        <v>42711</v>
      </c>
      <c r="BP11" s="70">
        <f>BP3</f>
        <v>2020</v>
      </c>
    </row>
    <row r="12" spans="1:68">
      <c r="A12" s="61">
        <f>'7. Funding Plan'!C23</f>
        <v>0</v>
      </c>
      <c r="B12" s="62" t="s">
        <v>25</v>
      </c>
      <c r="C12" s="10" t="s">
        <v>58</v>
      </c>
      <c r="D12" s="67">
        <f>A12</f>
        <v>0</v>
      </c>
      <c r="E12" s="69">
        <f>D16</f>
        <v>0</v>
      </c>
      <c r="F12" s="69">
        <f t="shared" ref="F12" si="27">E16</f>
        <v>0</v>
      </c>
      <c r="G12" s="69">
        <f t="shared" ref="G12" si="28">F16</f>
        <v>0</v>
      </c>
      <c r="H12" s="69">
        <f t="shared" ref="H12" si="29">G16</f>
        <v>0</v>
      </c>
      <c r="I12" s="69">
        <f t="shared" ref="I12" si="30">H16</f>
        <v>0</v>
      </c>
      <c r="J12" s="69">
        <f t="shared" ref="J12" si="31">I16</f>
        <v>0</v>
      </c>
      <c r="K12" s="69">
        <f t="shared" ref="K12" si="32">J16</f>
        <v>0</v>
      </c>
      <c r="L12" s="69">
        <f t="shared" ref="L12" si="33">K16</f>
        <v>0</v>
      </c>
      <c r="M12" s="69">
        <f t="shared" ref="M12" si="34">L16</f>
        <v>0</v>
      </c>
      <c r="N12" s="69">
        <f t="shared" ref="N12" si="35">M16</f>
        <v>0</v>
      </c>
      <c r="O12" s="69">
        <f t="shared" ref="O12" si="36">N16</f>
        <v>0</v>
      </c>
      <c r="P12" s="67">
        <f>D12</f>
        <v>0</v>
      </c>
      <c r="Q12" s="67">
        <f>O16</f>
        <v>0</v>
      </c>
      <c r="R12" s="69">
        <f>Q16</f>
        <v>0</v>
      </c>
      <c r="S12" s="69">
        <f t="shared" ref="S12" si="37">R16</f>
        <v>0</v>
      </c>
      <c r="T12" s="69">
        <f t="shared" ref="T12" si="38">S16</f>
        <v>0</v>
      </c>
      <c r="U12" s="69">
        <f t="shared" ref="U12" si="39">T16</f>
        <v>0</v>
      </c>
      <c r="V12" s="69">
        <f t="shared" ref="V12" si="40">U16</f>
        <v>0</v>
      </c>
      <c r="W12" s="69">
        <f t="shared" ref="W12" si="41">V16</f>
        <v>0</v>
      </c>
      <c r="X12" s="69">
        <f t="shared" ref="X12" si="42">W16</f>
        <v>0</v>
      </c>
      <c r="Y12" s="69">
        <f t="shared" ref="Y12" si="43">X16</f>
        <v>0</v>
      </c>
      <c r="Z12" s="69">
        <f t="shared" ref="Z12" si="44">Y16</f>
        <v>0</v>
      </c>
      <c r="AA12" s="69">
        <f t="shared" ref="AA12" si="45">Z16</f>
        <v>0</v>
      </c>
      <c r="AB12" s="69">
        <f t="shared" ref="AB12" si="46">AA16</f>
        <v>0</v>
      </c>
      <c r="AC12" s="67">
        <f>Q12</f>
        <v>0</v>
      </c>
      <c r="AD12" s="67">
        <f>IF(AB16&lt;0.1,0,AB16)</f>
        <v>0</v>
      </c>
      <c r="AE12" s="69">
        <f>AD16</f>
        <v>0</v>
      </c>
      <c r="AF12" s="69">
        <f t="shared" ref="AF12" si="47">AE16</f>
        <v>0</v>
      </c>
      <c r="AG12" s="69">
        <f t="shared" ref="AG12" si="48">AF16</f>
        <v>0</v>
      </c>
      <c r="AH12" s="69">
        <f t="shared" ref="AH12" si="49">AG16</f>
        <v>0</v>
      </c>
      <c r="AI12" s="69">
        <f t="shared" ref="AI12" si="50">AH16</f>
        <v>0</v>
      </c>
      <c r="AJ12" s="69">
        <f t="shared" ref="AJ12" si="51">AI16</f>
        <v>0</v>
      </c>
      <c r="AK12" s="69">
        <f t="shared" ref="AK12" si="52">AJ16</f>
        <v>0</v>
      </c>
      <c r="AL12" s="69">
        <f t="shared" ref="AL12" si="53">AK16</f>
        <v>0</v>
      </c>
      <c r="AM12" s="69">
        <f t="shared" ref="AM12" si="54">AL16</f>
        <v>0</v>
      </c>
      <c r="AN12" s="69">
        <f t="shared" ref="AN12" si="55">AM16</f>
        <v>0</v>
      </c>
      <c r="AO12" s="69">
        <f t="shared" ref="AO12" si="56">AN16</f>
        <v>0</v>
      </c>
      <c r="AP12" s="67">
        <f>AO12</f>
        <v>0</v>
      </c>
      <c r="AQ12" s="67">
        <f>IF(AO16&lt;0.1,0,AO16)</f>
        <v>0</v>
      </c>
      <c r="AR12" s="69">
        <f>AQ16</f>
        <v>0</v>
      </c>
      <c r="AS12" s="69">
        <f t="shared" ref="AS12" si="57">AR16</f>
        <v>0</v>
      </c>
      <c r="AT12" s="69">
        <f t="shared" ref="AT12" si="58">AS16</f>
        <v>0</v>
      </c>
      <c r="AU12" s="69">
        <f t="shared" ref="AU12" si="59">AT16</f>
        <v>0</v>
      </c>
      <c r="AV12" s="69">
        <f t="shared" ref="AV12" si="60">AU16</f>
        <v>0</v>
      </c>
      <c r="AW12" s="69">
        <f t="shared" ref="AW12" si="61">AV16</f>
        <v>0</v>
      </c>
      <c r="AX12" s="69">
        <f t="shared" ref="AX12" si="62">AW16</f>
        <v>0</v>
      </c>
      <c r="AY12" s="69">
        <f t="shared" ref="AY12" si="63">AX16</f>
        <v>0</v>
      </c>
      <c r="AZ12" s="69">
        <f t="shared" ref="AZ12" si="64">AY16</f>
        <v>0</v>
      </c>
      <c r="BA12" s="69">
        <f t="shared" ref="BA12" si="65">AZ16</f>
        <v>0</v>
      </c>
      <c r="BB12" s="69">
        <f t="shared" ref="BB12" si="66">BA16</f>
        <v>0</v>
      </c>
      <c r="BC12" s="67">
        <f>BB12</f>
        <v>0</v>
      </c>
      <c r="BD12" s="67">
        <f>IF(BB16&lt;0.1,0,BB16)</f>
        <v>0</v>
      </c>
      <c r="BE12" s="69">
        <f>BD16</f>
        <v>0</v>
      </c>
      <c r="BF12" s="69">
        <f t="shared" ref="BF12" si="67">BE16</f>
        <v>0</v>
      </c>
      <c r="BG12" s="69">
        <f t="shared" ref="BG12" si="68">BF16</f>
        <v>0</v>
      </c>
      <c r="BH12" s="69">
        <f t="shared" ref="BH12" si="69">BG16</f>
        <v>0</v>
      </c>
      <c r="BI12" s="69">
        <f t="shared" ref="BI12" si="70">BH16</f>
        <v>0</v>
      </c>
      <c r="BJ12" s="69">
        <f t="shared" ref="BJ12" si="71">BI16</f>
        <v>0</v>
      </c>
      <c r="BK12" s="69">
        <f t="shared" ref="BK12" si="72">BJ16</f>
        <v>0</v>
      </c>
      <c r="BL12" s="69">
        <f t="shared" ref="BL12" si="73">BK16</f>
        <v>0</v>
      </c>
      <c r="BM12" s="69">
        <f t="shared" ref="BM12" si="74">BL16</f>
        <v>0</v>
      </c>
      <c r="BN12" s="69">
        <f t="shared" ref="BN12" si="75">BM16</f>
        <v>0</v>
      </c>
      <c r="BO12" s="69">
        <f t="shared" ref="BO12" si="76">BN16</f>
        <v>0</v>
      </c>
      <c r="BP12" s="67">
        <f>BO12</f>
        <v>0</v>
      </c>
    </row>
    <row r="13" spans="1:68">
      <c r="A13" s="63">
        <f>'7. Funding Plan'!D23</f>
        <v>0.05</v>
      </c>
      <c r="B13" s="64" t="s">
        <v>3</v>
      </c>
      <c r="C13" s="10" t="s">
        <v>59</v>
      </c>
      <c r="D13" s="68">
        <f t="shared" ref="D13:O13" si="77">IF(D12&gt;0,PMT($A13/12,$A14*12,$A12)*-1,0)</f>
        <v>0</v>
      </c>
      <c r="E13" s="68">
        <f t="shared" si="77"/>
        <v>0</v>
      </c>
      <c r="F13" s="68">
        <f t="shared" si="77"/>
        <v>0</v>
      </c>
      <c r="G13" s="68">
        <f t="shared" si="77"/>
        <v>0</v>
      </c>
      <c r="H13" s="68">
        <f t="shared" si="77"/>
        <v>0</v>
      </c>
      <c r="I13" s="68">
        <f t="shared" si="77"/>
        <v>0</v>
      </c>
      <c r="J13" s="68">
        <f t="shared" si="77"/>
        <v>0</v>
      </c>
      <c r="K13" s="68">
        <f t="shared" si="77"/>
        <v>0</v>
      </c>
      <c r="L13" s="68">
        <f t="shared" si="77"/>
        <v>0</v>
      </c>
      <c r="M13" s="68">
        <f t="shared" si="77"/>
        <v>0</v>
      </c>
      <c r="N13" s="68">
        <f t="shared" si="77"/>
        <v>0</v>
      </c>
      <c r="O13" s="68">
        <f t="shared" si="77"/>
        <v>0</v>
      </c>
      <c r="P13" s="69">
        <f>SUM(D13:O13)</f>
        <v>0</v>
      </c>
      <c r="Q13" s="68">
        <f t="shared" ref="Q13:AB13" si="78">IF(Q12&gt;0,PMT($A13/12,$A14*12,$A12)*-1,0)</f>
        <v>0</v>
      </c>
      <c r="R13" s="68">
        <f t="shared" si="78"/>
        <v>0</v>
      </c>
      <c r="S13" s="68">
        <f t="shared" si="78"/>
        <v>0</v>
      </c>
      <c r="T13" s="68">
        <f t="shared" si="78"/>
        <v>0</v>
      </c>
      <c r="U13" s="68">
        <f t="shared" si="78"/>
        <v>0</v>
      </c>
      <c r="V13" s="68">
        <f t="shared" si="78"/>
        <v>0</v>
      </c>
      <c r="W13" s="68">
        <f t="shared" si="78"/>
        <v>0</v>
      </c>
      <c r="X13" s="68">
        <f t="shared" si="78"/>
        <v>0</v>
      </c>
      <c r="Y13" s="68">
        <f t="shared" si="78"/>
        <v>0</v>
      </c>
      <c r="Z13" s="68">
        <f t="shared" si="78"/>
        <v>0</v>
      </c>
      <c r="AA13" s="68">
        <f t="shared" si="78"/>
        <v>0</v>
      </c>
      <c r="AB13" s="68">
        <f t="shared" si="78"/>
        <v>0</v>
      </c>
      <c r="AC13" s="69">
        <f>SUM(Q13:AB13)</f>
        <v>0</v>
      </c>
      <c r="AD13" s="68">
        <f t="shared" ref="AD13:AO13" si="79">IF(AD12&gt;0,PMT($A13/12,$A14*12,$A12)*-1,0)</f>
        <v>0</v>
      </c>
      <c r="AE13" s="68">
        <f t="shared" si="79"/>
        <v>0</v>
      </c>
      <c r="AF13" s="68">
        <f t="shared" si="79"/>
        <v>0</v>
      </c>
      <c r="AG13" s="68">
        <f t="shared" si="79"/>
        <v>0</v>
      </c>
      <c r="AH13" s="68">
        <f t="shared" si="79"/>
        <v>0</v>
      </c>
      <c r="AI13" s="68">
        <f t="shared" si="79"/>
        <v>0</v>
      </c>
      <c r="AJ13" s="68">
        <f t="shared" si="79"/>
        <v>0</v>
      </c>
      <c r="AK13" s="68">
        <f t="shared" si="79"/>
        <v>0</v>
      </c>
      <c r="AL13" s="68">
        <f t="shared" si="79"/>
        <v>0</v>
      </c>
      <c r="AM13" s="68">
        <f t="shared" si="79"/>
        <v>0</v>
      </c>
      <c r="AN13" s="68">
        <f t="shared" si="79"/>
        <v>0</v>
      </c>
      <c r="AO13" s="68">
        <f t="shared" si="79"/>
        <v>0</v>
      </c>
      <c r="AP13" s="69">
        <f>SUM(AD13:AO13)</f>
        <v>0</v>
      </c>
      <c r="AQ13" s="68">
        <f t="shared" ref="AQ13:BB13" si="80">IF(AQ12&gt;0,PMT($A13/12,$A14*12,$A12)*-1,0)</f>
        <v>0</v>
      </c>
      <c r="AR13" s="68">
        <f t="shared" si="80"/>
        <v>0</v>
      </c>
      <c r="AS13" s="68">
        <f t="shared" si="80"/>
        <v>0</v>
      </c>
      <c r="AT13" s="68">
        <f t="shared" si="80"/>
        <v>0</v>
      </c>
      <c r="AU13" s="68">
        <f t="shared" si="80"/>
        <v>0</v>
      </c>
      <c r="AV13" s="68">
        <f t="shared" si="80"/>
        <v>0</v>
      </c>
      <c r="AW13" s="68">
        <f t="shared" si="80"/>
        <v>0</v>
      </c>
      <c r="AX13" s="68">
        <f t="shared" si="80"/>
        <v>0</v>
      </c>
      <c r="AY13" s="68">
        <f t="shared" si="80"/>
        <v>0</v>
      </c>
      <c r="AZ13" s="68">
        <f t="shared" si="80"/>
        <v>0</v>
      </c>
      <c r="BA13" s="68">
        <f t="shared" si="80"/>
        <v>0</v>
      </c>
      <c r="BB13" s="68">
        <f t="shared" si="80"/>
        <v>0</v>
      </c>
      <c r="BC13" s="69">
        <f>SUM(AQ13:BB13)</f>
        <v>0</v>
      </c>
      <c r="BD13" s="68">
        <f t="shared" ref="BD13:BO13" si="81">IF(BD12&gt;0,PMT($A13/12,$A14*12,$A12)*-1,0)</f>
        <v>0</v>
      </c>
      <c r="BE13" s="68">
        <f t="shared" si="81"/>
        <v>0</v>
      </c>
      <c r="BF13" s="68">
        <f t="shared" si="81"/>
        <v>0</v>
      </c>
      <c r="BG13" s="68">
        <f t="shared" si="81"/>
        <v>0</v>
      </c>
      <c r="BH13" s="68">
        <f t="shared" si="81"/>
        <v>0</v>
      </c>
      <c r="BI13" s="68">
        <f t="shared" si="81"/>
        <v>0</v>
      </c>
      <c r="BJ13" s="68">
        <f t="shared" si="81"/>
        <v>0</v>
      </c>
      <c r="BK13" s="68">
        <f t="shared" si="81"/>
        <v>0</v>
      </c>
      <c r="BL13" s="68">
        <f t="shared" si="81"/>
        <v>0</v>
      </c>
      <c r="BM13" s="68">
        <f t="shared" si="81"/>
        <v>0</v>
      </c>
      <c r="BN13" s="68">
        <f t="shared" si="81"/>
        <v>0</v>
      </c>
      <c r="BO13" s="68">
        <f t="shared" si="81"/>
        <v>0</v>
      </c>
      <c r="BP13" s="69">
        <f>SUM(BD13:BO13)</f>
        <v>0</v>
      </c>
    </row>
    <row r="14" spans="1:68" ht="13.5" thickBot="1">
      <c r="A14" s="65">
        <f>'7. Funding Plan'!E23</f>
        <v>10</v>
      </c>
      <c r="B14" s="66" t="s">
        <v>27</v>
      </c>
      <c r="C14" s="10" t="s">
        <v>3</v>
      </c>
      <c r="D14" s="69">
        <f t="shared" ref="D14:O14" si="82">$A13/12*D12</f>
        <v>0</v>
      </c>
      <c r="E14" s="69">
        <f t="shared" si="82"/>
        <v>0</v>
      </c>
      <c r="F14" s="69">
        <f t="shared" si="82"/>
        <v>0</v>
      </c>
      <c r="G14" s="69">
        <f t="shared" si="82"/>
        <v>0</v>
      </c>
      <c r="H14" s="69">
        <f t="shared" si="82"/>
        <v>0</v>
      </c>
      <c r="I14" s="69">
        <f t="shared" si="82"/>
        <v>0</v>
      </c>
      <c r="J14" s="69">
        <f t="shared" si="82"/>
        <v>0</v>
      </c>
      <c r="K14" s="69">
        <f t="shared" si="82"/>
        <v>0</v>
      </c>
      <c r="L14" s="69">
        <f t="shared" si="82"/>
        <v>0</v>
      </c>
      <c r="M14" s="69">
        <f t="shared" si="82"/>
        <v>0</v>
      </c>
      <c r="N14" s="69">
        <f t="shared" si="82"/>
        <v>0</v>
      </c>
      <c r="O14" s="69">
        <f t="shared" si="82"/>
        <v>0</v>
      </c>
      <c r="P14" s="69">
        <f>SUM(D14:O14)</f>
        <v>0</v>
      </c>
      <c r="Q14" s="69">
        <f t="shared" ref="Q14:AB14" si="83">$A13/12*Q12</f>
        <v>0</v>
      </c>
      <c r="R14" s="69">
        <f t="shared" si="83"/>
        <v>0</v>
      </c>
      <c r="S14" s="69">
        <f t="shared" si="83"/>
        <v>0</v>
      </c>
      <c r="T14" s="69">
        <f t="shared" si="83"/>
        <v>0</v>
      </c>
      <c r="U14" s="69">
        <f t="shared" si="83"/>
        <v>0</v>
      </c>
      <c r="V14" s="69">
        <f t="shared" si="83"/>
        <v>0</v>
      </c>
      <c r="W14" s="69">
        <f t="shared" si="83"/>
        <v>0</v>
      </c>
      <c r="X14" s="69">
        <f t="shared" si="83"/>
        <v>0</v>
      </c>
      <c r="Y14" s="69">
        <f t="shared" si="83"/>
        <v>0</v>
      </c>
      <c r="Z14" s="69">
        <f t="shared" si="83"/>
        <v>0</v>
      </c>
      <c r="AA14" s="69">
        <f t="shared" si="83"/>
        <v>0</v>
      </c>
      <c r="AB14" s="69">
        <f t="shared" si="83"/>
        <v>0</v>
      </c>
      <c r="AC14" s="69">
        <f>SUM(Q14:AB14)</f>
        <v>0</v>
      </c>
      <c r="AD14" s="69">
        <f t="shared" ref="AD14:AO14" si="84">$A13/12*AD12</f>
        <v>0</v>
      </c>
      <c r="AE14" s="69">
        <f t="shared" si="84"/>
        <v>0</v>
      </c>
      <c r="AF14" s="69">
        <f t="shared" si="84"/>
        <v>0</v>
      </c>
      <c r="AG14" s="69">
        <f t="shared" si="84"/>
        <v>0</v>
      </c>
      <c r="AH14" s="69">
        <f t="shared" si="84"/>
        <v>0</v>
      </c>
      <c r="AI14" s="69">
        <f t="shared" si="84"/>
        <v>0</v>
      </c>
      <c r="AJ14" s="69">
        <f t="shared" si="84"/>
        <v>0</v>
      </c>
      <c r="AK14" s="69">
        <f t="shared" si="84"/>
        <v>0</v>
      </c>
      <c r="AL14" s="69">
        <f t="shared" si="84"/>
        <v>0</v>
      </c>
      <c r="AM14" s="69">
        <f t="shared" si="84"/>
        <v>0</v>
      </c>
      <c r="AN14" s="69">
        <f t="shared" si="84"/>
        <v>0</v>
      </c>
      <c r="AO14" s="69">
        <f t="shared" si="84"/>
        <v>0</v>
      </c>
      <c r="AP14" s="69">
        <f>SUM(AD14:AO14)</f>
        <v>0</v>
      </c>
      <c r="AQ14" s="69">
        <f t="shared" ref="AQ14:BB14" si="85">$A13/12*AQ12</f>
        <v>0</v>
      </c>
      <c r="AR14" s="69">
        <f t="shared" si="85"/>
        <v>0</v>
      </c>
      <c r="AS14" s="69">
        <f t="shared" si="85"/>
        <v>0</v>
      </c>
      <c r="AT14" s="69">
        <f t="shared" si="85"/>
        <v>0</v>
      </c>
      <c r="AU14" s="69">
        <f t="shared" si="85"/>
        <v>0</v>
      </c>
      <c r="AV14" s="69">
        <f t="shared" si="85"/>
        <v>0</v>
      </c>
      <c r="AW14" s="69">
        <f t="shared" si="85"/>
        <v>0</v>
      </c>
      <c r="AX14" s="69">
        <f t="shared" si="85"/>
        <v>0</v>
      </c>
      <c r="AY14" s="69">
        <f t="shared" si="85"/>
        <v>0</v>
      </c>
      <c r="AZ14" s="69">
        <f t="shared" si="85"/>
        <v>0</v>
      </c>
      <c r="BA14" s="69">
        <f t="shared" si="85"/>
        <v>0</v>
      </c>
      <c r="BB14" s="69">
        <f t="shared" si="85"/>
        <v>0</v>
      </c>
      <c r="BC14" s="69">
        <f>SUM(AQ14:BB14)</f>
        <v>0</v>
      </c>
      <c r="BD14" s="69">
        <f t="shared" ref="BD14:BO14" si="86">$A13/12*BD12</f>
        <v>0</v>
      </c>
      <c r="BE14" s="69">
        <f t="shared" si="86"/>
        <v>0</v>
      </c>
      <c r="BF14" s="69">
        <f t="shared" si="86"/>
        <v>0</v>
      </c>
      <c r="BG14" s="69">
        <f t="shared" si="86"/>
        <v>0</v>
      </c>
      <c r="BH14" s="69">
        <f t="shared" si="86"/>
        <v>0</v>
      </c>
      <c r="BI14" s="69">
        <f t="shared" si="86"/>
        <v>0</v>
      </c>
      <c r="BJ14" s="69">
        <f t="shared" si="86"/>
        <v>0</v>
      </c>
      <c r="BK14" s="69">
        <f t="shared" si="86"/>
        <v>0</v>
      </c>
      <c r="BL14" s="69">
        <f t="shared" si="86"/>
        <v>0</v>
      </c>
      <c r="BM14" s="69">
        <f t="shared" si="86"/>
        <v>0</v>
      </c>
      <c r="BN14" s="69">
        <f t="shared" si="86"/>
        <v>0</v>
      </c>
      <c r="BO14" s="69">
        <f t="shared" si="86"/>
        <v>0</v>
      </c>
      <c r="BP14" s="69">
        <f>SUM(BD14:BO14)</f>
        <v>0</v>
      </c>
    </row>
    <row r="15" spans="1:68">
      <c r="C15" s="44" t="s">
        <v>60</v>
      </c>
      <c r="D15" s="69">
        <f t="shared" ref="D15:O15" si="87">D13-D14</f>
        <v>0</v>
      </c>
      <c r="E15" s="69">
        <f t="shared" si="87"/>
        <v>0</v>
      </c>
      <c r="F15" s="69">
        <f t="shared" si="87"/>
        <v>0</v>
      </c>
      <c r="G15" s="69">
        <f t="shared" si="87"/>
        <v>0</v>
      </c>
      <c r="H15" s="69">
        <f t="shared" si="87"/>
        <v>0</v>
      </c>
      <c r="I15" s="69">
        <f t="shared" si="87"/>
        <v>0</v>
      </c>
      <c r="J15" s="69">
        <f t="shared" si="87"/>
        <v>0</v>
      </c>
      <c r="K15" s="69">
        <f t="shared" si="87"/>
        <v>0</v>
      </c>
      <c r="L15" s="69">
        <f t="shared" si="87"/>
        <v>0</v>
      </c>
      <c r="M15" s="69">
        <f t="shared" si="87"/>
        <v>0</v>
      </c>
      <c r="N15" s="69">
        <f t="shared" si="87"/>
        <v>0</v>
      </c>
      <c r="O15" s="69">
        <f t="shared" si="87"/>
        <v>0</v>
      </c>
      <c r="P15" s="69">
        <f>SUM(D15:O15)</f>
        <v>0</v>
      </c>
      <c r="Q15" s="69">
        <f t="shared" ref="Q15:AB15" si="88">Q13-Q14</f>
        <v>0</v>
      </c>
      <c r="R15" s="69">
        <f t="shared" si="88"/>
        <v>0</v>
      </c>
      <c r="S15" s="69">
        <f t="shared" si="88"/>
        <v>0</v>
      </c>
      <c r="T15" s="69">
        <f t="shared" si="88"/>
        <v>0</v>
      </c>
      <c r="U15" s="69">
        <f t="shared" si="88"/>
        <v>0</v>
      </c>
      <c r="V15" s="69">
        <f t="shared" si="88"/>
        <v>0</v>
      </c>
      <c r="W15" s="69">
        <f t="shared" si="88"/>
        <v>0</v>
      </c>
      <c r="X15" s="69">
        <f t="shared" si="88"/>
        <v>0</v>
      </c>
      <c r="Y15" s="69">
        <f t="shared" si="88"/>
        <v>0</v>
      </c>
      <c r="Z15" s="69">
        <f t="shared" si="88"/>
        <v>0</v>
      </c>
      <c r="AA15" s="69">
        <f t="shared" si="88"/>
        <v>0</v>
      </c>
      <c r="AB15" s="69">
        <f t="shared" si="88"/>
        <v>0</v>
      </c>
      <c r="AC15" s="69">
        <f>SUM(Q15:AB15)</f>
        <v>0</v>
      </c>
      <c r="AD15" s="69">
        <f t="shared" ref="AD15:AO15" si="89">AD13-AD14</f>
        <v>0</v>
      </c>
      <c r="AE15" s="69">
        <f t="shared" si="89"/>
        <v>0</v>
      </c>
      <c r="AF15" s="69">
        <f t="shared" si="89"/>
        <v>0</v>
      </c>
      <c r="AG15" s="69">
        <f t="shared" si="89"/>
        <v>0</v>
      </c>
      <c r="AH15" s="69">
        <f t="shared" si="89"/>
        <v>0</v>
      </c>
      <c r="AI15" s="69">
        <f t="shared" si="89"/>
        <v>0</v>
      </c>
      <c r="AJ15" s="69">
        <f t="shared" si="89"/>
        <v>0</v>
      </c>
      <c r="AK15" s="69">
        <f t="shared" si="89"/>
        <v>0</v>
      </c>
      <c r="AL15" s="69">
        <f t="shared" si="89"/>
        <v>0</v>
      </c>
      <c r="AM15" s="69">
        <f t="shared" si="89"/>
        <v>0</v>
      </c>
      <c r="AN15" s="69">
        <f t="shared" si="89"/>
        <v>0</v>
      </c>
      <c r="AO15" s="69">
        <f t="shared" si="89"/>
        <v>0</v>
      </c>
      <c r="AP15" s="69">
        <f>SUM(AD15:AO15)</f>
        <v>0</v>
      </c>
      <c r="AQ15" s="69">
        <f t="shared" ref="AQ15:BB15" si="90">AQ13-AQ14</f>
        <v>0</v>
      </c>
      <c r="AR15" s="69">
        <f t="shared" si="90"/>
        <v>0</v>
      </c>
      <c r="AS15" s="69">
        <f t="shared" si="90"/>
        <v>0</v>
      </c>
      <c r="AT15" s="69">
        <f t="shared" si="90"/>
        <v>0</v>
      </c>
      <c r="AU15" s="69">
        <f t="shared" si="90"/>
        <v>0</v>
      </c>
      <c r="AV15" s="69">
        <f t="shared" si="90"/>
        <v>0</v>
      </c>
      <c r="AW15" s="69">
        <f t="shared" si="90"/>
        <v>0</v>
      </c>
      <c r="AX15" s="69">
        <f t="shared" si="90"/>
        <v>0</v>
      </c>
      <c r="AY15" s="69">
        <f t="shared" si="90"/>
        <v>0</v>
      </c>
      <c r="AZ15" s="69">
        <f t="shared" si="90"/>
        <v>0</v>
      </c>
      <c r="BA15" s="69">
        <f t="shared" si="90"/>
        <v>0</v>
      </c>
      <c r="BB15" s="69">
        <f t="shared" si="90"/>
        <v>0</v>
      </c>
      <c r="BC15" s="69">
        <f>SUM(AQ15:BB15)</f>
        <v>0</v>
      </c>
      <c r="BD15" s="69">
        <f t="shared" ref="BD15:BO15" si="91">BD13-BD14</f>
        <v>0</v>
      </c>
      <c r="BE15" s="69">
        <f t="shared" si="91"/>
        <v>0</v>
      </c>
      <c r="BF15" s="69">
        <f t="shared" si="91"/>
        <v>0</v>
      </c>
      <c r="BG15" s="69">
        <f t="shared" si="91"/>
        <v>0</v>
      </c>
      <c r="BH15" s="69">
        <f t="shared" si="91"/>
        <v>0</v>
      </c>
      <c r="BI15" s="69">
        <f t="shared" si="91"/>
        <v>0</v>
      </c>
      <c r="BJ15" s="69">
        <f t="shared" si="91"/>
        <v>0</v>
      </c>
      <c r="BK15" s="69">
        <f t="shared" si="91"/>
        <v>0</v>
      </c>
      <c r="BL15" s="69">
        <f t="shared" si="91"/>
        <v>0</v>
      </c>
      <c r="BM15" s="69">
        <f t="shared" si="91"/>
        <v>0</v>
      </c>
      <c r="BN15" s="69">
        <f t="shared" si="91"/>
        <v>0</v>
      </c>
      <c r="BO15" s="69">
        <f t="shared" si="91"/>
        <v>0</v>
      </c>
      <c r="BP15" s="69">
        <f>SUM(BD15:BO15)</f>
        <v>0</v>
      </c>
    </row>
    <row r="16" spans="1:68">
      <c r="C16" s="44" t="s">
        <v>61</v>
      </c>
      <c r="D16" s="69">
        <f t="shared" ref="D16:O16" si="92">IF(D12-D15&lt;0,0,D12-D15)</f>
        <v>0</v>
      </c>
      <c r="E16" s="69">
        <f t="shared" si="92"/>
        <v>0</v>
      </c>
      <c r="F16" s="69">
        <f t="shared" si="92"/>
        <v>0</v>
      </c>
      <c r="G16" s="69">
        <f t="shared" si="92"/>
        <v>0</v>
      </c>
      <c r="H16" s="69">
        <f t="shared" si="92"/>
        <v>0</v>
      </c>
      <c r="I16" s="69">
        <f t="shared" si="92"/>
        <v>0</v>
      </c>
      <c r="J16" s="69">
        <f t="shared" si="92"/>
        <v>0</v>
      </c>
      <c r="K16" s="69">
        <f t="shared" si="92"/>
        <v>0</v>
      </c>
      <c r="L16" s="69">
        <f t="shared" si="92"/>
        <v>0</v>
      </c>
      <c r="M16" s="69">
        <f t="shared" si="92"/>
        <v>0</v>
      </c>
      <c r="N16" s="69">
        <f t="shared" si="92"/>
        <v>0</v>
      </c>
      <c r="O16" s="69">
        <f t="shared" si="92"/>
        <v>0</v>
      </c>
      <c r="P16" s="69">
        <f>O16</f>
        <v>0</v>
      </c>
      <c r="Q16" s="69">
        <f t="shared" ref="Q16:AB16" si="93">IF(Q12-Q15&lt;0,0,Q12-Q15)</f>
        <v>0</v>
      </c>
      <c r="R16" s="69">
        <f t="shared" si="93"/>
        <v>0</v>
      </c>
      <c r="S16" s="69">
        <f t="shared" si="93"/>
        <v>0</v>
      </c>
      <c r="T16" s="69">
        <f t="shared" si="93"/>
        <v>0</v>
      </c>
      <c r="U16" s="69">
        <f t="shared" si="93"/>
        <v>0</v>
      </c>
      <c r="V16" s="69">
        <f t="shared" si="93"/>
        <v>0</v>
      </c>
      <c r="W16" s="69">
        <f t="shared" si="93"/>
        <v>0</v>
      </c>
      <c r="X16" s="69">
        <f t="shared" si="93"/>
        <v>0</v>
      </c>
      <c r="Y16" s="69">
        <f t="shared" si="93"/>
        <v>0</v>
      </c>
      <c r="Z16" s="69">
        <f t="shared" si="93"/>
        <v>0</v>
      </c>
      <c r="AA16" s="69">
        <f t="shared" si="93"/>
        <v>0</v>
      </c>
      <c r="AB16" s="69">
        <f t="shared" si="93"/>
        <v>0</v>
      </c>
      <c r="AC16" s="69">
        <f>AB16</f>
        <v>0</v>
      </c>
      <c r="AD16" s="69">
        <f t="shared" ref="AD16:AO16" si="94">IF(AD12-AD15&lt;0,0,AD12-AD15)</f>
        <v>0</v>
      </c>
      <c r="AE16" s="69">
        <f t="shared" si="94"/>
        <v>0</v>
      </c>
      <c r="AF16" s="69">
        <f t="shared" si="94"/>
        <v>0</v>
      </c>
      <c r="AG16" s="69">
        <f t="shared" si="94"/>
        <v>0</v>
      </c>
      <c r="AH16" s="69">
        <f t="shared" si="94"/>
        <v>0</v>
      </c>
      <c r="AI16" s="69">
        <f t="shared" si="94"/>
        <v>0</v>
      </c>
      <c r="AJ16" s="69">
        <f t="shared" si="94"/>
        <v>0</v>
      </c>
      <c r="AK16" s="69">
        <f t="shared" si="94"/>
        <v>0</v>
      </c>
      <c r="AL16" s="69">
        <f t="shared" si="94"/>
        <v>0</v>
      </c>
      <c r="AM16" s="69">
        <f t="shared" si="94"/>
        <v>0</v>
      </c>
      <c r="AN16" s="69">
        <f t="shared" si="94"/>
        <v>0</v>
      </c>
      <c r="AO16" s="69">
        <f t="shared" si="94"/>
        <v>0</v>
      </c>
      <c r="AP16" s="69">
        <f>AO16</f>
        <v>0</v>
      </c>
      <c r="AQ16" s="69">
        <f t="shared" ref="AQ16:BB16" si="95">IF(AQ12-AQ15&lt;0,0,AQ12-AQ15)</f>
        <v>0</v>
      </c>
      <c r="AR16" s="69">
        <f t="shared" si="95"/>
        <v>0</v>
      </c>
      <c r="AS16" s="69">
        <f t="shared" si="95"/>
        <v>0</v>
      </c>
      <c r="AT16" s="69">
        <f t="shared" si="95"/>
        <v>0</v>
      </c>
      <c r="AU16" s="69">
        <f t="shared" si="95"/>
        <v>0</v>
      </c>
      <c r="AV16" s="69">
        <f t="shared" si="95"/>
        <v>0</v>
      </c>
      <c r="AW16" s="69">
        <f t="shared" si="95"/>
        <v>0</v>
      </c>
      <c r="AX16" s="69">
        <f t="shared" si="95"/>
        <v>0</v>
      </c>
      <c r="AY16" s="69">
        <f t="shared" si="95"/>
        <v>0</v>
      </c>
      <c r="AZ16" s="69">
        <f t="shared" si="95"/>
        <v>0</v>
      </c>
      <c r="BA16" s="69">
        <f t="shared" si="95"/>
        <v>0</v>
      </c>
      <c r="BB16" s="69">
        <f t="shared" si="95"/>
        <v>0</v>
      </c>
      <c r="BC16" s="69">
        <f>BB16</f>
        <v>0</v>
      </c>
      <c r="BD16" s="69">
        <f t="shared" ref="BD16:BO16" si="96">IF(BD12-BD15&lt;0,0,BD12-BD15)</f>
        <v>0</v>
      </c>
      <c r="BE16" s="69">
        <f t="shared" si="96"/>
        <v>0</v>
      </c>
      <c r="BF16" s="69">
        <f t="shared" si="96"/>
        <v>0</v>
      </c>
      <c r="BG16" s="69">
        <f t="shared" si="96"/>
        <v>0</v>
      </c>
      <c r="BH16" s="69">
        <f t="shared" si="96"/>
        <v>0</v>
      </c>
      <c r="BI16" s="69">
        <f t="shared" si="96"/>
        <v>0</v>
      </c>
      <c r="BJ16" s="69">
        <f t="shared" si="96"/>
        <v>0</v>
      </c>
      <c r="BK16" s="69">
        <f t="shared" si="96"/>
        <v>0</v>
      </c>
      <c r="BL16" s="69">
        <f t="shared" si="96"/>
        <v>0</v>
      </c>
      <c r="BM16" s="69">
        <f t="shared" si="96"/>
        <v>0</v>
      </c>
      <c r="BN16" s="69">
        <f t="shared" si="96"/>
        <v>0</v>
      </c>
      <c r="BO16" s="69">
        <f t="shared" si="96"/>
        <v>0</v>
      </c>
      <c r="BP16" s="69">
        <f>BO16</f>
        <v>0</v>
      </c>
    </row>
    <row r="18" spans="1:68">
      <c r="A18" s="10" t="s">
        <v>62</v>
      </c>
      <c r="D18" s="1">
        <v>1</v>
      </c>
      <c r="E18" s="1">
        <v>2</v>
      </c>
      <c r="F18" s="1">
        <v>3</v>
      </c>
      <c r="G18" s="1">
        <v>4</v>
      </c>
      <c r="H18" s="1">
        <v>5</v>
      </c>
      <c r="I18" s="1">
        <v>6</v>
      </c>
      <c r="J18" s="1">
        <v>7</v>
      </c>
      <c r="K18" s="1">
        <v>8</v>
      </c>
      <c r="L18" s="1">
        <v>9</v>
      </c>
      <c r="M18" s="1">
        <v>10</v>
      </c>
      <c r="N18" s="1">
        <v>11</v>
      </c>
      <c r="O18" s="1">
        <v>12</v>
      </c>
      <c r="Q18" s="1">
        <v>13</v>
      </c>
      <c r="R18" s="1">
        <v>14</v>
      </c>
      <c r="S18" s="1">
        <v>15</v>
      </c>
      <c r="T18" s="1">
        <v>16</v>
      </c>
      <c r="U18" s="1">
        <v>17</v>
      </c>
      <c r="V18" s="1">
        <v>18</v>
      </c>
      <c r="W18" s="1">
        <v>19</v>
      </c>
      <c r="X18" s="1">
        <v>20</v>
      </c>
      <c r="Y18" s="1">
        <v>21</v>
      </c>
      <c r="Z18" s="1">
        <v>22</v>
      </c>
      <c r="AA18" s="1">
        <v>23</v>
      </c>
      <c r="AB18" s="1">
        <v>24</v>
      </c>
      <c r="AD18" s="1">
        <v>25</v>
      </c>
      <c r="AE18" s="1">
        <v>26</v>
      </c>
      <c r="AF18" s="1">
        <v>27</v>
      </c>
      <c r="AG18" s="1">
        <v>28</v>
      </c>
      <c r="AH18" s="1">
        <v>29</v>
      </c>
      <c r="AI18" s="1">
        <v>30</v>
      </c>
      <c r="AJ18" s="1">
        <v>31</v>
      </c>
      <c r="AK18" s="1">
        <v>32</v>
      </c>
      <c r="AL18" s="1">
        <v>33</v>
      </c>
      <c r="AM18" s="1">
        <v>34</v>
      </c>
      <c r="AN18" s="1">
        <v>35</v>
      </c>
      <c r="AO18" s="1">
        <v>36</v>
      </c>
      <c r="AQ18" s="1">
        <v>37</v>
      </c>
      <c r="AR18" s="1">
        <v>38</v>
      </c>
      <c r="AS18" s="1">
        <v>39</v>
      </c>
      <c r="AT18" s="1">
        <v>40</v>
      </c>
      <c r="AU18" s="1">
        <v>41</v>
      </c>
      <c r="AV18" s="1">
        <v>42</v>
      </c>
      <c r="AW18" s="1">
        <v>43</v>
      </c>
      <c r="AX18" s="1">
        <v>44</v>
      </c>
      <c r="AY18" s="1">
        <v>45</v>
      </c>
      <c r="AZ18" s="1">
        <v>46</v>
      </c>
      <c r="BA18" s="1">
        <v>47</v>
      </c>
      <c r="BB18" s="1">
        <v>48</v>
      </c>
      <c r="BD18" s="1">
        <v>49</v>
      </c>
      <c r="BE18" s="1">
        <v>50</v>
      </c>
      <c r="BF18" s="1">
        <v>51</v>
      </c>
      <c r="BG18" s="1">
        <v>52</v>
      </c>
      <c r="BH18" s="1">
        <v>53</v>
      </c>
      <c r="BI18" s="1">
        <v>54</v>
      </c>
      <c r="BJ18" s="1">
        <v>55</v>
      </c>
      <c r="BK18" s="1">
        <v>56</v>
      </c>
      <c r="BL18" s="1">
        <v>57</v>
      </c>
      <c r="BM18" s="1">
        <v>58</v>
      </c>
      <c r="BN18" s="1">
        <v>59</v>
      </c>
      <c r="BO18" s="1">
        <v>60</v>
      </c>
      <c r="BP18" s="1"/>
    </row>
    <row r="19" spans="1:68" ht="13.5" thickBot="1">
      <c r="A19" s="73"/>
      <c r="B19" s="73" t="s">
        <v>63</v>
      </c>
      <c r="D19" s="60">
        <f>D11</f>
        <v>42370</v>
      </c>
      <c r="E19" s="60">
        <f>D19+31</f>
        <v>42401</v>
      </c>
      <c r="F19" s="60">
        <f>E19+31</f>
        <v>42432</v>
      </c>
      <c r="G19" s="60">
        <f>F19+31</f>
        <v>42463</v>
      </c>
      <c r="H19" s="60">
        <f t="shared" ref="H19:O19" si="97">G19+31</f>
        <v>42494</v>
      </c>
      <c r="I19" s="60">
        <f t="shared" si="97"/>
        <v>42525</v>
      </c>
      <c r="J19" s="60">
        <f t="shared" si="97"/>
        <v>42556</v>
      </c>
      <c r="K19" s="60">
        <f t="shared" si="97"/>
        <v>42587</v>
      </c>
      <c r="L19" s="60">
        <f t="shared" si="97"/>
        <v>42618</v>
      </c>
      <c r="M19" s="60">
        <f t="shared" si="97"/>
        <v>42649</v>
      </c>
      <c r="N19" s="60">
        <f t="shared" si="97"/>
        <v>42680</v>
      </c>
      <c r="O19" s="60">
        <f t="shared" si="97"/>
        <v>42711</v>
      </c>
      <c r="P19" s="70">
        <f>P11</f>
        <v>2016</v>
      </c>
      <c r="Q19" s="60">
        <f>D19</f>
        <v>42370</v>
      </c>
      <c r="R19" s="60">
        <f>Q19+31</f>
        <v>42401</v>
      </c>
      <c r="S19" s="60">
        <f>R19+31</f>
        <v>42432</v>
      </c>
      <c r="T19" s="60">
        <f>S19+31</f>
        <v>42463</v>
      </c>
      <c r="U19" s="60">
        <f t="shared" ref="U19:AB19" si="98">T19+31</f>
        <v>42494</v>
      </c>
      <c r="V19" s="60">
        <f t="shared" si="98"/>
        <v>42525</v>
      </c>
      <c r="W19" s="60">
        <f t="shared" si="98"/>
        <v>42556</v>
      </c>
      <c r="X19" s="60">
        <f t="shared" si="98"/>
        <v>42587</v>
      </c>
      <c r="Y19" s="60">
        <f t="shared" si="98"/>
        <v>42618</v>
      </c>
      <c r="Z19" s="60">
        <f t="shared" si="98"/>
        <v>42649</v>
      </c>
      <c r="AA19" s="60">
        <f t="shared" si="98"/>
        <v>42680</v>
      </c>
      <c r="AB19" s="60">
        <f t="shared" si="98"/>
        <v>42711</v>
      </c>
      <c r="AC19" s="70">
        <f>AC11</f>
        <v>2017</v>
      </c>
      <c r="AD19" s="60">
        <f>Q19</f>
        <v>42370</v>
      </c>
      <c r="AE19" s="60">
        <f>AD19+31</f>
        <v>42401</v>
      </c>
      <c r="AF19" s="60">
        <f>AE19+31</f>
        <v>42432</v>
      </c>
      <c r="AG19" s="60">
        <f>AF19+31</f>
        <v>42463</v>
      </c>
      <c r="AH19" s="60">
        <f t="shared" ref="AH19:AO19" si="99">AG19+31</f>
        <v>42494</v>
      </c>
      <c r="AI19" s="60">
        <f t="shared" si="99"/>
        <v>42525</v>
      </c>
      <c r="AJ19" s="60">
        <f t="shared" si="99"/>
        <v>42556</v>
      </c>
      <c r="AK19" s="60">
        <f t="shared" si="99"/>
        <v>42587</v>
      </c>
      <c r="AL19" s="60">
        <f t="shared" si="99"/>
        <v>42618</v>
      </c>
      <c r="AM19" s="60">
        <f t="shared" si="99"/>
        <v>42649</v>
      </c>
      <c r="AN19" s="60">
        <f t="shared" si="99"/>
        <v>42680</v>
      </c>
      <c r="AO19" s="60">
        <f t="shared" si="99"/>
        <v>42711</v>
      </c>
      <c r="AP19" s="70">
        <f>AP11</f>
        <v>2018</v>
      </c>
      <c r="AQ19" s="60">
        <f>AD19</f>
        <v>42370</v>
      </c>
      <c r="AR19" s="60">
        <f>AQ19+31</f>
        <v>42401</v>
      </c>
      <c r="AS19" s="60">
        <f>AR19+31</f>
        <v>42432</v>
      </c>
      <c r="AT19" s="60">
        <f>AS19+31</f>
        <v>42463</v>
      </c>
      <c r="AU19" s="60">
        <f t="shared" ref="AU19:BB19" si="100">AT19+31</f>
        <v>42494</v>
      </c>
      <c r="AV19" s="60">
        <f t="shared" si="100"/>
        <v>42525</v>
      </c>
      <c r="AW19" s="60">
        <f t="shared" si="100"/>
        <v>42556</v>
      </c>
      <c r="AX19" s="60">
        <f t="shared" si="100"/>
        <v>42587</v>
      </c>
      <c r="AY19" s="60">
        <f t="shared" si="100"/>
        <v>42618</v>
      </c>
      <c r="AZ19" s="60">
        <f t="shared" si="100"/>
        <v>42649</v>
      </c>
      <c r="BA19" s="60">
        <f t="shared" si="100"/>
        <v>42680</v>
      </c>
      <c r="BB19" s="60">
        <f t="shared" si="100"/>
        <v>42711</v>
      </c>
      <c r="BC19" s="70">
        <f>BC11</f>
        <v>2019</v>
      </c>
      <c r="BD19" s="60">
        <f>AQ19</f>
        <v>42370</v>
      </c>
      <c r="BE19" s="60">
        <f>BD19+31</f>
        <v>42401</v>
      </c>
      <c r="BF19" s="60">
        <f>BE19+31</f>
        <v>42432</v>
      </c>
      <c r="BG19" s="60">
        <f>BF19+31</f>
        <v>42463</v>
      </c>
      <c r="BH19" s="60">
        <f t="shared" ref="BH19:BO19" si="101">BG19+31</f>
        <v>42494</v>
      </c>
      <c r="BI19" s="60">
        <f t="shared" si="101"/>
        <v>42525</v>
      </c>
      <c r="BJ19" s="60">
        <f t="shared" si="101"/>
        <v>42556</v>
      </c>
      <c r="BK19" s="60">
        <f t="shared" si="101"/>
        <v>42587</v>
      </c>
      <c r="BL19" s="60">
        <f t="shared" si="101"/>
        <v>42618</v>
      </c>
      <c r="BM19" s="60">
        <f t="shared" si="101"/>
        <v>42649</v>
      </c>
      <c r="BN19" s="60">
        <f t="shared" si="101"/>
        <v>42680</v>
      </c>
      <c r="BO19" s="60">
        <f t="shared" si="101"/>
        <v>42711</v>
      </c>
      <c r="BP19" s="70">
        <f>BP11</f>
        <v>2020</v>
      </c>
    </row>
    <row r="20" spans="1:68">
      <c r="A20" s="61">
        <f>'7. Funding Plan'!C18</f>
        <v>0</v>
      </c>
      <c r="B20" s="62" t="s">
        <v>65</v>
      </c>
      <c r="C20" s="10" t="s">
        <v>58</v>
      </c>
      <c r="D20" s="67">
        <f>A20</f>
        <v>0</v>
      </c>
      <c r="E20" s="67">
        <f>D25</f>
        <v>0</v>
      </c>
      <c r="F20" s="67">
        <f t="shared" ref="F20:O20" si="102">E25</f>
        <v>1200</v>
      </c>
      <c r="G20" s="67">
        <f t="shared" si="102"/>
        <v>615</v>
      </c>
      <c r="H20" s="67">
        <f t="shared" si="102"/>
        <v>615</v>
      </c>
      <c r="I20" s="67">
        <f t="shared" si="102"/>
        <v>615</v>
      </c>
      <c r="J20" s="67">
        <f t="shared" si="102"/>
        <v>615</v>
      </c>
      <c r="K20" s="67">
        <f t="shared" si="102"/>
        <v>615</v>
      </c>
      <c r="L20" s="67">
        <f t="shared" si="102"/>
        <v>615</v>
      </c>
      <c r="M20" s="67">
        <f t="shared" si="102"/>
        <v>615</v>
      </c>
      <c r="N20" s="67">
        <f t="shared" si="102"/>
        <v>615</v>
      </c>
      <c r="O20" s="67">
        <f t="shared" si="102"/>
        <v>615</v>
      </c>
      <c r="P20" s="67">
        <f>D20</f>
        <v>0</v>
      </c>
      <c r="Q20" s="67">
        <f>O25</f>
        <v>615</v>
      </c>
      <c r="R20" s="67">
        <f t="shared" ref="Q20:AB20" si="103">Q25</f>
        <v>615</v>
      </c>
      <c r="S20" s="67">
        <f t="shared" si="103"/>
        <v>615</v>
      </c>
      <c r="T20" s="67">
        <f t="shared" si="103"/>
        <v>615</v>
      </c>
      <c r="U20" s="67">
        <f t="shared" si="103"/>
        <v>615</v>
      </c>
      <c r="V20" s="67">
        <f t="shared" si="103"/>
        <v>615</v>
      </c>
      <c r="W20" s="67">
        <f t="shared" si="103"/>
        <v>615</v>
      </c>
      <c r="X20" s="67">
        <f t="shared" si="103"/>
        <v>615</v>
      </c>
      <c r="Y20" s="67">
        <f t="shared" si="103"/>
        <v>615</v>
      </c>
      <c r="Z20" s="67">
        <f t="shared" si="103"/>
        <v>615</v>
      </c>
      <c r="AA20" s="67">
        <f t="shared" si="103"/>
        <v>615</v>
      </c>
      <c r="AB20" s="67">
        <f t="shared" si="103"/>
        <v>615</v>
      </c>
      <c r="AC20" s="67">
        <f>Q20</f>
        <v>615</v>
      </c>
      <c r="AD20" s="67">
        <f>AB25</f>
        <v>615</v>
      </c>
      <c r="AE20" s="67">
        <f t="shared" ref="AE20" si="104">AD25</f>
        <v>615</v>
      </c>
      <c r="AF20" s="67">
        <f t="shared" ref="AF20" si="105">AE25</f>
        <v>615</v>
      </c>
      <c r="AG20" s="67">
        <f t="shared" ref="AG20" si="106">AF25</f>
        <v>615</v>
      </c>
      <c r="AH20" s="67">
        <f t="shared" ref="AH20" si="107">AG25</f>
        <v>615</v>
      </c>
      <c r="AI20" s="67">
        <f t="shared" ref="AI20" si="108">AH25</f>
        <v>615</v>
      </c>
      <c r="AJ20" s="67">
        <f t="shared" ref="AJ20" si="109">AI25</f>
        <v>615</v>
      </c>
      <c r="AK20" s="67">
        <f t="shared" ref="AK20" si="110">AJ25</f>
        <v>615</v>
      </c>
      <c r="AL20" s="67">
        <f t="shared" ref="AL20" si="111">AK25</f>
        <v>615</v>
      </c>
      <c r="AM20" s="67">
        <f t="shared" ref="AM20" si="112">AL25</f>
        <v>615</v>
      </c>
      <c r="AN20" s="67">
        <f t="shared" ref="AN20" si="113">AM25</f>
        <v>615</v>
      </c>
      <c r="AO20" s="67">
        <f t="shared" ref="AO20" si="114">AN25</f>
        <v>615</v>
      </c>
      <c r="AP20" s="67">
        <f>AO25</f>
        <v>615</v>
      </c>
      <c r="AQ20" s="67">
        <f>AO25</f>
        <v>615</v>
      </c>
      <c r="AR20" s="67">
        <f t="shared" ref="AR20" si="115">AQ25</f>
        <v>615</v>
      </c>
      <c r="AS20" s="67">
        <f t="shared" ref="AS20" si="116">AR25</f>
        <v>615</v>
      </c>
      <c r="AT20" s="67">
        <f t="shared" ref="AT20" si="117">AS25</f>
        <v>615</v>
      </c>
      <c r="AU20" s="67">
        <f t="shared" ref="AU20" si="118">AT25</f>
        <v>615</v>
      </c>
      <c r="AV20" s="67">
        <f t="shared" ref="AV20" si="119">AU25</f>
        <v>615</v>
      </c>
      <c r="AW20" s="67">
        <f t="shared" ref="AW20" si="120">AV25</f>
        <v>615</v>
      </c>
      <c r="AX20" s="67">
        <f t="shared" ref="AX20" si="121">AW25</f>
        <v>615</v>
      </c>
      <c r="AY20" s="67">
        <f t="shared" ref="AY20" si="122">AX25</f>
        <v>615</v>
      </c>
      <c r="AZ20" s="67">
        <f t="shared" ref="AZ20" si="123">AY25</f>
        <v>615</v>
      </c>
      <c r="BA20" s="67">
        <f t="shared" ref="BA20" si="124">AZ25</f>
        <v>615</v>
      </c>
      <c r="BB20" s="67">
        <f t="shared" ref="BB20" si="125">BA25</f>
        <v>615</v>
      </c>
      <c r="BC20" s="67">
        <f>BB23</f>
        <v>0</v>
      </c>
      <c r="BD20" s="67">
        <f>BB25</f>
        <v>615</v>
      </c>
      <c r="BE20" s="67">
        <f t="shared" ref="BE20" si="126">BD25</f>
        <v>615</v>
      </c>
      <c r="BF20" s="67">
        <f t="shared" ref="BF20" si="127">BE25</f>
        <v>615</v>
      </c>
      <c r="BG20" s="67">
        <f t="shared" ref="BG20" si="128">BF25</f>
        <v>615</v>
      </c>
      <c r="BH20" s="67">
        <f t="shared" ref="BH20" si="129">BG25</f>
        <v>615</v>
      </c>
      <c r="BI20" s="67">
        <f t="shared" ref="BI20" si="130">BH25</f>
        <v>615</v>
      </c>
      <c r="BJ20" s="67">
        <f t="shared" ref="BJ20" si="131">BI25</f>
        <v>615</v>
      </c>
      <c r="BK20" s="67">
        <f t="shared" ref="BK20" si="132">BJ25</f>
        <v>615</v>
      </c>
      <c r="BL20" s="67">
        <f t="shared" ref="BL20" si="133">BK25</f>
        <v>615</v>
      </c>
      <c r="BM20" s="67">
        <f t="shared" ref="BM20" si="134">BL25</f>
        <v>615</v>
      </c>
      <c r="BN20" s="67">
        <f t="shared" ref="BN20" si="135">BM25</f>
        <v>615</v>
      </c>
      <c r="BO20" s="67">
        <f t="shared" ref="BO20" si="136">BN25</f>
        <v>615</v>
      </c>
      <c r="BP20" s="67">
        <f>BO23</f>
        <v>0</v>
      </c>
    </row>
    <row r="21" spans="1:68" ht="13.5" thickBot="1">
      <c r="A21" s="74">
        <f>'7. Funding Plan'!D19</f>
        <v>0.15</v>
      </c>
      <c r="B21" s="66" t="s">
        <v>3</v>
      </c>
      <c r="C21" s="10" t="s">
        <v>3</v>
      </c>
      <c r="D21" s="56">
        <f>IF(D20&lt;0,0,$A21/12*D20)</f>
        <v>0</v>
      </c>
      <c r="E21" s="56">
        <f>IF(E20&lt;0,0,$A21/12*E20)</f>
        <v>0</v>
      </c>
      <c r="F21" s="56">
        <f t="shared" ref="F21:O21" si="137">IF(F20&lt;0,0,$A21/12*F20)</f>
        <v>14.999999999999998</v>
      </c>
      <c r="G21" s="56">
        <f t="shared" si="137"/>
        <v>7.6874999999999991</v>
      </c>
      <c r="H21" s="56">
        <f t="shared" si="137"/>
        <v>7.6874999999999991</v>
      </c>
      <c r="I21" s="56">
        <f t="shared" si="137"/>
        <v>7.6874999999999991</v>
      </c>
      <c r="J21" s="56">
        <f t="shared" si="137"/>
        <v>7.6874999999999991</v>
      </c>
      <c r="K21" s="56">
        <f t="shared" si="137"/>
        <v>7.6874999999999991</v>
      </c>
      <c r="L21" s="56">
        <f t="shared" si="137"/>
        <v>7.6874999999999991</v>
      </c>
      <c r="M21" s="56">
        <f t="shared" si="137"/>
        <v>7.6874999999999991</v>
      </c>
      <c r="N21" s="56">
        <f t="shared" si="137"/>
        <v>7.6874999999999991</v>
      </c>
      <c r="O21" s="56">
        <f t="shared" si="137"/>
        <v>7.6874999999999991</v>
      </c>
      <c r="P21" s="69">
        <f>SUM(D21:O21)</f>
        <v>84.187499999999986</v>
      </c>
      <c r="Q21" s="56">
        <f t="shared" ref="Q21:AB21" si="138">IF(Q20&lt;0,0,$A21/12*Q20)</f>
        <v>7.6874999999999991</v>
      </c>
      <c r="R21" s="56">
        <f t="shared" si="138"/>
        <v>7.6874999999999991</v>
      </c>
      <c r="S21" s="56">
        <f t="shared" si="138"/>
        <v>7.6874999999999991</v>
      </c>
      <c r="T21" s="56">
        <f t="shared" si="138"/>
        <v>7.6874999999999991</v>
      </c>
      <c r="U21" s="56">
        <f t="shared" si="138"/>
        <v>7.6874999999999991</v>
      </c>
      <c r="V21" s="56">
        <f t="shared" si="138"/>
        <v>7.6874999999999991</v>
      </c>
      <c r="W21" s="56">
        <f t="shared" si="138"/>
        <v>7.6874999999999991</v>
      </c>
      <c r="X21" s="56">
        <f t="shared" si="138"/>
        <v>7.6874999999999991</v>
      </c>
      <c r="Y21" s="56">
        <f t="shared" si="138"/>
        <v>7.6874999999999991</v>
      </c>
      <c r="Z21" s="56">
        <f t="shared" si="138"/>
        <v>7.6874999999999991</v>
      </c>
      <c r="AA21" s="56">
        <f t="shared" si="138"/>
        <v>7.6874999999999991</v>
      </c>
      <c r="AB21" s="56">
        <f t="shared" si="138"/>
        <v>7.6874999999999991</v>
      </c>
      <c r="AC21" s="69">
        <f>SUM(Q21:AB21)</f>
        <v>92.249999999999986</v>
      </c>
      <c r="AD21" s="56">
        <f t="shared" ref="AD21:AO21" si="139">IF(AD20&lt;0,0,$A21/12*AD20)</f>
        <v>7.6874999999999991</v>
      </c>
      <c r="AE21" s="56">
        <f t="shared" si="139"/>
        <v>7.6874999999999991</v>
      </c>
      <c r="AF21" s="56">
        <f t="shared" si="139"/>
        <v>7.6874999999999991</v>
      </c>
      <c r="AG21" s="56">
        <f t="shared" si="139"/>
        <v>7.6874999999999991</v>
      </c>
      <c r="AH21" s="56">
        <f t="shared" si="139"/>
        <v>7.6874999999999991</v>
      </c>
      <c r="AI21" s="56">
        <f t="shared" si="139"/>
        <v>7.6874999999999991</v>
      </c>
      <c r="AJ21" s="56">
        <f t="shared" si="139"/>
        <v>7.6874999999999991</v>
      </c>
      <c r="AK21" s="56">
        <f t="shared" si="139"/>
        <v>7.6874999999999991</v>
      </c>
      <c r="AL21" s="56">
        <f t="shared" si="139"/>
        <v>7.6874999999999991</v>
      </c>
      <c r="AM21" s="56">
        <f t="shared" si="139"/>
        <v>7.6874999999999991</v>
      </c>
      <c r="AN21" s="56">
        <f t="shared" si="139"/>
        <v>7.6874999999999991</v>
      </c>
      <c r="AO21" s="56">
        <f t="shared" si="139"/>
        <v>7.6874999999999991</v>
      </c>
      <c r="AP21" s="56">
        <f t="shared" ref="AP21:BB21" si="140">IF(AP20&lt;0,0,$A21/12*AP20)</f>
        <v>7.6874999999999991</v>
      </c>
      <c r="AQ21" s="56">
        <f t="shared" si="140"/>
        <v>7.6874999999999991</v>
      </c>
      <c r="AR21" s="56">
        <f t="shared" si="140"/>
        <v>7.6874999999999991</v>
      </c>
      <c r="AS21" s="56">
        <f t="shared" si="140"/>
        <v>7.6874999999999991</v>
      </c>
      <c r="AT21" s="56">
        <f t="shared" si="140"/>
        <v>7.6874999999999991</v>
      </c>
      <c r="AU21" s="56">
        <f t="shared" si="140"/>
        <v>7.6874999999999991</v>
      </c>
      <c r="AV21" s="56">
        <f t="shared" si="140"/>
        <v>7.6874999999999991</v>
      </c>
      <c r="AW21" s="56">
        <f t="shared" si="140"/>
        <v>7.6874999999999991</v>
      </c>
      <c r="AX21" s="56">
        <f t="shared" si="140"/>
        <v>7.6874999999999991</v>
      </c>
      <c r="AY21" s="56">
        <f t="shared" si="140"/>
        <v>7.6874999999999991</v>
      </c>
      <c r="AZ21" s="56">
        <f t="shared" si="140"/>
        <v>7.6874999999999991</v>
      </c>
      <c r="BA21" s="56">
        <f t="shared" si="140"/>
        <v>7.6874999999999991</v>
      </c>
      <c r="BB21" s="56">
        <f t="shared" si="140"/>
        <v>7.6874999999999991</v>
      </c>
      <c r="BC21" s="56">
        <f t="shared" ref="BC21:BO21" si="141">IF(BC20&lt;0,0,$A21/12*BC20)</f>
        <v>0</v>
      </c>
      <c r="BD21" s="56">
        <f t="shared" si="141"/>
        <v>7.6874999999999991</v>
      </c>
      <c r="BE21" s="56">
        <f t="shared" si="141"/>
        <v>7.6874999999999991</v>
      </c>
      <c r="BF21" s="56">
        <f t="shared" si="141"/>
        <v>7.6874999999999991</v>
      </c>
      <c r="BG21" s="56">
        <f t="shared" si="141"/>
        <v>7.6874999999999991</v>
      </c>
      <c r="BH21" s="56">
        <f t="shared" si="141"/>
        <v>7.6874999999999991</v>
      </c>
      <c r="BI21" s="56">
        <f t="shared" si="141"/>
        <v>7.6874999999999991</v>
      </c>
      <c r="BJ21" s="56">
        <f t="shared" si="141"/>
        <v>7.6874999999999991</v>
      </c>
      <c r="BK21" s="56">
        <f t="shared" si="141"/>
        <v>7.6874999999999991</v>
      </c>
      <c r="BL21" s="56">
        <f t="shared" si="141"/>
        <v>7.6874999999999991</v>
      </c>
      <c r="BM21" s="56">
        <f t="shared" si="141"/>
        <v>7.6874999999999991</v>
      </c>
      <c r="BN21" s="56">
        <f t="shared" si="141"/>
        <v>7.6874999999999991</v>
      </c>
      <c r="BO21" s="56">
        <f t="shared" si="141"/>
        <v>7.6874999999999991</v>
      </c>
      <c r="BP21" s="56">
        <f t="shared" ref="BP21" si="142">IF(BP20&lt;0,0,$A21/12*BP20)</f>
        <v>0</v>
      </c>
    </row>
    <row r="22" spans="1:68">
      <c r="C22" s="10" t="s">
        <v>59</v>
      </c>
      <c r="D22">
        <f>'8. P&amp;L and Cashflow'!D75</f>
        <v>0</v>
      </c>
      <c r="E22">
        <f>'8. P&amp;L and Cashflow'!E75</f>
        <v>0</v>
      </c>
      <c r="F22">
        <f>'8. P&amp;L and Cashflow'!F75</f>
        <v>600</v>
      </c>
      <c r="G22">
        <f>'8. P&amp;L and Cashflow'!G75</f>
        <v>0</v>
      </c>
      <c r="H22">
        <f>'8. P&amp;L and Cashflow'!H75</f>
        <v>0</v>
      </c>
      <c r="I22">
        <f>'8. P&amp;L and Cashflow'!I75</f>
        <v>0</v>
      </c>
      <c r="J22">
        <f>'8. P&amp;L and Cashflow'!J75</f>
        <v>0</v>
      </c>
      <c r="K22">
        <f>'8. P&amp;L and Cashflow'!K75</f>
        <v>0</v>
      </c>
      <c r="L22">
        <f>'8. P&amp;L and Cashflow'!L75</f>
        <v>0</v>
      </c>
      <c r="M22">
        <f>'8. P&amp;L and Cashflow'!M75</f>
        <v>0</v>
      </c>
      <c r="N22">
        <f>'8. P&amp;L and Cashflow'!N75</f>
        <v>0</v>
      </c>
      <c r="O22">
        <f>'8. P&amp;L and Cashflow'!O75</f>
        <v>0</v>
      </c>
      <c r="P22" s="69">
        <f>SUM(D22:O22)</f>
        <v>600</v>
      </c>
      <c r="Q22">
        <f>'8. P&amp;L and Cashflow'!Q75</f>
        <v>0</v>
      </c>
      <c r="R22">
        <f>'8. P&amp;L and Cashflow'!R75</f>
        <v>0</v>
      </c>
      <c r="S22">
        <f>'8. P&amp;L and Cashflow'!S75</f>
        <v>0</v>
      </c>
      <c r="T22">
        <f>'8. P&amp;L and Cashflow'!T75</f>
        <v>0</v>
      </c>
      <c r="U22">
        <f>'8. P&amp;L and Cashflow'!U75</f>
        <v>0</v>
      </c>
      <c r="V22">
        <f>'8. P&amp;L and Cashflow'!V75</f>
        <v>0</v>
      </c>
      <c r="W22">
        <f>'8. P&amp;L and Cashflow'!W75</f>
        <v>0</v>
      </c>
      <c r="X22">
        <f>'8. P&amp;L and Cashflow'!X75</f>
        <v>0</v>
      </c>
      <c r="Y22">
        <f>'8. P&amp;L and Cashflow'!Y75</f>
        <v>0</v>
      </c>
      <c r="Z22">
        <f>'8. P&amp;L and Cashflow'!Z75</f>
        <v>0</v>
      </c>
      <c r="AA22">
        <f>'8. P&amp;L and Cashflow'!AA75</f>
        <v>0</v>
      </c>
      <c r="AB22">
        <f>'8. P&amp;L and Cashflow'!AB75</f>
        <v>0</v>
      </c>
      <c r="AC22" s="69">
        <f>SUM(Q22:AB22)</f>
        <v>0</v>
      </c>
      <c r="AD22">
        <f>'8. P&amp;L and Cashflow'!AD75</f>
        <v>0</v>
      </c>
      <c r="AE22">
        <f>'8. P&amp;L and Cashflow'!AE75</f>
        <v>0</v>
      </c>
      <c r="AF22">
        <f>'8. P&amp;L and Cashflow'!AF75</f>
        <v>0</v>
      </c>
      <c r="AG22">
        <f>'8. P&amp;L and Cashflow'!AG75</f>
        <v>0</v>
      </c>
      <c r="AH22">
        <f>'8. P&amp;L and Cashflow'!AH75</f>
        <v>0</v>
      </c>
      <c r="AI22">
        <f>'8. P&amp;L and Cashflow'!AI75</f>
        <v>0</v>
      </c>
      <c r="AJ22">
        <f>'8. P&amp;L and Cashflow'!AJ75</f>
        <v>0</v>
      </c>
      <c r="AK22">
        <f>'8. P&amp;L and Cashflow'!AK75</f>
        <v>0</v>
      </c>
      <c r="AL22">
        <f>'8. P&amp;L and Cashflow'!AL75</f>
        <v>0</v>
      </c>
      <c r="AM22">
        <f>'8. P&amp;L and Cashflow'!AM75</f>
        <v>0</v>
      </c>
      <c r="AN22">
        <f>'8. P&amp;L and Cashflow'!AN75</f>
        <v>0</v>
      </c>
      <c r="AO22">
        <f>'8. P&amp;L and Cashflow'!AO75</f>
        <v>0</v>
      </c>
      <c r="AP22">
        <f>'8. P&amp;L and Cashflow'!AD75</f>
        <v>0</v>
      </c>
      <c r="AQ22">
        <f>'8. P&amp;L and Cashflow'!AQ75</f>
        <v>0</v>
      </c>
      <c r="AR22">
        <f>'8. P&amp;L and Cashflow'!AR75</f>
        <v>0</v>
      </c>
      <c r="AS22">
        <f>'8. P&amp;L and Cashflow'!AS75</f>
        <v>0</v>
      </c>
      <c r="AT22">
        <f>'8. P&amp;L and Cashflow'!AT75</f>
        <v>0</v>
      </c>
      <c r="AU22">
        <f>'8. P&amp;L and Cashflow'!AU75</f>
        <v>0</v>
      </c>
      <c r="AV22">
        <f>'8. P&amp;L and Cashflow'!AV75</f>
        <v>0</v>
      </c>
      <c r="AW22">
        <f>'8. P&amp;L and Cashflow'!AW75</f>
        <v>0</v>
      </c>
      <c r="AX22">
        <f>'8. P&amp;L and Cashflow'!AX75</f>
        <v>0</v>
      </c>
      <c r="AY22">
        <f>'8. P&amp;L and Cashflow'!AY75</f>
        <v>0</v>
      </c>
      <c r="AZ22">
        <f>'8. P&amp;L and Cashflow'!AZ75</f>
        <v>0</v>
      </c>
      <c r="BA22">
        <f>'8. P&amp;L and Cashflow'!BA75</f>
        <v>0</v>
      </c>
      <c r="BB22">
        <f>'8. P&amp;L and Cashflow'!BB75</f>
        <v>0</v>
      </c>
      <c r="BC22">
        <f>'8. P&amp;L and Cashflow'!AE75</f>
        <v>0</v>
      </c>
      <c r="BD22">
        <f>'8. P&amp;L and Cashflow'!BD75</f>
        <v>0</v>
      </c>
      <c r="BE22">
        <f>'8. P&amp;L and Cashflow'!BE75</f>
        <v>0</v>
      </c>
      <c r="BF22">
        <f>'8. P&amp;L and Cashflow'!BF75</f>
        <v>0</v>
      </c>
      <c r="BG22">
        <f>'8. P&amp;L and Cashflow'!BG75</f>
        <v>0</v>
      </c>
      <c r="BH22">
        <f>'8. P&amp;L and Cashflow'!BH75</f>
        <v>0</v>
      </c>
      <c r="BI22">
        <f>'8. P&amp;L and Cashflow'!BI75</f>
        <v>0</v>
      </c>
      <c r="BJ22">
        <f>'8. P&amp;L and Cashflow'!BJ75</f>
        <v>0</v>
      </c>
      <c r="BK22">
        <f>'8. P&amp;L and Cashflow'!BK75</f>
        <v>0</v>
      </c>
      <c r="BL22">
        <f>'8. P&amp;L and Cashflow'!BL75</f>
        <v>0</v>
      </c>
      <c r="BM22">
        <f>'8. P&amp;L and Cashflow'!BM75</f>
        <v>0</v>
      </c>
      <c r="BN22">
        <f>'8. P&amp;L and Cashflow'!BN75</f>
        <v>0</v>
      </c>
      <c r="BO22">
        <f>'8. P&amp;L and Cashflow'!BO75</f>
        <v>0</v>
      </c>
      <c r="BP22">
        <f>'8. P&amp;L and Cashflow'!AF75</f>
        <v>0</v>
      </c>
    </row>
    <row r="23" spans="1:68">
      <c r="C23" s="44" t="s">
        <v>60</v>
      </c>
      <c r="D23" s="67">
        <f>IF(D22-D21&lt;0,0,D22-D21)</f>
        <v>0</v>
      </c>
      <c r="E23" s="67">
        <f t="shared" ref="E23:BP23" si="143">IF(E22-E21&lt;0,0,E22-E21)</f>
        <v>0</v>
      </c>
      <c r="F23" s="67">
        <f t="shared" si="143"/>
        <v>585</v>
      </c>
      <c r="G23" s="67">
        <f t="shared" si="143"/>
        <v>0</v>
      </c>
      <c r="H23" s="67">
        <f t="shared" si="143"/>
        <v>0</v>
      </c>
      <c r="I23" s="67">
        <f t="shared" si="143"/>
        <v>0</v>
      </c>
      <c r="J23" s="67">
        <f t="shared" si="143"/>
        <v>0</v>
      </c>
      <c r="K23" s="67">
        <f t="shared" si="143"/>
        <v>0</v>
      </c>
      <c r="L23" s="67">
        <f t="shared" si="143"/>
        <v>0</v>
      </c>
      <c r="M23" s="67">
        <f t="shared" si="143"/>
        <v>0</v>
      </c>
      <c r="N23" s="67">
        <f t="shared" si="143"/>
        <v>0</v>
      </c>
      <c r="O23" s="67">
        <f t="shared" si="143"/>
        <v>0</v>
      </c>
      <c r="P23" s="67">
        <f t="shared" si="143"/>
        <v>515.8125</v>
      </c>
      <c r="Q23" s="67">
        <f t="shared" si="143"/>
        <v>0</v>
      </c>
      <c r="R23" s="67">
        <f t="shared" si="143"/>
        <v>0</v>
      </c>
      <c r="S23" s="67">
        <f t="shared" si="143"/>
        <v>0</v>
      </c>
      <c r="T23" s="67">
        <f t="shared" si="143"/>
        <v>0</v>
      </c>
      <c r="U23" s="67">
        <f t="shared" si="143"/>
        <v>0</v>
      </c>
      <c r="V23" s="67">
        <f t="shared" si="143"/>
        <v>0</v>
      </c>
      <c r="W23" s="67">
        <f t="shared" si="143"/>
        <v>0</v>
      </c>
      <c r="X23" s="67">
        <f t="shared" si="143"/>
        <v>0</v>
      </c>
      <c r="Y23" s="67">
        <f t="shared" si="143"/>
        <v>0</v>
      </c>
      <c r="Z23" s="67">
        <f t="shared" si="143"/>
        <v>0</v>
      </c>
      <c r="AA23" s="67">
        <f t="shared" si="143"/>
        <v>0</v>
      </c>
      <c r="AB23" s="67">
        <f t="shared" si="143"/>
        <v>0</v>
      </c>
      <c r="AC23" s="67">
        <f t="shared" si="143"/>
        <v>0</v>
      </c>
      <c r="AD23" s="67">
        <f t="shared" ref="AD23:AO23" si="144">IF(AD22-AD21&lt;0,0,AD22-AD21)</f>
        <v>0</v>
      </c>
      <c r="AE23" s="67">
        <f t="shared" si="144"/>
        <v>0</v>
      </c>
      <c r="AF23" s="67">
        <f t="shared" si="144"/>
        <v>0</v>
      </c>
      <c r="AG23" s="67">
        <f t="shared" si="144"/>
        <v>0</v>
      </c>
      <c r="AH23" s="67">
        <f t="shared" si="144"/>
        <v>0</v>
      </c>
      <c r="AI23" s="67">
        <f t="shared" si="144"/>
        <v>0</v>
      </c>
      <c r="AJ23" s="67">
        <f t="shared" si="144"/>
        <v>0</v>
      </c>
      <c r="AK23" s="67">
        <f t="shared" si="144"/>
        <v>0</v>
      </c>
      <c r="AL23" s="67">
        <f t="shared" si="144"/>
        <v>0</v>
      </c>
      <c r="AM23" s="67">
        <f t="shared" si="144"/>
        <v>0</v>
      </c>
      <c r="AN23" s="67">
        <f t="shared" si="144"/>
        <v>0</v>
      </c>
      <c r="AO23" s="67">
        <f t="shared" si="144"/>
        <v>0</v>
      </c>
      <c r="AP23" s="67">
        <f t="shared" si="143"/>
        <v>0</v>
      </c>
      <c r="AQ23" s="67">
        <f t="shared" si="143"/>
        <v>0</v>
      </c>
      <c r="AR23" s="67">
        <f t="shared" si="143"/>
        <v>0</v>
      </c>
      <c r="AS23" s="67">
        <f t="shared" si="143"/>
        <v>0</v>
      </c>
      <c r="AT23" s="67">
        <f t="shared" si="143"/>
        <v>0</v>
      </c>
      <c r="AU23" s="67">
        <f t="shared" si="143"/>
        <v>0</v>
      </c>
      <c r="AV23" s="67">
        <f t="shared" si="143"/>
        <v>0</v>
      </c>
      <c r="AW23" s="67">
        <f t="shared" si="143"/>
        <v>0</v>
      </c>
      <c r="AX23" s="67">
        <f t="shared" si="143"/>
        <v>0</v>
      </c>
      <c r="AY23" s="67">
        <f t="shared" si="143"/>
        <v>0</v>
      </c>
      <c r="AZ23" s="67">
        <f t="shared" si="143"/>
        <v>0</v>
      </c>
      <c r="BA23" s="67">
        <f t="shared" si="143"/>
        <v>0</v>
      </c>
      <c r="BB23" s="67">
        <f t="shared" si="143"/>
        <v>0</v>
      </c>
      <c r="BC23" s="67">
        <f t="shared" si="143"/>
        <v>0</v>
      </c>
      <c r="BD23" s="67">
        <f t="shared" ref="BD23:BO23" si="145">IF(BD22-BD21&lt;0,0,BD22-BD21)</f>
        <v>0</v>
      </c>
      <c r="BE23" s="67">
        <f t="shared" si="145"/>
        <v>0</v>
      </c>
      <c r="BF23" s="67">
        <f t="shared" si="145"/>
        <v>0</v>
      </c>
      <c r="BG23" s="67">
        <f t="shared" si="145"/>
        <v>0</v>
      </c>
      <c r="BH23" s="67">
        <f t="shared" si="145"/>
        <v>0</v>
      </c>
      <c r="BI23" s="67">
        <f t="shared" si="145"/>
        <v>0</v>
      </c>
      <c r="BJ23" s="67">
        <f t="shared" si="145"/>
        <v>0</v>
      </c>
      <c r="BK23" s="67">
        <f t="shared" si="145"/>
        <v>0</v>
      </c>
      <c r="BL23" s="67">
        <f t="shared" si="145"/>
        <v>0</v>
      </c>
      <c r="BM23" s="67">
        <f t="shared" si="145"/>
        <v>0</v>
      </c>
      <c r="BN23" s="67">
        <f t="shared" si="145"/>
        <v>0</v>
      </c>
      <c r="BO23" s="67">
        <f t="shared" si="145"/>
        <v>0</v>
      </c>
      <c r="BP23" s="67">
        <f t="shared" si="143"/>
        <v>0</v>
      </c>
    </row>
    <row r="24" spans="1:68">
      <c r="C24" s="10" t="s">
        <v>64</v>
      </c>
      <c r="D24">
        <f>'8. P&amp;L and Cashflow'!D70</f>
        <v>0</v>
      </c>
      <c r="E24">
        <f>'8. P&amp;L and Cashflow'!E70</f>
        <v>1200</v>
      </c>
      <c r="F24">
        <f>'8. P&amp;L and Cashflow'!F70</f>
        <v>0</v>
      </c>
      <c r="G24">
        <f>'8. P&amp;L and Cashflow'!G70</f>
        <v>0</v>
      </c>
      <c r="H24">
        <f>'8. P&amp;L and Cashflow'!H70</f>
        <v>0</v>
      </c>
      <c r="I24">
        <f>'8. P&amp;L and Cashflow'!I70</f>
        <v>0</v>
      </c>
      <c r="J24">
        <f>'8. P&amp;L and Cashflow'!J70</f>
        <v>0</v>
      </c>
      <c r="K24">
        <f>'8. P&amp;L and Cashflow'!K70</f>
        <v>0</v>
      </c>
      <c r="L24">
        <f>'8. P&amp;L and Cashflow'!L70</f>
        <v>0</v>
      </c>
      <c r="M24">
        <f>'8. P&amp;L and Cashflow'!M70</f>
        <v>0</v>
      </c>
      <c r="N24">
        <f>'8. P&amp;L and Cashflow'!N70</f>
        <v>0</v>
      </c>
      <c r="O24">
        <f>'8. P&amp;L and Cashflow'!O70</f>
        <v>0</v>
      </c>
      <c r="P24" s="69">
        <f>SUM(D24:O24)</f>
        <v>1200</v>
      </c>
      <c r="Q24">
        <f>'8. P&amp;L and Cashflow'!Q70</f>
        <v>0</v>
      </c>
      <c r="R24">
        <f>'8. P&amp;L and Cashflow'!R70</f>
        <v>0</v>
      </c>
      <c r="S24">
        <f>'8. P&amp;L and Cashflow'!S70</f>
        <v>0</v>
      </c>
      <c r="T24">
        <f>'8. P&amp;L and Cashflow'!T70</f>
        <v>0</v>
      </c>
      <c r="U24">
        <f>'8. P&amp;L and Cashflow'!U70</f>
        <v>0</v>
      </c>
      <c r="V24">
        <f>'8. P&amp;L and Cashflow'!V70</f>
        <v>0</v>
      </c>
      <c r="W24">
        <f>'8. P&amp;L and Cashflow'!W70</f>
        <v>0</v>
      </c>
      <c r="X24">
        <f>'8. P&amp;L and Cashflow'!X70</f>
        <v>0</v>
      </c>
      <c r="Y24">
        <f>'8. P&amp;L and Cashflow'!Y70</f>
        <v>0</v>
      </c>
      <c r="Z24">
        <f>'8. P&amp;L and Cashflow'!Z70</f>
        <v>0</v>
      </c>
      <c r="AA24">
        <f>'8. P&amp;L and Cashflow'!AA70</f>
        <v>0</v>
      </c>
      <c r="AB24">
        <f>'8. P&amp;L and Cashflow'!AB70</f>
        <v>0</v>
      </c>
      <c r="AC24" s="69">
        <f>SUM(Q24:AB24)</f>
        <v>0</v>
      </c>
      <c r="AD24">
        <f>'8. P&amp;L and Cashflow'!AD70</f>
        <v>0</v>
      </c>
      <c r="AE24">
        <f>'8. P&amp;L and Cashflow'!AE70</f>
        <v>0</v>
      </c>
      <c r="AF24">
        <f>'8. P&amp;L and Cashflow'!AF70</f>
        <v>0</v>
      </c>
      <c r="AG24">
        <f>'8. P&amp;L and Cashflow'!AG70</f>
        <v>0</v>
      </c>
      <c r="AH24">
        <f>'8. P&amp;L and Cashflow'!AH70</f>
        <v>0</v>
      </c>
      <c r="AI24">
        <f>'8. P&amp;L and Cashflow'!AI70</f>
        <v>0</v>
      </c>
      <c r="AJ24">
        <f>'8. P&amp;L and Cashflow'!AJ70</f>
        <v>0</v>
      </c>
      <c r="AK24">
        <f>'8. P&amp;L and Cashflow'!AK70</f>
        <v>0</v>
      </c>
      <c r="AL24">
        <f>'8. P&amp;L and Cashflow'!AL70</f>
        <v>0</v>
      </c>
      <c r="AM24">
        <f>'8. P&amp;L and Cashflow'!AM70</f>
        <v>0</v>
      </c>
      <c r="AN24">
        <f>'8. P&amp;L and Cashflow'!AN70</f>
        <v>0</v>
      </c>
      <c r="AO24">
        <f>'8. P&amp;L and Cashflow'!AO70</f>
        <v>0</v>
      </c>
      <c r="AP24">
        <f>'8. P&amp;L and Cashflow'!AD70</f>
        <v>0</v>
      </c>
      <c r="AQ24">
        <f>'8. P&amp;L and Cashflow'!AQ70</f>
        <v>0</v>
      </c>
      <c r="AR24">
        <f>'8. P&amp;L and Cashflow'!AR70</f>
        <v>0</v>
      </c>
      <c r="AS24">
        <f>'8. P&amp;L and Cashflow'!AS70</f>
        <v>0</v>
      </c>
      <c r="AT24">
        <f>'8. P&amp;L and Cashflow'!AT70</f>
        <v>0</v>
      </c>
      <c r="AU24">
        <f>'8. P&amp;L and Cashflow'!AU70</f>
        <v>0</v>
      </c>
      <c r="AV24">
        <f>'8. P&amp;L and Cashflow'!AV70</f>
        <v>0</v>
      </c>
      <c r="AW24">
        <f>'8. P&amp;L and Cashflow'!AW70</f>
        <v>0</v>
      </c>
      <c r="AX24">
        <f>'8. P&amp;L and Cashflow'!AX70</f>
        <v>0</v>
      </c>
      <c r="AY24">
        <f>'8. P&amp;L and Cashflow'!AY70</f>
        <v>0</v>
      </c>
      <c r="AZ24">
        <f>'8. P&amp;L and Cashflow'!AZ70</f>
        <v>0</v>
      </c>
      <c r="BA24">
        <f>'8. P&amp;L and Cashflow'!BA70</f>
        <v>0</v>
      </c>
      <c r="BB24">
        <f>'8. P&amp;L and Cashflow'!BB70</f>
        <v>0</v>
      </c>
      <c r="BC24">
        <f>'8. P&amp;L and Cashflow'!AE70</f>
        <v>0</v>
      </c>
      <c r="BD24">
        <f>'8. P&amp;L and Cashflow'!BD70</f>
        <v>0</v>
      </c>
      <c r="BE24">
        <f>'8. P&amp;L and Cashflow'!BE70</f>
        <v>0</v>
      </c>
      <c r="BF24">
        <f>'8. P&amp;L and Cashflow'!BF70</f>
        <v>0</v>
      </c>
      <c r="BG24">
        <f>'8. P&amp;L and Cashflow'!BG70</f>
        <v>0</v>
      </c>
      <c r="BH24">
        <f>'8. P&amp;L and Cashflow'!BH70</f>
        <v>0</v>
      </c>
      <c r="BI24">
        <f>'8. P&amp;L and Cashflow'!BI70</f>
        <v>0</v>
      </c>
      <c r="BJ24">
        <f>'8. P&amp;L and Cashflow'!BJ70</f>
        <v>0</v>
      </c>
      <c r="BK24">
        <f>'8. P&amp;L and Cashflow'!BK70</f>
        <v>0</v>
      </c>
      <c r="BL24">
        <f>'8. P&amp;L and Cashflow'!BL70</f>
        <v>0</v>
      </c>
      <c r="BM24">
        <f>'8. P&amp;L and Cashflow'!BM70</f>
        <v>0</v>
      </c>
      <c r="BN24">
        <f>'8. P&amp;L and Cashflow'!BN70</f>
        <v>0</v>
      </c>
      <c r="BO24">
        <f>'8. P&amp;L and Cashflow'!BO70</f>
        <v>0</v>
      </c>
      <c r="BP24">
        <f>'8. P&amp;L and Cashflow'!AF70</f>
        <v>0</v>
      </c>
    </row>
    <row r="25" spans="1:68">
      <c r="C25" s="10" t="s">
        <v>61</v>
      </c>
      <c r="D25" s="67">
        <f>D20-D23+D24</f>
        <v>0</v>
      </c>
      <c r="E25" s="67">
        <f t="shared" ref="E25:O25" si="146">E20-E23+E24</f>
        <v>1200</v>
      </c>
      <c r="F25" s="67">
        <f t="shared" si="146"/>
        <v>615</v>
      </c>
      <c r="G25" s="67">
        <f t="shared" si="146"/>
        <v>615</v>
      </c>
      <c r="H25" s="67">
        <f t="shared" si="146"/>
        <v>615</v>
      </c>
      <c r="I25" s="67">
        <f t="shared" si="146"/>
        <v>615</v>
      </c>
      <c r="J25" s="67">
        <f t="shared" si="146"/>
        <v>615</v>
      </c>
      <c r="K25" s="67">
        <f t="shared" si="146"/>
        <v>615</v>
      </c>
      <c r="L25" s="67">
        <f t="shared" si="146"/>
        <v>615</v>
      </c>
      <c r="M25" s="67">
        <f t="shared" si="146"/>
        <v>615</v>
      </c>
      <c r="N25" s="67">
        <f t="shared" si="146"/>
        <v>615</v>
      </c>
      <c r="O25" s="67">
        <f t="shared" si="146"/>
        <v>615</v>
      </c>
      <c r="P25" s="67">
        <f>P20-P23+P24</f>
        <v>684.1875</v>
      </c>
      <c r="Q25" s="67">
        <f>Q20-Q23+Q24</f>
        <v>615</v>
      </c>
      <c r="R25" s="67">
        <f t="shared" ref="R25" si="147">R20-R23+R24</f>
        <v>615</v>
      </c>
      <c r="S25" s="67">
        <f t="shared" ref="S25" si="148">S20-S23+S24</f>
        <v>615</v>
      </c>
      <c r="T25" s="67">
        <f t="shared" ref="T25" si="149">T20-T23+T24</f>
        <v>615</v>
      </c>
      <c r="U25" s="67">
        <f t="shared" ref="U25" si="150">U20-U23+U24</f>
        <v>615</v>
      </c>
      <c r="V25" s="67">
        <f t="shared" ref="V25" si="151">V20-V23+V24</f>
        <v>615</v>
      </c>
      <c r="W25" s="67">
        <f t="shared" ref="W25" si="152">W20-W23+W24</f>
        <v>615</v>
      </c>
      <c r="X25" s="67">
        <f t="shared" ref="X25" si="153">X20-X23+X24</f>
        <v>615</v>
      </c>
      <c r="Y25" s="67">
        <f t="shared" ref="Y25" si="154">Y20-Y23+Y24</f>
        <v>615</v>
      </c>
      <c r="Z25" s="67">
        <f t="shared" ref="Z25" si="155">Z20-Z23+Z24</f>
        <v>615</v>
      </c>
      <c r="AA25" s="67">
        <f t="shared" ref="AA25" si="156">AA20-AA23+AA24</f>
        <v>615</v>
      </c>
      <c r="AB25" s="67">
        <f t="shared" ref="AB25" si="157">AB20-AB23+AB24</f>
        <v>615</v>
      </c>
      <c r="AC25" s="67">
        <f>AC20-AC23+AC24</f>
        <v>615</v>
      </c>
      <c r="AD25" s="67">
        <f>AD20-AD23+AD24</f>
        <v>615</v>
      </c>
      <c r="AE25" s="67">
        <f t="shared" ref="AE25" si="158">AE20-AE23+AE24</f>
        <v>615</v>
      </c>
      <c r="AF25" s="67">
        <f t="shared" ref="AF25" si="159">AF20-AF23+AF24</f>
        <v>615</v>
      </c>
      <c r="AG25" s="67">
        <f t="shared" ref="AG25" si="160">AG20-AG23+AG24</f>
        <v>615</v>
      </c>
      <c r="AH25" s="67">
        <f t="shared" ref="AH25" si="161">AH20-AH23+AH24</f>
        <v>615</v>
      </c>
      <c r="AI25" s="67">
        <f t="shared" ref="AI25" si="162">AI20-AI23+AI24</f>
        <v>615</v>
      </c>
      <c r="AJ25" s="67">
        <f t="shared" ref="AJ25" si="163">AJ20-AJ23+AJ24</f>
        <v>615</v>
      </c>
      <c r="AK25" s="67">
        <f t="shared" ref="AK25" si="164">AK20-AK23+AK24</f>
        <v>615</v>
      </c>
      <c r="AL25" s="67">
        <f t="shared" ref="AL25" si="165">AL20-AL23+AL24</f>
        <v>615</v>
      </c>
      <c r="AM25" s="67">
        <f t="shared" ref="AM25" si="166">AM20-AM23+AM24</f>
        <v>615</v>
      </c>
      <c r="AN25" s="67">
        <f t="shared" ref="AN25" si="167">AN20-AN23+AN24</f>
        <v>615</v>
      </c>
      <c r="AO25" s="67">
        <f t="shared" ref="AO25" si="168">AO20-AO23+AO24</f>
        <v>615</v>
      </c>
      <c r="AP25" s="67">
        <f>AP20-AP23+AP24</f>
        <v>615</v>
      </c>
      <c r="AQ25" s="67">
        <f>AQ20-AQ23+AQ24</f>
        <v>615</v>
      </c>
      <c r="AR25" s="67">
        <f t="shared" ref="AR25" si="169">AR20-AR23+AR24</f>
        <v>615</v>
      </c>
      <c r="AS25" s="67">
        <f t="shared" ref="AS25" si="170">AS20-AS23+AS24</f>
        <v>615</v>
      </c>
      <c r="AT25" s="67">
        <f t="shared" ref="AT25" si="171">AT20-AT23+AT24</f>
        <v>615</v>
      </c>
      <c r="AU25" s="67">
        <f t="shared" ref="AU25" si="172">AU20-AU23+AU24</f>
        <v>615</v>
      </c>
      <c r="AV25" s="67">
        <f t="shared" ref="AV25" si="173">AV20-AV23+AV24</f>
        <v>615</v>
      </c>
      <c r="AW25" s="67">
        <f t="shared" ref="AW25" si="174">AW20-AW23+AW24</f>
        <v>615</v>
      </c>
      <c r="AX25" s="67">
        <f t="shared" ref="AX25" si="175">AX20-AX23+AX24</f>
        <v>615</v>
      </c>
      <c r="AY25" s="67">
        <f t="shared" ref="AY25" si="176">AY20-AY23+AY24</f>
        <v>615</v>
      </c>
      <c r="AZ25" s="67">
        <f t="shared" ref="AZ25" si="177">AZ20-AZ23+AZ24</f>
        <v>615</v>
      </c>
      <c r="BA25" s="67">
        <f t="shared" ref="BA25" si="178">BA20-BA23+BA24</f>
        <v>615</v>
      </c>
      <c r="BB25" s="67">
        <f t="shared" ref="BB25" si="179">BB20-BB23+BB24</f>
        <v>615</v>
      </c>
      <c r="BC25" s="67">
        <f>BC20-BC23+BC24</f>
        <v>0</v>
      </c>
      <c r="BD25" s="67">
        <f>BD20-BD23+BD24</f>
        <v>615</v>
      </c>
      <c r="BE25" s="67">
        <f t="shared" ref="BE25:BO25" si="180">BE20-BE23+BE24</f>
        <v>615</v>
      </c>
      <c r="BF25" s="67">
        <f t="shared" si="180"/>
        <v>615</v>
      </c>
      <c r="BG25" s="67">
        <f t="shared" si="180"/>
        <v>615</v>
      </c>
      <c r="BH25" s="67">
        <f t="shared" si="180"/>
        <v>615</v>
      </c>
      <c r="BI25" s="67">
        <f t="shared" si="180"/>
        <v>615</v>
      </c>
      <c r="BJ25" s="67">
        <f t="shared" si="180"/>
        <v>615</v>
      </c>
      <c r="BK25" s="67">
        <f t="shared" si="180"/>
        <v>615</v>
      </c>
      <c r="BL25" s="67">
        <f t="shared" si="180"/>
        <v>615</v>
      </c>
      <c r="BM25" s="67">
        <f t="shared" si="180"/>
        <v>615</v>
      </c>
      <c r="BN25" s="67">
        <f t="shared" si="180"/>
        <v>615</v>
      </c>
      <c r="BO25" s="67">
        <f t="shared" si="180"/>
        <v>615</v>
      </c>
      <c r="BP25" s="67">
        <f>BP20-BP23+BP24</f>
        <v>0</v>
      </c>
    </row>
    <row r="26" spans="1:68">
      <c r="C26" s="10"/>
      <c r="D26" s="67"/>
      <c r="E26" s="67"/>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row>
    <row r="27" spans="1:68">
      <c r="A27" s="10" t="s">
        <v>71</v>
      </c>
      <c r="C27" s="10"/>
      <c r="D27" s="6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row>
    <row r="28" spans="1:68">
      <c r="C28" s="71" t="s">
        <v>72</v>
      </c>
      <c r="D28" s="67">
        <f>D6+D14+D21</f>
        <v>43.793750000000003</v>
      </c>
      <c r="E28" s="67">
        <f t="shared" ref="E28:BP28" si="181">E6+E14+E21</f>
        <v>42.688731376110184</v>
      </c>
      <c r="F28" s="67">
        <f t="shared" si="181"/>
        <v>56.577727234674292</v>
      </c>
      <c r="G28" s="67">
        <f t="shared" si="181"/>
        <v>48.148205154138964</v>
      </c>
      <c r="H28" s="67">
        <f t="shared" si="181"/>
        <v>47.025132537334066</v>
      </c>
      <c r="I28" s="67">
        <f t="shared" si="181"/>
        <v>45.895976610521473</v>
      </c>
      <c r="J28" s="67">
        <f t="shared" si="181"/>
        <v>44.760704422438643</v>
      </c>
      <c r="K28" s="67">
        <f t="shared" si="181"/>
        <v>43.619282843337039</v>
      </c>
      <c r="L28" s="67">
        <f t="shared" si="181"/>
        <v>42.471678564015292</v>
      </c>
      <c r="M28" s="67">
        <f t="shared" si="181"/>
        <v>41.317858094847232</v>
      </c>
      <c r="N28" s="67">
        <f t="shared" si="181"/>
        <v>40.157787764804503</v>
      </c>
      <c r="O28" s="67">
        <f t="shared" si="181"/>
        <v>38.991433720474035</v>
      </c>
      <c r="P28" s="67">
        <f t="shared" si="181"/>
        <v>535.44826832269564</v>
      </c>
      <c r="Q28" s="67">
        <f t="shared" si="181"/>
        <v>37.81876192507012</v>
      </c>
      <c r="R28" s="67">
        <f t="shared" si="181"/>
        <v>36.639738157441101</v>
      </c>
      <c r="S28" s="67">
        <f t="shared" si="181"/>
        <v>35.454328011070757</v>
      </c>
      <c r="T28" s="67">
        <f t="shared" si="181"/>
        <v>34.262496893074243</v>
      </c>
      <c r="U28" s="67">
        <f t="shared" si="181"/>
        <v>33.064210023188572</v>
      </c>
      <c r="V28" s="67">
        <f t="shared" si="181"/>
        <v>31.8594324327577</v>
      </c>
      <c r="W28" s="67">
        <f t="shared" si="181"/>
        <v>30.648128963711986</v>
      </c>
      <c r="X28" s="67">
        <f t="shared" si="181"/>
        <v>29.430264267542277</v>
      </c>
      <c r="Y28" s="67">
        <f t="shared" si="181"/>
        <v>28.205802804268316</v>
      </c>
      <c r="Z28" s="67">
        <f t="shared" si="181"/>
        <v>26.974708841401618</v>
      </c>
      <c r="AA28" s="67">
        <f t="shared" si="181"/>
        <v>25.736946452902725</v>
      </c>
      <c r="AB28" s="67">
        <f t="shared" si="181"/>
        <v>24.4924795181328</v>
      </c>
      <c r="AC28" s="67">
        <f t="shared" si="181"/>
        <v>374.58729829056227</v>
      </c>
      <c r="AD28" s="67">
        <f t="shared" si="181"/>
        <v>23.241271720799535</v>
      </c>
      <c r="AE28" s="67">
        <f t="shared" si="181"/>
        <v>21.983286547897379</v>
      </c>
      <c r="AF28" s="67">
        <f t="shared" si="181"/>
        <v>20.718487288642006</v>
      </c>
      <c r="AG28" s="67">
        <f t="shared" si="181"/>
        <v>19.446837033398999</v>
      </c>
      <c r="AH28" s="67">
        <f t="shared" si="181"/>
        <v>18.168298672606763</v>
      </c>
      <c r="AI28" s="67">
        <f t="shared" si="181"/>
        <v>16.882834895693566</v>
      </c>
      <c r="AJ28" s="67">
        <f t="shared" si="181"/>
        <v>15.590408189988754</v>
      </c>
      <c r="AK28" s="67">
        <f t="shared" si="181"/>
        <v>14.290980839628041</v>
      </c>
      <c r="AL28" s="67">
        <f t="shared" si="181"/>
        <v>12.984514924452878</v>
      </c>
      <c r="AM28" s="67">
        <f t="shared" si="181"/>
        <v>11.670972318903846</v>
      </c>
      <c r="AN28" s="67">
        <f t="shared" si="181"/>
        <v>10.350314690908093</v>
      </c>
      <c r="AO28" s="67">
        <f t="shared" si="181"/>
        <v>9.0225035007606937</v>
      </c>
      <c r="AP28" s="67">
        <f t="shared" si="181"/>
        <v>109.78821062368057</v>
      </c>
      <c r="AQ28" s="67">
        <f t="shared" si="181"/>
        <v>7.6874999999999991</v>
      </c>
      <c r="AR28" s="67">
        <f t="shared" si="181"/>
        <v>7.6874999999999991</v>
      </c>
      <c r="AS28" s="67">
        <f t="shared" si="181"/>
        <v>7.6874999999999991</v>
      </c>
      <c r="AT28" s="67">
        <f t="shared" si="181"/>
        <v>7.6874999999999991</v>
      </c>
      <c r="AU28" s="67">
        <f t="shared" si="181"/>
        <v>7.6874999999999991</v>
      </c>
      <c r="AV28" s="67">
        <f t="shared" si="181"/>
        <v>7.6874999999999991</v>
      </c>
      <c r="AW28" s="67">
        <f t="shared" si="181"/>
        <v>7.6874999999999991</v>
      </c>
      <c r="AX28" s="67">
        <f t="shared" si="181"/>
        <v>7.6874999999999991</v>
      </c>
      <c r="AY28" s="67">
        <f t="shared" si="181"/>
        <v>7.6874999999999991</v>
      </c>
      <c r="AZ28" s="67">
        <f t="shared" si="181"/>
        <v>7.6874999999999991</v>
      </c>
      <c r="BA28" s="67">
        <f t="shared" si="181"/>
        <v>7.6874999999999991</v>
      </c>
      <c r="BB28" s="67">
        <f t="shared" si="181"/>
        <v>7.6874999999999991</v>
      </c>
      <c r="BC28" s="67">
        <f t="shared" si="181"/>
        <v>0</v>
      </c>
      <c r="BD28" s="67">
        <f t="shared" si="181"/>
        <v>7.6874999999999991</v>
      </c>
      <c r="BE28" s="67">
        <f t="shared" si="181"/>
        <v>7.6874999999999991</v>
      </c>
      <c r="BF28" s="67">
        <f t="shared" si="181"/>
        <v>7.6874999999999991</v>
      </c>
      <c r="BG28" s="67">
        <f t="shared" si="181"/>
        <v>7.6874999999999991</v>
      </c>
      <c r="BH28" s="67">
        <f t="shared" si="181"/>
        <v>7.6874999999999991</v>
      </c>
      <c r="BI28" s="67">
        <f t="shared" si="181"/>
        <v>7.6874999999999991</v>
      </c>
      <c r="BJ28" s="67">
        <f t="shared" si="181"/>
        <v>7.6874999999999991</v>
      </c>
      <c r="BK28" s="67">
        <f t="shared" si="181"/>
        <v>7.6874999999999991</v>
      </c>
      <c r="BL28" s="67">
        <f t="shared" si="181"/>
        <v>7.6874999999999991</v>
      </c>
      <c r="BM28" s="67">
        <f t="shared" si="181"/>
        <v>7.6874999999999991</v>
      </c>
      <c r="BN28" s="67">
        <f t="shared" si="181"/>
        <v>7.6874999999999991</v>
      </c>
      <c r="BO28" s="67">
        <f t="shared" si="181"/>
        <v>7.6874999999999991</v>
      </c>
      <c r="BP28" s="67">
        <f t="shared" si="181"/>
        <v>0</v>
      </c>
    </row>
    <row r="29" spans="1:68">
      <c r="C29" s="71" t="s">
        <v>60</v>
      </c>
      <c r="D29" s="67">
        <f>D7+D15+D23</f>
        <v>204.0034382565816</v>
      </c>
      <c r="E29" s="67">
        <f t="shared" ref="E29:BP29" si="182">E7+E15+E23</f>
        <v>205.10845688047144</v>
      </c>
      <c r="F29" s="67">
        <f t="shared" si="182"/>
        <v>791.21946102190736</v>
      </c>
      <c r="G29" s="67">
        <f t="shared" si="182"/>
        <v>207.33648310244266</v>
      </c>
      <c r="H29" s="67">
        <f t="shared" si="182"/>
        <v>208.45955571924756</v>
      </c>
      <c r="I29" s="67">
        <f t="shared" si="182"/>
        <v>209.58871164606015</v>
      </c>
      <c r="J29" s="67">
        <f t="shared" si="182"/>
        <v>210.72398383414298</v>
      </c>
      <c r="K29" s="67">
        <f t="shared" si="182"/>
        <v>211.86540541324459</v>
      </c>
      <c r="L29" s="67">
        <f t="shared" si="182"/>
        <v>213.01300969256633</v>
      </c>
      <c r="M29" s="67">
        <f t="shared" si="182"/>
        <v>214.1668301617344</v>
      </c>
      <c r="N29" s="67">
        <f t="shared" si="182"/>
        <v>215.32690049177711</v>
      </c>
      <c r="O29" s="67">
        <f t="shared" si="182"/>
        <v>216.49325453610757</v>
      </c>
      <c r="P29" s="67">
        <f t="shared" si="182"/>
        <v>3038.1179907562837</v>
      </c>
      <c r="Q29" s="67">
        <f t="shared" si="182"/>
        <v>217.66592633151151</v>
      </c>
      <c r="R29" s="67">
        <f t="shared" si="182"/>
        <v>218.84495009914053</v>
      </c>
      <c r="S29" s="67">
        <f t="shared" si="182"/>
        <v>220.03036024551085</v>
      </c>
      <c r="T29" s="67">
        <f t="shared" si="182"/>
        <v>221.22219136350736</v>
      </c>
      <c r="U29" s="67">
        <f t="shared" si="182"/>
        <v>222.42047823339306</v>
      </c>
      <c r="V29" s="67">
        <f t="shared" si="182"/>
        <v>223.62525582382392</v>
      </c>
      <c r="W29" s="67">
        <f t="shared" si="182"/>
        <v>224.83655929286962</v>
      </c>
      <c r="X29" s="67">
        <f t="shared" si="182"/>
        <v>226.05442398903935</v>
      </c>
      <c r="Y29" s="67">
        <f t="shared" si="182"/>
        <v>227.27888545231332</v>
      </c>
      <c r="Z29" s="67">
        <f t="shared" si="182"/>
        <v>228.50997941518</v>
      </c>
      <c r="AA29" s="67">
        <f t="shared" si="182"/>
        <v>229.74774180367891</v>
      </c>
      <c r="AB29" s="67">
        <f t="shared" si="182"/>
        <v>230.99220873844882</v>
      </c>
      <c r="AC29" s="67">
        <f t="shared" si="182"/>
        <v>2691.2289607884172</v>
      </c>
      <c r="AD29" s="67">
        <f t="shared" si="182"/>
        <v>232.24341653578207</v>
      </c>
      <c r="AE29" s="67">
        <f t="shared" si="182"/>
        <v>233.50140170868423</v>
      </c>
      <c r="AF29" s="67">
        <f t="shared" si="182"/>
        <v>234.76620096793962</v>
      </c>
      <c r="AG29" s="67">
        <f t="shared" si="182"/>
        <v>236.03785122318263</v>
      </c>
      <c r="AH29" s="67">
        <f t="shared" si="182"/>
        <v>237.31638958397485</v>
      </c>
      <c r="AI29" s="67">
        <f t="shared" si="182"/>
        <v>238.60185336088804</v>
      </c>
      <c r="AJ29" s="67">
        <f t="shared" si="182"/>
        <v>239.89428006659287</v>
      </c>
      <c r="AK29" s="67">
        <f t="shared" si="182"/>
        <v>241.19370741695357</v>
      </c>
      <c r="AL29" s="67">
        <f t="shared" si="182"/>
        <v>242.50017333212875</v>
      </c>
      <c r="AM29" s="67">
        <f t="shared" si="182"/>
        <v>243.81371593767778</v>
      </c>
      <c r="AN29" s="67">
        <f t="shared" si="182"/>
        <v>245.13437356567351</v>
      </c>
      <c r="AO29" s="67">
        <f t="shared" si="182"/>
        <v>246.46218475582091</v>
      </c>
      <c r="AP29" s="67">
        <f t="shared" si="182"/>
        <v>2871.4655484552995</v>
      </c>
      <c r="AQ29" s="67">
        <f t="shared" si="182"/>
        <v>0</v>
      </c>
      <c r="AR29" s="67">
        <f t="shared" si="182"/>
        <v>0</v>
      </c>
      <c r="AS29" s="67">
        <f t="shared" si="182"/>
        <v>0</v>
      </c>
      <c r="AT29" s="67">
        <f t="shared" si="182"/>
        <v>0</v>
      </c>
      <c r="AU29" s="67">
        <f t="shared" si="182"/>
        <v>0</v>
      </c>
      <c r="AV29" s="67">
        <f t="shared" si="182"/>
        <v>0</v>
      </c>
      <c r="AW29" s="67">
        <f t="shared" si="182"/>
        <v>0</v>
      </c>
      <c r="AX29" s="67">
        <f t="shared" si="182"/>
        <v>0</v>
      </c>
      <c r="AY29" s="67">
        <f t="shared" si="182"/>
        <v>0</v>
      </c>
      <c r="AZ29" s="67">
        <f t="shared" si="182"/>
        <v>0</v>
      </c>
      <c r="BA29" s="67">
        <f t="shared" si="182"/>
        <v>0</v>
      </c>
      <c r="BB29" s="67">
        <f t="shared" si="182"/>
        <v>0</v>
      </c>
      <c r="BC29" s="67">
        <f t="shared" si="182"/>
        <v>0</v>
      </c>
      <c r="BD29" s="67">
        <f t="shared" si="182"/>
        <v>0</v>
      </c>
      <c r="BE29" s="67">
        <f t="shared" si="182"/>
        <v>0</v>
      </c>
      <c r="BF29" s="67">
        <f t="shared" si="182"/>
        <v>0</v>
      </c>
      <c r="BG29" s="67">
        <f t="shared" si="182"/>
        <v>0</v>
      </c>
      <c r="BH29" s="67">
        <f t="shared" si="182"/>
        <v>0</v>
      </c>
      <c r="BI29" s="67">
        <f t="shared" si="182"/>
        <v>0</v>
      </c>
      <c r="BJ29" s="67">
        <f t="shared" si="182"/>
        <v>0</v>
      </c>
      <c r="BK29" s="67">
        <f t="shared" si="182"/>
        <v>0</v>
      </c>
      <c r="BL29" s="67">
        <f t="shared" si="182"/>
        <v>0</v>
      </c>
      <c r="BM29" s="67">
        <f t="shared" si="182"/>
        <v>0</v>
      </c>
      <c r="BN29" s="67">
        <f t="shared" si="182"/>
        <v>0</v>
      </c>
      <c r="BO29" s="67">
        <f t="shared" si="182"/>
        <v>0</v>
      </c>
      <c r="BP29" s="67">
        <f t="shared" si="182"/>
        <v>0</v>
      </c>
    </row>
    <row r="31" spans="1:68" ht="12.75" customHeight="1">
      <c r="C31" s="71" t="s">
        <v>299</v>
      </c>
      <c r="D31" s="67">
        <f>D8+D16</f>
        <v>7880.9965617434182</v>
      </c>
      <c r="E31" s="67">
        <f t="shared" ref="E31:BP31" si="183">E8+E16</f>
        <v>7675.8881048629464</v>
      </c>
      <c r="F31" s="67">
        <f t="shared" si="183"/>
        <v>7469.6686438410388</v>
      </c>
      <c r="G31" s="67">
        <f t="shared" si="183"/>
        <v>7262.332160738596</v>
      </c>
      <c r="H31" s="67">
        <f t="shared" si="183"/>
        <v>7053.8726050193482</v>
      </c>
      <c r="I31" s="67">
        <f t="shared" si="183"/>
        <v>6844.2838933732883</v>
      </c>
      <c r="J31" s="67">
        <f t="shared" si="183"/>
        <v>6633.5599095391453</v>
      </c>
      <c r="K31" s="67">
        <f t="shared" si="183"/>
        <v>6421.6945041259005</v>
      </c>
      <c r="L31" s="67">
        <f t="shared" si="183"/>
        <v>6208.6814944333346</v>
      </c>
      <c r="M31" s="67">
        <f t="shared" si="183"/>
        <v>5994.5146642715999</v>
      </c>
      <c r="N31" s="67">
        <f t="shared" si="183"/>
        <v>5779.1877637798225</v>
      </c>
      <c r="O31" s="67">
        <f t="shared" si="183"/>
        <v>5562.6945092437145</v>
      </c>
      <c r="P31" s="67">
        <f t="shared" si="183"/>
        <v>5562.6945092437145</v>
      </c>
      <c r="Q31" s="67">
        <f t="shared" si="183"/>
        <v>5345.0285829122031</v>
      </c>
      <c r="R31" s="67">
        <f t="shared" si="183"/>
        <v>5126.183632813063</v>
      </c>
      <c r="S31" s="67">
        <f t="shared" si="183"/>
        <v>4906.1532725675524</v>
      </c>
      <c r="T31" s="67">
        <f t="shared" si="183"/>
        <v>4684.9310812040449</v>
      </c>
      <c r="U31" s="67">
        <f t="shared" si="183"/>
        <v>4462.5106029706521</v>
      </c>
      <c r="V31" s="67">
        <f t="shared" si="183"/>
        <v>4238.8853471468283</v>
      </c>
      <c r="W31" s="67">
        <f t="shared" si="183"/>
        <v>4014.0487878539589</v>
      </c>
      <c r="X31" s="67">
        <f t="shared" si="183"/>
        <v>3787.9943638649197</v>
      </c>
      <c r="Y31" s="67">
        <f t="shared" si="183"/>
        <v>3560.7154784126064</v>
      </c>
      <c r="Z31" s="67">
        <f t="shared" si="183"/>
        <v>3332.2054989974263</v>
      </c>
      <c r="AA31" s="67">
        <f t="shared" si="183"/>
        <v>3102.4577571937475</v>
      </c>
      <c r="AB31" s="67">
        <f t="shared" si="183"/>
        <v>2871.4655484552986</v>
      </c>
      <c r="AC31" s="67">
        <f t="shared" si="183"/>
        <v>2871.4655484552986</v>
      </c>
      <c r="AD31" s="67">
        <f t="shared" si="183"/>
        <v>2639.2221319195164</v>
      </c>
      <c r="AE31" s="67">
        <f t="shared" si="183"/>
        <v>2405.7207302108322</v>
      </c>
      <c r="AF31" s="67">
        <f t="shared" si="183"/>
        <v>2170.9545292428925</v>
      </c>
      <c r="AG31" s="67">
        <f t="shared" si="183"/>
        <v>1934.9166780197099</v>
      </c>
      <c r="AH31" s="67">
        <f t="shared" si="183"/>
        <v>1697.6002884357351</v>
      </c>
      <c r="AI31" s="67">
        <f t="shared" si="183"/>
        <v>1458.9984350748471</v>
      </c>
      <c r="AJ31" s="67">
        <f t="shared" si="183"/>
        <v>1219.1041550082541</v>
      </c>
      <c r="AK31" s="67">
        <f t="shared" si="183"/>
        <v>977.91044759130057</v>
      </c>
      <c r="AL31" s="67">
        <f t="shared" si="183"/>
        <v>735.41027425917184</v>
      </c>
      <c r="AM31" s="67">
        <f t="shared" si="183"/>
        <v>491.59655832149406</v>
      </c>
      <c r="AN31" s="67">
        <f t="shared" si="183"/>
        <v>246.46218475582054</v>
      </c>
      <c r="AO31" s="67">
        <f t="shared" si="183"/>
        <v>0</v>
      </c>
      <c r="AP31" s="67">
        <f t="shared" si="183"/>
        <v>0</v>
      </c>
      <c r="AQ31" s="67">
        <f t="shared" si="183"/>
        <v>0</v>
      </c>
      <c r="AR31" s="67">
        <f t="shared" si="183"/>
        <v>0</v>
      </c>
      <c r="AS31" s="67">
        <f t="shared" si="183"/>
        <v>0</v>
      </c>
      <c r="AT31" s="67">
        <f t="shared" si="183"/>
        <v>0</v>
      </c>
      <c r="AU31" s="67">
        <f t="shared" si="183"/>
        <v>0</v>
      </c>
      <c r="AV31" s="67">
        <f t="shared" si="183"/>
        <v>0</v>
      </c>
      <c r="AW31" s="67">
        <f t="shared" si="183"/>
        <v>0</v>
      </c>
      <c r="AX31" s="67">
        <f t="shared" si="183"/>
        <v>0</v>
      </c>
      <c r="AY31" s="67">
        <f t="shared" si="183"/>
        <v>0</v>
      </c>
      <c r="AZ31" s="67">
        <f t="shared" si="183"/>
        <v>0</v>
      </c>
      <c r="BA31" s="67">
        <f t="shared" si="183"/>
        <v>0</v>
      </c>
      <c r="BB31" s="67">
        <f t="shared" si="183"/>
        <v>0</v>
      </c>
      <c r="BC31" s="67">
        <f t="shared" si="183"/>
        <v>0</v>
      </c>
      <c r="BD31" s="67">
        <f t="shared" si="183"/>
        <v>0</v>
      </c>
      <c r="BE31" s="67">
        <f t="shared" si="183"/>
        <v>0</v>
      </c>
      <c r="BF31" s="67">
        <f t="shared" si="183"/>
        <v>0</v>
      </c>
      <c r="BG31" s="67">
        <f t="shared" si="183"/>
        <v>0</v>
      </c>
      <c r="BH31" s="67">
        <f t="shared" si="183"/>
        <v>0</v>
      </c>
      <c r="BI31" s="67">
        <f t="shared" si="183"/>
        <v>0</v>
      </c>
      <c r="BJ31" s="67">
        <f t="shared" si="183"/>
        <v>0</v>
      </c>
      <c r="BK31" s="67">
        <f t="shared" si="183"/>
        <v>0</v>
      </c>
      <c r="BL31" s="67">
        <f t="shared" si="183"/>
        <v>0</v>
      </c>
      <c r="BM31" s="67">
        <f t="shared" si="183"/>
        <v>0</v>
      </c>
      <c r="BN31" s="67">
        <f t="shared" si="183"/>
        <v>0</v>
      </c>
      <c r="BO31" s="67">
        <f t="shared" si="183"/>
        <v>0</v>
      </c>
      <c r="BP31" s="67">
        <f t="shared" si="183"/>
        <v>0</v>
      </c>
    </row>
  </sheetData>
  <mergeCells count="1">
    <mergeCell ref="A2:C2"/>
  </mergeCells>
  <phoneticPr fontId="10"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
  <sheetViews>
    <sheetView workbookViewId="0">
      <selection activeCell="H2" sqref="H2"/>
    </sheetView>
  </sheetViews>
  <sheetFormatPr defaultColWidth="18.7109375" defaultRowHeight="12.75" customHeight="1"/>
  <cols>
    <col min="1" max="1" width="18.85546875" bestFit="1" customWidth="1"/>
    <col min="2" max="2" width="8.85546875" customWidth="1"/>
    <col min="3" max="3" width="15.7109375" bestFit="1" customWidth="1"/>
    <col min="4" max="4" width="17" bestFit="1" customWidth="1"/>
    <col min="5" max="8" width="8.85546875" customWidth="1"/>
  </cols>
  <sheetData>
    <row r="1" spans="1:8" ht="12.75" customHeight="1">
      <c r="A1" t="s">
        <v>93</v>
      </c>
      <c r="B1" t="s">
        <v>94</v>
      </c>
      <c r="C1" t="s">
        <v>66</v>
      </c>
      <c r="D1" t="s">
        <v>95</v>
      </c>
      <c r="E1" t="s">
        <v>96</v>
      </c>
      <c r="F1" t="s">
        <v>97</v>
      </c>
      <c r="G1" t="s">
        <v>98</v>
      </c>
      <c r="H1" t="s">
        <v>102</v>
      </c>
    </row>
    <row r="2" spans="1:8" ht="12.75" customHeight="1">
      <c r="A2">
        <v>2</v>
      </c>
      <c r="B2">
        <v>1</v>
      </c>
      <c r="C2" t="s">
        <v>99</v>
      </c>
      <c r="D2" t="s">
        <v>101</v>
      </c>
    </row>
    <row r="3" spans="1:8" ht="12.75" customHeight="1">
      <c r="B3">
        <v>2</v>
      </c>
      <c r="C3" t="s">
        <v>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Personal Expense Budget</vt:lpstr>
      <vt:lpstr>0. Basic Info</vt:lpstr>
      <vt:lpstr>1. Sales Forecast</vt:lpstr>
      <vt:lpstr>2. Operating Budget</vt:lpstr>
      <vt:lpstr>3. Startup Costs</vt:lpstr>
      <vt:lpstr>4. Equipment &amp; Vehicle Costs</vt:lpstr>
      <vt:lpstr>5. Facility Costs</vt:lpstr>
      <vt:lpstr>6. Seasonality</vt:lpstr>
      <vt:lpstr>7. Funding Plan</vt:lpstr>
      <vt:lpstr>8. P&amp;L and Cashflow</vt:lpstr>
      <vt:lpstr>9. Sales Summary Tables</vt:lpstr>
      <vt:lpstr>10. Financial Summary Tables</vt:lpstr>
      <vt:lpstr>11. Balance Sheet</vt:lpstr>
      <vt:lpstr>12. Loan Detail</vt:lpstr>
      <vt:lpstr>BP Checklist</vt:lpstr>
      <vt:lpstr>'0. Basic Info'!Print_Area</vt:lpstr>
      <vt:lpstr>'1. Sales Forecast'!Print_Area</vt:lpstr>
      <vt:lpstr>'11. Balance Sheet'!Print_Area</vt:lpstr>
      <vt:lpstr>'2. Operating Budget'!Print_Area</vt:lpstr>
      <vt:lpstr>'8. P&amp;L and Cashflow'!Print_Area</vt:lpstr>
    </vt:vector>
  </TitlesOfParts>
  <Manager>Donald Hill</Manager>
  <Company>Heartland Information Research,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Rapid Business Plan</dc:title>
  <dc:creator>donh</dc:creator>
  <dc:description>C 2014 All Rights Reserved</dc:description>
  <cp:lastModifiedBy>Donald Hill</cp:lastModifiedBy>
  <cp:lastPrinted>2016-10-23T02:29:29Z</cp:lastPrinted>
  <dcterms:created xsi:type="dcterms:W3CDTF">2012-03-21T04:42:13Z</dcterms:created>
  <dcterms:modified xsi:type="dcterms:W3CDTF">2016-10-23T04:02:15Z</dcterms:modified>
  <cp:category>Business Planning</cp:category>
</cp:coreProperties>
</file>