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charts/chart1.xml" ContentType="application/vnd.openxmlformats-officedocument.drawingml.chart+xml"/>
  <Override PartName="/xl/drawings/drawing7.xml" ContentType="application/vnd.openxmlformats-officedocument.drawing+xml"/>
  <Override PartName="/xl/ctrlProps/ctrlProp6.xml" ContentType="application/vnd.ms-excel.controlproperties+xml"/>
  <Override PartName="/xl/comments1.xml" ContentType="application/vnd.openxmlformats-officedocument.spreadsheetml.comments+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10.xml" ContentType="application/vnd.openxmlformats-officedocument.drawing+xml"/>
  <Override PartName="/xl/charts/chart6.xml" ContentType="application/vnd.openxmlformats-officedocument.drawingml.chart+xml"/>
  <Override PartName="/xl/charts/chart7.xml" ContentType="application/vnd.openxmlformats-officedocument.drawingml.chart+xml"/>
  <Override PartName="/xl/drawings/drawing1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328" codeName="{74837BA0-65D6-932C-5D65-3B800EBDC722}"/>
  <workbookPr codeName="ThisWorkbook" defaultThemeVersion="124226"/>
  <mc:AlternateContent xmlns:mc="http://schemas.openxmlformats.org/markup-compatibility/2006">
    <mc:Choice Requires="x15">
      <x15ac:absPath xmlns:x15ac="http://schemas.microsoft.com/office/spreadsheetml/2010/11/ac" url="C:\Users\Donh\HIR2 Dropbox\Don Hill\WCTC\0 Class Materials\Spreadsheets\"/>
    </mc:Choice>
  </mc:AlternateContent>
  <xr:revisionPtr revIDLastSave="0" documentId="13_ncr:1_{D8A004EC-D4A3-4539-859D-9D9486E5B7D2}" xr6:coauthVersionLast="41" xr6:coauthVersionMax="41" xr10:uidLastSave="{00000000-0000-0000-0000-000000000000}"/>
  <bookViews>
    <workbookView xWindow="-120" yWindow="-120" windowWidth="20730" windowHeight="11160" tabRatio="918" activeTab="1" xr2:uid="{00000000-000D-0000-FFFF-FFFF00000000}"/>
  </bookViews>
  <sheets>
    <sheet name="Personal Expense Budget" sheetId="20" r:id="rId1"/>
    <sheet name="0. Basic Info" sheetId="3" r:id="rId2"/>
    <sheet name="1. Sales Forecast" sheetId="11" r:id="rId3"/>
    <sheet name="2. Operating Budget" sheetId="19" r:id="rId4"/>
    <sheet name="3. Startup Costs" sheetId="8" r:id="rId5"/>
    <sheet name="4. Equipment &amp; Vehicle Costs" sheetId="1" r:id="rId6"/>
    <sheet name="5. Facility Costs" sheetId="2" r:id="rId7"/>
    <sheet name="6. Seasonality" sheetId="15" r:id="rId8"/>
    <sheet name="7. Funding Plan" sheetId="12" r:id="rId9"/>
    <sheet name="8. P&amp;L and Cashflow" sheetId="14" r:id="rId10"/>
    <sheet name="9. Sales Summary Tables" sheetId="17" r:id="rId11"/>
    <sheet name="10. Financial Summary Tables" sheetId="18" r:id="rId12"/>
    <sheet name="11. Balance Sheet" sheetId="21" r:id="rId13"/>
    <sheet name="12. Loan Detail" sheetId="13" r:id="rId14"/>
    <sheet name="BP Checklist" sheetId="16" state="hidden" r:id="rId15"/>
  </sheets>
  <externalReferences>
    <externalReference r:id="rId16"/>
  </externalReferences>
  <definedNames>
    <definedName name="_xlnm._FilterDatabase" localSheetId="4" hidden="1">'3. Startup Costs'!$A$3:$G$63</definedName>
    <definedName name="_xlnm._FilterDatabase" localSheetId="5" hidden="1">'4. Equipment &amp; Vehicle Costs'!$A$4:$E$66</definedName>
    <definedName name="cash_balance_on_starting_date">[1]Funding!$B$11</definedName>
    <definedName name="depreciation">'[1]P&amp;L'!$A$36:$AN$36</definedName>
    <definedName name="dividends">'[1]Cash Flow'!$A$37:$AG$37</definedName>
    <definedName name="ending_inventory_balance">'[1]Inventory Detail'!$A$11:$AG$11</definedName>
    <definedName name="ending_receivables_balance">'[1]Receivables Detail'!$A$11:$AG$11</definedName>
    <definedName name="long_term_liabilities_principal_repayment">'[1]Cash Flow'!$A$34:$AG$34</definedName>
    <definedName name="net_profit">'[1]P&amp;L'!$A$94:$AG$94</definedName>
    <definedName name="new_current_borrowing">'[1]Cash Flow'!$A$14:$AG$14</definedName>
    <definedName name="new_investment_received">'[1]Cash Flow'!$A$19:$AG$19</definedName>
    <definedName name="new_long_term_liabilities">'[1]Cash Flow'!$A$16:$AG$16</definedName>
    <definedName name="new_other_liabilities_interest_free">'[1]Cash Flow'!$A$15:$AG$15</definedName>
    <definedName name="other_liabilities_principal_repayment">'[1]Cash Flow'!$A$33:$AG$33</definedName>
    <definedName name="past_capital_assets">[1]Past!$D$21</definedName>
    <definedName name="past_performance_accounts_payable">[1]Past!$D$28</definedName>
    <definedName name="past_performance_accounts_receivable">[1]Past!$D$15</definedName>
    <definedName name="past_performance_accumulated_depreciation">[1]Past!$D$22</definedName>
    <definedName name="past_performance_cash">[1]Past!$D$14</definedName>
    <definedName name="past_performance_current_borrowing">[1]Past!$D$29</definedName>
    <definedName name="past_performance_earnings">[1]Past!$D$38</definedName>
    <definedName name="past_performance_inventory">[1]Past!$D$16</definedName>
    <definedName name="past_performance_long_term_liabilities">[1]Past!$D$33</definedName>
    <definedName name="past_performance_other_current_assets">[1]Past!$D$17</definedName>
    <definedName name="past_performance_other_current_liabilities">[1]Past!$D$30</definedName>
    <definedName name="past_performance_paid_in_capital">[1]Past!$D$36</definedName>
    <definedName name="principal_repayment_of_current_borrowing">'[1]Cash Flow'!$A$32:$AG$32</definedName>
    <definedName name="_xlnm.Print_Area" localSheetId="1">'0. Basic Info'!$A$1:$F$40</definedName>
    <definedName name="_xlnm.Print_Area" localSheetId="2">'1. Sales Forecast'!$A$1:$G$74</definedName>
    <definedName name="_xlnm.Print_Area" localSheetId="12">'11. Balance Sheet'!$A$5:$AC$77</definedName>
    <definedName name="_xlnm.Print_Area" localSheetId="3">'2. Operating Budget'!$A$1:$L$44</definedName>
    <definedName name="_xlnm.Print_Area" localSheetId="9">'8. P&amp;L and Cashflow'!$A$5:$AC$77</definedName>
    <definedName name="PS_Accrual">[1]Logistics!$B$17</definedName>
    <definedName name="PS_DateSetting">[1]Logistics!$B$30</definedName>
    <definedName name="PS_Inventory">[1]Logistics!$B$15</definedName>
    <definedName name="PS_Nonprofit">[1]Logistics!$B$14</definedName>
    <definedName name="PS_Receivables">[1]Logistics!$B$16</definedName>
    <definedName name="PS_StartingMonth">[1]Logistics!$B$19</definedName>
    <definedName name="PS_StartingYear">[1]Logistics!$B$20</definedName>
    <definedName name="PS_Startup">[1]Logistics!$B$12</definedName>
    <definedName name="purchase_long_term_assets">'[1]Cash Flow'!$A$36:$AG$36</definedName>
    <definedName name="purchase_other_current_assets">'[1]Cash Flow'!$A$35:$AG$35</definedName>
    <definedName name="sales_of_long_term_assets">'[1]Cash Flow'!$A$18:$AG$18</definedName>
    <definedName name="sales_of_other_current_assets">'[1]Cash Flow'!$A$17:$AG$17</definedName>
    <definedName name="sales_tax_vat_hst_gst_paidout">'[1]Cash Flow'!$A$31:$AG$31</definedName>
    <definedName name="sales_tax_vat_hst_gst_received">'[1]Cash Flow'!$A$13:$AG$13</definedName>
    <definedName name="startup_current_borrowing">[1]Funding!$B$18</definedName>
    <definedName name="startup_inventory">'[1]Start-up'!$B$19</definedName>
    <definedName name="startup_long_term_assets">'[1]Start-up'!$B$21</definedName>
    <definedName name="startup_long_term_liabilities">[1]Funding!$B$19</definedName>
    <definedName name="startup_other_current_assets">'[1]Start-up'!$B$20</definedName>
    <definedName name="startup_other_current_liabilities">[1]Funding!$B$21</definedName>
    <definedName name="startup_total_investment">[1]Funding!$B$30</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75" i="14" l="1"/>
  <c r="C27" i="12"/>
  <c r="D65" i="14"/>
  <c r="D73" i="14"/>
  <c r="B26" i="12"/>
  <c r="E27" i="12"/>
  <c r="D70" i="14" l="1"/>
  <c r="E28" i="12"/>
  <c r="E29" i="12"/>
  <c r="D9" i="12"/>
  <c r="AA8" i="19"/>
  <c r="AA11" i="19"/>
  <c r="AA12" i="19"/>
  <c r="AA13" i="19"/>
  <c r="AA14" i="19"/>
  <c r="AA15" i="19"/>
  <c r="AA16" i="19"/>
  <c r="AA17" i="19"/>
  <c r="AA18" i="19"/>
  <c r="AA19" i="19"/>
  <c r="AA20" i="19"/>
  <c r="AA21" i="19"/>
  <c r="AA22" i="19"/>
  <c r="AA23" i="19"/>
  <c r="AA24" i="19"/>
  <c r="AA25" i="19"/>
  <c r="AA26" i="19"/>
  <c r="AA27" i="19"/>
  <c r="AA28" i="19"/>
  <c r="AA29" i="19"/>
  <c r="AA30" i="19"/>
  <c r="AA31" i="19"/>
  <c r="AA32" i="19"/>
  <c r="AA33" i="19"/>
  <c r="AA34" i="19"/>
  <c r="AA35" i="19"/>
  <c r="AA36" i="19"/>
  <c r="AA37" i="19"/>
  <c r="AA38" i="19"/>
  <c r="AA39" i="19"/>
  <c r="AA40" i="19"/>
  <c r="AA41" i="19"/>
  <c r="AA42" i="19"/>
  <c r="AA43" i="19"/>
  <c r="AA44" i="19"/>
  <c r="AE5" i="19"/>
  <c r="AD5" i="19"/>
  <c r="AC5" i="19"/>
  <c r="AB5" i="19"/>
  <c r="AA5" i="19"/>
  <c r="P65" i="14" l="1"/>
  <c r="D16" i="11" l="1"/>
  <c r="Q12" i="21" l="1"/>
  <c r="AF12" i="21" l="1"/>
  <c r="AE12" i="21"/>
  <c r="AD12" i="21"/>
  <c r="AB12" i="21"/>
  <c r="AA12" i="21"/>
  <c r="Z12" i="21"/>
  <c r="Y12" i="21"/>
  <c r="X12" i="21"/>
  <c r="W12" i="21"/>
  <c r="V12" i="21"/>
  <c r="U12" i="21"/>
  <c r="T12" i="21"/>
  <c r="S12" i="21"/>
  <c r="R12" i="21"/>
  <c r="B63" i="14"/>
  <c r="D67" i="14"/>
  <c r="D69" i="14"/>
  <c r="D68" i="14"/>
  <c r="O12" i="21"/>
  <c r="P12" i="21" s="1"/>
  <c r="N12" i="21"/>
  <c r="M12" i="21"/>
  <c r="L12" i="21"/>
  <c r="K12" i="21"/>
  <c r="J12" i="21"/>
  <c r="I12" i="21"/>
  <c r="H12" i="21"/>
  <c r="G12" i="21"/>
  <c r="F12" i="21"/>
  <c r="E12" i="21"/>
  <c r="D12" i="21"/>
  <c r="P73" i="14"/>
  <c r="BO24" i="13"/>
  <c r="BN24" i="13"/>
  <c r="BM24" i="13"/>
  <c r="BL24" i="13"/>
  <c r="BK24" i="13"/>
  <c r="BJ24" i="13"/>
  <c r="BI24" i="13"/>
  <c r="BH24" i="13"/>
  <c r="BG24" i="13"/>
  <c r="BF24" i="13"/>
  <c r="BE24" i="13"/>
  <c r="BD24" i="13"/>
  <c r="BO22" i="13"/>
  <c r="BN22" i="13"/>
  <c r="BM22" i="13"/>
  <c r="BL22" i="13"/>
  <c r="BK22" i="13"/>
  <c r="BJ22" i="13"/>
  <c r="BI22" i="13"/>
  <c r="BH22" i="13"/>
  <c r="BG22" i="13"/>
  <c r="BF22" i="13"/>
  <c r="BE22" i="13"/>
  <c r="BD22" i="13"/>
  <c r="AC73" i="14"/>
  <c r="AC12" i="21" s="1"/>
  <c r="A20" i="13" l="1"/>
  <c r="AC75" i="14" l="1"/>
  <c r="AC74" i="14"/>
  <c r="AC72" i="14"/>
  <c r="AC70" i="14"/>
  <c r="AC68" i="14"/>
  <c r="AC67" i="14"/>
  <c r="P75" i="14"/>
  <c r="P74" i="14"/>
  <c r="P72" i="14"/>
  <c r="P70" i="14"/>
  <c r="P68" i="14"/>
  <c r="P67" i="14"/>
  <c r="G62" i="2" l="1"/>
  <c r="G61" i="2"/>
  <c r="G60" i="2"/>
  <c r="G59" i="2"/>
  <c r="G58" i="2"/>
  <c r="G57" i="2"/>
  <c r="G56" i="2"/>
  <c r="G55" i="2"/>
  <c r="G54" i="2"/>
  <c r="G53" i="2"/>
  <c r="G52" i="2"/>
  <c r="G51" i="2"/>
  <c r="G50" i="2"/>
  <c r="G49" i="2"/>
  <c r="G48" i="2"/>
  <c r="G47" i="2"/>
  <c r="G46" i="2"/>
  <c r="G45" i="2"/>
  <c r="G44" i="2"/>
  <c r="G43" i="2"/>
  <c r="G42" i="2"/>
  <c r="G41" i="2"/>
  <c r="G40" i="2"/>
  <c r="G39" i="2"/>
  <c r="G38" i="2"/>
  <c r="G37" i="2"/>
  <c r="G36" i="2"/>
  <c r="G35" i="2"/>
  <c r="G34" i="2"/>
  <c r="G33" i="2"/>
  <c r="G32" i="2"/>
  <c r="G31" i="2"/>
  <c r="G30" i="2"/>
  <c r="G29" i="2"/>
  <c r="G28" i="2"/>
  <c r="G27" i="2"/>
  <c r="G26" i="2"/>
  <c r="G25" i="2"/>
  <c r="G24" i="2"/>
  <c r="G23" i="2"/>
  <c r="G22" i="2"/>
  <c r="G21" i="2"/>
  <c r="G20" i="2"/>
  <c r="G19" i="2"/>
  <c r="G18" i="2"/>
  <c r="G17" i="2"/>
  <c r="G16" i="2"/>
  <c r="G15" i="2"/>
  <c r="G14" i="2"/>
  <c r="G13" i="2"/>
  <c r="G12" i="2"/>
  <c r="G11" i="2"/>
  <c r="G10" i="2"/>
  <c r="G9" i="2"/>
  <c r="G8" i="2"/>
  <c r="G7" i="2"/>
  <c r="G6" i="2"/>
  <c r="G5" i="2"/>
  <c r="G4" i="2" l="1"/>
  <c r="G7" i="8"/>
  <c r="G8" i="8"/>
  <c r="G9" i="8"/>
  <c r="G10" i="8"/>
  <c r="G11" i="8"/>
  <c r="G12" i="8"/>
  <c r="G13" i="8"/>
  <c r="G14" i="8"/>
  <c r="G15" i="8"/>
  <c r="G16" i="8"/>
  <c r="G17" i="8"/>
  <c r="G18" i="8"/>
  <c r="G19" i="8"/>
  <c r="G20" i="8"/>
  <c r="G21" i="8"/>
  <c r="G22" i="8"/>
  <c r="G23" i="8"/>
  <c r="G24" i="8"/>
  <c r="G25" i="8"/>
  <c r="G26" i="8"/>
  <c r="G27" i="8"/>
  <c r="G28" i="8"/>
  <c r="G29" i="8"/>
  <c r="G30" i="8"/>
  <c r="G31" i="8"/>
  <c r="G32" i="8"/>
  <c r="G33" i="8"/>
  <c r="G34" i="8"/>
  <c r="G35" i="8"/>
  <c r="G36" i="8"/>
  <c r="G37" i="8"/>
  <c r="G38" i="8"/>
  <c r="G39" i="8"/>
  <c r="G40" i="8"/>
  <c r="G41" i="8"/>
  <c r="G42" i="8"/>
  <c r="G43" i="8"/>
  <c r="G44" i="8"/>
  <c r="G45" i="8"/>
  <c r="G46" i="8"/>
  <c r="G47" i="8"/>
  <c r="G48" i="8"/>
  <c r="G49" i="8"/>
  <c r="G50" i="8"/>
  <c r="G51" i="8"/>
  <c r="G52" i="8"/>
  <c r="G53" i="8"/>
  <c r="G54" i="8"/>
  <c r="G55" i="8"/>
  <c r="G56" i="8"/>
  <c r="G57" i="8"/>
  <c r="G58" i="8"/>
  <c r="G59" i="8"/>
  <c r="G60" i="8"/>
  <c r="G61" i="8"/>
  <c r="G62" i="8"/>
  <c r="G63" i="8"/>
  <c r="F5" i="8"/>
  <c r="G5" i="8" s="1"/>
  <c r="F6" i="8"/>
  <c r="G6" i="8" s="1"/>
  <c r="F7" i="8"/>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49" i="8"/>
  <c r="F50" i="8"/>
  <c r="F51" i="8"/>
  <c r="F52" i="8"/>
  <c r="F53" i="8"/>
  <c r="F54" i="8"/>
  <c r="F55" i="8"/>
  <c r="F56" i="8"/>
  <c r="F57" i="8"/>
  <c r="F58" i="8"/>
  <c r="F59" i="8"/>
  <c r="F60" i="8"/>
  <c r="F61" i="8"/>
  <c r="F62" i="8"/>
  <c r="F63" i="8"/>
  <c r="G7" i="1"/>
  <c r="G8" i="1"/>
  <c r="G9" i="1"/>
  <c r="G10" i="1"/>
  <c r="G12" i="1"/>
  <c r="G13" i="1"/>
  <c r="G15" i="1"/>
  <c r="G16" i="1"/>
  <c r="G17" i="1"/>
  <c r="G18" i="1"/>
  <c r="G19" i="1"/>
  <c r="G20" i="1"/>
  <c r="G21" i="1"/>
  <c r="G22" i="1"/>
  <c r="G23" i="1"/>
  <c r="G24" i="1"/>
  <c r="G25" i="1"/>
  <c r="G26" i="1"/>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59" i="1"/>
  <c r="G60" i="1"/>
  <c r="G61" i="1"/>
  <c r="G62" i="1"/>
  <c r="G63" i="1"/>
  <c r="G64" i="1"/>
  <c r="G65" i="1"/>
  <c r="G66" i="1"/>
  <c r="G67" i="1"/>
  <c r="F6" i="1"/>
  <c r="G6" i="1" s="1"/>
  <c r="F8" i="1"/>
  <c r="F9" i="1"/>
  <c r="F10" i="1"/>
  <c r="F11" i="1"/>
  <c r="G11" i="1" s="1"/>
  <c r="F12" i="1"/>
  <c r="F13" i="1"/>
  <c r="F14" i="1"/>
  <c r="G14" i="1" s="1"/>
  <c r="F15" i="1"/>
  <c r="F16" i="1"/>
  <c r="F17" i="1"/>
  <c r="F18" i="1"/>
  <c r="F19" i="1"/>
  <c r="F20" i="1"/>
  <c r="F2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AC4" i="21" l="1"/>
  <c r="AF8" i="21"/>
  <c r="AF21" i="21" s="1"/>
  <c r="AE8" i="21"/>
  <c r="AE21" i="21" s="1"/>
  <c r="AD8" i="21"/>
  <c r="AD21" i="21" s="1"/>
  <c r="AC8" i="21"/>
  <c r="AC21" i="21" s="1"/>
  <c r="P8" i="21"/>
  <c r="P21" i="21" s="1"/>
  <c r="AF4" i="21"/>
  <c r="AE4" i="21"/>
  <c r="AD4" i="21"/>
  <c r="P4" i="21"/>
  <c r="D8" i="21"/>
  <c r="D4" i="21" s="1"/>
  <c r="E8" i="21" l="1"/>
  <c r="E4" i="21" s="1"/>
  <c r="F8" i="21" l="1"/>
  <c r="F4" i="21" s="1"/>
  <c r="BB24" i="13"/>
  <c r="BA24" i="13"/>
  <c r="AZ24" i="13"/>
  <c r="AY24" i="13"/>
  <c r="AX24" i="13"/>
  <c r="AW24" i="13"/>
  <c r="AV24" i="13"/>
  <c r="AU24" i="13"/>
  <c r="AT24" i="13"/>
  <c r="AS24" i="13"/>
  <c r="AR24" i="13"/>
  <c r="AQ24" i="13"/>
  <c r="BB22" i="13"/>
  <c r="BA22" i="13"/>
  <c r="AZ22" i="13"/>
  <c r="AY22" i="13"/>
  <c r="AX22" i="13"/>
  <c r="AW22" i="13"/>
  <c r="AV22" i="13"/>
  <c r="AU22" i="13"/>
  <c r="AT22" i="13"/>
  <c r="AS22" i="13"/>
  <c r="AR22" i="13"/>
  <c r="AQ22" i="13"/>
  <c r="AO24" i="13"/>
  <c r="AN24" i="13"/>
  <c r="AM24" i="13"/>
  <c r="AL24" i="13"/>
  <c r="AK24" i="13"/>
  <c r="AJ24" i="13"/>
  <c r="AI24" i="13"/>
  <c r="AH24" i="13"/>
  <c r="AG24" i="13"/>
  <c r="AF24" i="13"/>
  <c r="AE24" i="13"/>
  <c r="AD24" i="13"/>
  <c r="AO22" i="13"/>
  <c r="AN22" i="13"/>
  <c r="AM22" i="13"/>
  <c r="AL22" i="13"/>
  <c r="AK22" i="13"/>
  <c r="AJ22" i="13"/>
  <c r="AI22" i="13"/>
  <c r="AH22" i="13"/>
  <c r="AG22" i="13"/>
  <c r="AF22" i="13"/>
  <c r="AE22" i="13"/>
  <c r="AD22" i="13"/>
  <c r="D80" i="14"/>
  <c r="E80" i="14" s="1"/>
  <c r="F80" i="14" s="1"/>
  <c r="G80" i="14" s="1"/>
  <c r="H80" i="14" s="1"/>
  <c r="I80" i="14" s="1"/>
  <c r="J80" i="14" s="1"/>
  <c r="K80" i="14" s="1"/>
  <c r="L80" i="14" s="1"/>
  <c r="M80" i="14" s="1"/>
  <c r="N80" i="14" s="1"/>
  <c r="O80" i="14" s="1"/>
  <c r="C24" i="21"/>
  <c r="C26" i="21" s="1"/>
  <c r="C17" i="21"/>
  <c r="A1" i="21"/>
  <c r="O24" i="21" l="1"/>
  <c r="O26" i="21" s="1"/>
  <c r="P80" i="14"/>
  <c r="P24" i="21" s="1"/>
  <c r="P26" i="21" s="1"/>
  <c r="G8" i="21"/>
  <c r="G4" i="21" s="1"/>
  <c r="H8" i="21" s="1"/>
  <c r="E21" i="21"/>
  <c r="D21" i="21"/>
  <c r="F21" i="21"/>
  <c r="I24" i="21"/>
  <c r="I26" i="21" s="1"/>
  <c r="M24" i="21"/>
  <c r="M26" i="21" s="1"/>
  <c r="J24" i="21"/>
  <c r="J26" i="21" s="1"/>
  <c r="H24" i="21"/>
  <c r="H26" i="21" s="1"/>
  <c r="L24" i="21"/>
  <c r="L26" i="21" s="1"/>
  <c r="E24" i="21"/>
  <c r="E26" i="21" s="1"/>
  <c r="F24" i="21"/>
  <c r="F26" i="21" s="1"/>
  <c r="N24" i="21"/>
  <c r="N26" i="21" s="1"/>
  <c r="D24" i="21"/>
  <c r="D26" i="21" s="1"/>
  <c r="G24" i="21"/>
  <c r="G26" i="21" s="1"/>
  <c r="K24" i="21"/>
  <c r="K26" i="21" s="1"/>
  <c r="C29" i="21"/>
  <c r="G21" i="21" l="1"/>
  <c r="H4" i="21"/>
  <c r="I8" i="21" s="1"/>
  <c r="H21" i="21"/>
  <c r="I4" i="21" l="1"/>
  <c r="J8" i="21" s="1"/>
  <c r="I21" i="21"/>
  <c r="J4" i="21" l="1"/>
  <c r="K8" i="21" s="1"/>
  <c r="J21" i="21"/>
  <c r="K4" i="21" l="1"/>
  <c r="L8" i="21" s="1"/>
  <c r="K21" i="21"/>
  <c r="L4" i="21" l="1"/>
  <c r="M8" i="21" s="1"/>
  <c r="L21" i="21"/>
  <c r="M4" i="21" l="1"/>
  <c r="N8" i="21" s="1"/>
  <c r="N4" i="21" s="1"/>
  <c r="M21" i="21"/>
  <c r="O8" i="21" l="1"/>
  <c r="O4" i="21" s="1"/>
  <c r="N21" i="21"/>
  <c r="Q8" i="21" l="1"/>
  <c r="Q4" i="21" s="1"/>
  <c r="O21" i="21"/>
  <c r="R8" i="21" l="1"/>
  <c r="R4" i="21" s="1"/>
  <c r="Q21" i="21"/>
  <c r="S8" i="21" l="1"/>
  <c r="S4" i="21" s="1"/>
  <c r="R21" i="21"/>
  <c r="G12" i="11"/>
  <c r="G11" i="11"/>
  <c r="G10" i="11"/>
  <c r="G9" i="11"/>
  <c r="G8" i="11"/>
  <c r="G7" i="11"/>
  <c r="G6" i="11"/>
  <c r="T8" i="21" l="1"/>
  <c r="T4" i="21" s="1"/>
  <c r="S21" i="21"/>
  <c r="BP24" i="13"/>
  <c r="BP22" i="13"/>
  <c r="BC24" i="13"/>
  <c r="BC22" i="13"/>
  <c r="AP24" i="13"/>
  <c r="AP22" i="13"/>
  <c r="AB22" i="13"/>
  <c r="AA22" i="13"/>
  <c r="Z22" i="13"/>
  <c r="Y22" i="13"/>
  <c r="X22" i="13"/>
  <c r="W22" i="13"/>
  <c r="V22" i="13"/>
  <c r="U22" i="13"/>
  <c r="T22" i="13"/>
  <c r="S22" i="13"/>
  <c r="R22" i="13"/>
  <c r="AB24" i="13"/>
  <c r="AA24" i="13"/>
  <c r="Z24" i="13"/>
  <c r="Y24" i="13"/>
  <c r="X24" i="13"/>
  <c r="W24" i="13"/>
  <c r="V24" i="13"/>
  <c r="U24" i="13"/>
  <c r="T24" i="13"/>
  <c r="S24" i="13"/>
  <c r="R24" i="13"/>
  <c r="Q24" i="13"/>
  <c r="Q22" i="13"/>
  <c r="AF6" i="14"/>
  <c r="AE6" i="14"/>
  <c r="AD6" i="14"/>
  <c r="AC6" i="14"/>
  <c r="AB6" i="14"/>
  <c r="AA6" i="14"/>
  <c r="Z6" i="14"/>
  <c r="Y6" i="14"/>
  <c r="X6" i="14"/>
  <c r="W6" i="14"/>
  <c r="V6" i="14"/>
  <c r="U6" i="14"/>
  <c r="T6" i="14"/>
  <c r="S6" i="14"/>
  <c r="R6" i="14"/>
  <c r="Q6" i="14"/>
  <c r="L63" i="15"/>
  <c r="K63" i="15"/>
  <c r="J63" i="15"/>
  <c r="I63" i="15"/>
  <c r="H63" i="15"/>
  <c r="G63" i="15"/>
  <c r="F63" i="15"/>
  <c r="E63" i="15"/>
  <c r="D63" i="15"/>
  <c r="C63" i="15"/>
  <c r="B63" i="15"/>
  <c r="A63" i="15"/>
  <c r="L52" i="15"/>
  <c r="K52" i="15"/>
  <c r="J52" i="15"/>
  <c r="I52" i="15"/>
  <c r="H52" i="15"/>
  <c r="G52" i="15"/>
  <c r="F52" i="15"/>
  <c r="E52" i="15"/>
  <c r="D52" i="15"/>
  <c r="C52" i="15"/>
  <c r="B52" i="15"/>
  <c r="A52" i="15"/>
  <c r="U8" i="21" l="1"/>
  <c r="U4" i="21" s="1"/>
  <c r="T21" i="21"/>
  <c r="M52" i="15"/>
  <c r="V8" i="21" l="1"/>
  <c r="V4" i="21" s="1"/>
  <c r="U21" i="21"/>
  <c r="W8" i="21" l="1"/>
  <c r="W4" i="21" s="1"/>
  <c r="V21" i="21"/>
  <c r="X8" i="21" l="1"/>
  <c r="X4" i="21" s="1"/>
  <c r="W21" i="21"/>
  <c r="AF64" i="14"/>
  <c r="AE64" i="14"/>
  <c r="AD64" i="14"/>
  <c r="AC64" i="14"/>
  <c r="AB12" i="14"/>
  <c r="AA64" i="14"/>
  <c r="Z64" i="14"/>
  <c r="Y64" i="14"/>
  <c r="X64" i="14"/>
  <c r="W64" i="14"/>
  <c r="V64" i="14"/>
  <c r="U64" i="14"/>
  <c r="T64" i="14"/>
  <c r="S64" i="14"/>
  <c r="R64" i="14"/>
  <c r="Q64" i="14"/>
  <c r="AF2" i="14"/>
  <c r="AE6" i="19" s="1"/>
  <c r="AE2" i="14"/>
  <c r="AD6" i="19" s="1"/>
  <c r="AD2" i="14"/>
  <c r="AC6" i="19" s="1"/>
  <c r="AC2" i="14"/>
  <c r="AB6" i="19" s="1"/>
  <c r="AB2" i="14"/>
  <c r="AA2" i="14"/>
  <c r="Z2" i="14"/>
  <c r="Y2" i="14"/>
  <c r="X2" i="14"/>
  <c r="W2" i="14"/>
  <c r="V2" i="14"/>
  <c r="U2" i="14"/>
  <c r="T2" i="14"/>
  <c r="S2" i="14"/>
  <c r="R2" i="14"/>
  <c r="Q2" i="14"/>
  <c r="Y8" i="21" l="1"/>
  <c r="Y4" i="21" s="1"/>
  <c r="X21" i="21"/>
  <c r="AB64" i="14"/>
  <c r="Q12" i="14"/>
  <c r="Y12" i="14"/>
  <c r="S12" i="14"/>
  <c r="AA12" i="14"/>
  <c r="U12" i="14"/>
  <c r="AC12" i="14"/>
  <c r="W12" i="14"/>
  <c r="AE12" i="14"/>
  <c r="R12" i="14"/>
  <c r="V12" i="14"/>
  <c r="Z12" i="14"/>
  <c r="AD12" i="14"/>
  <c r="T12" i="14"/>
  <c r="X12" i="14"/>
  <c r="AF12" i="14"/>
  <c r="Z8" i="21" l="1"/>
  <c r="Z4" i="21" s="1"/>
  <c r="Y21" i="21"/>
  <c r="L1" i="20"/>
  <c r="AA8" i="21" l="1"/>
  <c r="AA4" i="21" s="1"/>
  <c r="Z21" i="21"/>
  <c r="AB8" i="21" l="1"/>
  <c r="AA21" i="21"/>
  <c r="G60" i="20"/>
  <c r="G59" i="20"/>
  <c r="G58" i="20"/>
  <c r="G57" i="20"/>
  <c r="G56" i="20"/>
  <c r="G55" i="20"/>
  <c r="G54" i="20"/>
  <c r="G53" i="20"/>
  <c r="G52" i="20"/>
  <c r="G51" i="20"/>
  <c r="G50" i="20"/>
  <c r="G49" i="20"/>
  <c r="G48" i="20"/>
  <c r="G47" i="20"/>
  <c r="G46" i="20"/>
  <c r="G45" i="20"/>
  <c r="G44" i="20"/>
  <c r="G43" i="20"/>
  <c r="G42" i="20"/>
  <c r="G41" i="20"/>
  <c r="G40" i="20"/>
  <c r="G39" i="20"/>
  <c r="G38" i="20"/>
  <c r="G37" i="20"/>
  <c r="G36" i="20"/>
  <c r="G35" i="20"/>
  <c r="G34" i="20"/>
  <c r="G33" i="20"/>
  <c r="G32" i="20"/>
  <c r="G31" i="20"/>
  <c r="G30" i="20"/>
  <c r="G29" i="20"/>
  <c r="G28" i="20"/>
  <c r="G27" i="20"/>
  <c r="G26" i="20"/>
  <c r="G25" i="20"/>
  <c r="G24" i="20"/>
  <c r="G23" i="20"/>
  <c r="G22" i="20"/>
  <c r="G21" i="20"/>
  <c r="G20" i="20"/>
  <c r="G18" i="20"/>
  <c r="G17" i="20"/>
  <c r="G16" i="20"/>
  <c r="G15" i="20"/>
  <c r="G14" i="20"/>
  <c r="G13" i="20"/>
  <c r="G12" i="20"/>
  <c r="G11" i="20"/>
  <c r="G10" i="20"/>
  <c r="G9" i="20"/>
  <c r="G8" i="20"/>
  <c r="G7" i="20"/>
  <c r="G6" i="20"/>
  <c r="F60" i="20"/>
  <c r="F59" i="20"/>
  <c r="F57" i="20"/>
  <c r="F56" i="20"/>
  <c r="F55" i="20"/>
  <c r="F54" i="20"/>
  <c r="F53" i="20"/>
  <c r="F52" i="20"/>
  <c r="F51" i="20"/>
  <c r="F50" i="20"/>
  <c r="F49" i="20"/>
  <c r="F48" i="20"/>
  <c r="F47" i="20"/>
  <c r="F46" i="20"/>
  <c r="F45" i="20"/>
  <c r="F44" i="20"/>
  <c r="F43" i="20"/>
  <c r="F42" i="20"/>
  <c r="F41" i="20"/>
  <c r="F40" i="20"/>
  <c r="F39" i="20"/>
  <c r="F38" i="20"/>
  <c r="F37" i="20"/>
  <c r="F36" i="20"/>
  <c r="F35" i="20"/>
  <c r="F34" i="20"/>
  <c r="F33" i="20"/>
  <c r="F32" i="20"/>
  <c r="F31" i="20"/>
  <c r="F30" i="20"/>
  <c r="F29" i="20"/>
  <c r="F28" i="20"/>
  <c r="F27" i="20"/>
  <c r="F26" i="20"/>
  <c r="F25" i="20"/>
  <c r="F24" i="20"/>
  <c r="F23" i="20"/>
  <c r="F22" i="20"/>
  <c r="F21" i="20"/>
  <c r="F20" i="20"/>
  <c r="F18" i="20"/>
  <c r="F17" i="20"/>
  <c r="F16" i="20"/>
  <c r="F15" i="20"/>
  <c r="F14" i="20"/>
  <c r="F13" i="20"/>
  <c r="F12" i="20"/>
  <c r="F11" i="20"/>
  <c r="F10" i="20"/>
  <c r="F9" i="20"/>
  <c r="F8" i="20"/>
  <c r="F7" i="20"/>
  <c r="F6" i="20"/>
  <c r="E60" i="20"/>
  <c r="E59" i="20"/>
  <c r="E57" i="20"/>
  <c r="E56" i="20"/>
  <c r="E55" i="20"/>
  <c r="E54" i="20"/>
  <c r="E53" i="20"/>
  <c r="E52" i="20"/>
  <c r="E51" i="20"/>
  <c r="E50" i="20"/>
  <c r="E49" i="20"/>
  <c r="E48" i="20"/>
  <c r="E47" i="20"/>
  <c r="E46" i="20"/>
  <c r="E45" i="20"/>
  <c r="E44" i="20"/>
  <c r="E43" i="20"/>
  <c r="E42" i="20"/>
  <c r="E41" i="20"/>
  <c r="E40" i="20"/>
  <c r="E39" i="20"/>
  <c r="E38" i="20"/>
  <c r="E37" i="20"/>
  <c r="E36" i="20"/>
  <c r="E35" i="20"/>
  <c r="E34" i="20"/>
  <c r="E33" i="20"/>
  <c r="E32" i="20"/>
  <c r="E31" i="20"/>
  <c r="E30" i="20"/>
  <c r="E29" i="20"/>
  <c r="E28" i="20"/>
  <c r="E27" i="20"/>
  <c r="E26" i="20"/>
  <c r="E25" i="20"/>
  <c r="E24" i="20"/>
  <c r="E23" i="20"/>
  <c r="E22" i="20"/>
  <c r="E21" i="20"/>
  <c r="E20" i="20"/>
  <c r="E18" i="20"/>
  <c r="E17" i="20"/>
  <c r="E16" i="20"/>
  <c r="E15" i="20"/>
  <c r="E14" i="20"/>
  <c r="E13" i="20"/>
  <c r="E12" i="20"/>
  <c r="E11" i="20"/>
  <c r="E10" i="20"/>
  <c r="E9" i="20"/>
  <c r="E8" i="20"/>
  <c r="E7" i="20"/>
  <c r="E6" i="20"/>
  <c r="D19" i="20"/>
  <c r="F19" i="20" s="1"/>
  <c r="F7" i="1"/>
  <c r="AB21" i="21" l="1"/>
  <c r="AB4" i="21"/>
  <c r="E19" i="20"/>
  <c r="E2" i="20" s="1"/>
  <c r="F2" i="20"/>
  <c r="G19" i="20"/>
  <c r="G2" i="20" s="1"/>
  <c r="F15" i="2" l="1"/>
  <c r="F16" i="2"/>
  <c r="F17" i="2"/>
  <c r="F18" i="2"/>
  <c r="F19" i="2"/>
  <c r="F20" i="2"/>
  <c r="F21" i="2"/>
  <c r="F22" i="2"/>
  <c r="F23" i="2"/>
  <c r="F24" i="2"/>
  <c r="F25" i="2"/>
  <c r="F26" i="2"/>
  <c r="F27" i="2"/>
  <c r="F28" i="2"/>
  <c r="F29" i="2"/>
  <c r="F30" i="2"/>
  <c r="F31" i="2"/>
  <c r="F32" i="2"/>
  <c r="F33" i="2"/>
  <c r="F34" i="2"/>
  <c r="F35" i="2"/>
  <c r="F36" i="2"/>
  <c r="F37" i="2"/>
  <c r="F38" i="2"/>
  <c r="B30" i="12"/>
  <c r="E1" i="3" l="1"/>
  <c r="BP3" i="13"/>
  <c r="BC3" i="13"/>
  <c r="AP3" i="13"/>
  <c r="AC3" i="13"/>
  <c r="P3" i="13"/>
  <c r="A1" i="14"/>
  <c r="B5" i="14" s="1"/>
  <c r="B14" i="14"/>
  <c r="B13" i="14"/>
  <c r="B50" i="14"/>
  <c r="B49" i="14"/>
  <c r="B48" i="14"/>
  <c r="B47" i="14"/>
  <c r="B46" i="14"/>
  <c r="B45" i="14"/>
  <c r="B44" i="14"/>
  <c r="B43" i="14"/>
  <c r="B42" i="14"/>
  <c r="B41" i="14"/>
  <c r="B40" i="14"/>
  <c r="B39" i="14"/>
  <c r="B38" i="14"/>
  <c r="B37" i="14"/>
  <c r="B36" i="14"/>
  <c r="B35" i="14"/>
  <c r="B34" i="14"/>
  <c r="B33" i="14"/>
  <c r="B32" i="14"/>
  <c r="B31" i="14"/>
  <c r="B30" i="14"/>
  <c r="B29" i="14"/>
  <c r="B28" i="14"/>
  <c r="B27" i="14"/>
  <c r="B26" i="14"/>
  <c r="B25" i="14"/>
  <c r="B24" i="14"/>
  <c r="B23" i="14"/>
  <c r="B22" i="14"/>
  <c r="B21" i="14"/>
  <c r="B20" i="14"/>
  <c r="B19" i="14"/>
  <c r="B18" i="14"/>
  <c r="B17" i="14"/>
  <c r="G44" i="19"/>
  <c r="Z44" i="19" s="1"/>
  <c r="G43" i="19"/>
  <c r="Z43" i="19" s="1"/>
  <c r="G42" i="19"/>
  <c r="Z42" i="19" s="1"/>
  <c r="G41" i="19"/>
  <c r="Z41" i="19" s="1"/>
  <c r="G40" i="19"/>
  <c r="Z40" i="19" s="1"/>
  <c r="G39" i="19"/>
  <c r="Z39" i="19" s="1"/>
  <c r="G38" i="19"/>
  <c r="Z38" i="19" s="1"/>
  <c r="G37" i="19"/>
  <c r="Z37" i="19" s="1"/>
  <c r="G36" i="19"/>
  <c r="Z36" i="19" s="1"/>
  <c r="G35" i="19"/>
  <c r="Z35" i="19" s="1"/>
  <c r="G34" i="19"/>
  <c r="Z34" i="19" s="1"/>
  <c r="G33" i="19"/>
  <c r="Z33" i="19" s="1"/>
  <c r="G32" i="19"/>
  <c r="Z32" i="19" s="1"/>
  <c r="G31" i="19"/>
  <c r="Z31" i="19" s="1"/>
  <c r="G30" i="19"/>
  <c r="Z30" i="19" s="1"/>
  <c r="G29" i="19"/>
  <c r="Z29" i="19" s="1"/>
  <c r="G28" i="19"/>
  <c r="Z28" i="19" s="1"/>
  <c r="G27" i="19"/>
  <c r="Z27" i="19" s="1"/>
  <c r="G26" i="19"/>
  <c r="Z26" i="19" s="1"/>
  <c r="G25" i="19"/>
  <c r="Z25" i="19" s="1"/>
  <c r="G24" i="19"/>
  <c r="Z24" i="19" s="1"/>
  <c r="G23" i="19"/>
  <c r="Z23" i="19" s="1"/>
  <c r="G22" i="19"/>
  <c r="Z22" i="19" s="1"/>
  <c r="G21" i="19"/>
  <c r="Z21" i="19" s="1"/>
  <c r="G20" i="19"/>
  <c r="Z20" i="19" s="1"/>
  <c r="G19" i="19"/>
  <c r="Z19" i="19" s="1"/>
  <c r="G18" i="19"/>
  <c r="Z18" i="19" s="1"/>
  <c r="G17" i="19"/>
  <c r="Z17" i="19" s="1"/>
  <c r="G16" i="19"/>
  <c r="Z16" i="19" s="1"/>
  <c r="G15" i="19"/>
  <c r="Z15" i="19" s="1"/>
  <c r="G14" i="19"/>
  <c r="Z14" i="19" s="1"/>
  <c r="G13" i="19"/>
  <c r="Z13" i="19" s="1"/>
  <c r="G12" i="19"/>
  <c r="Z12" i="19" s="1"/>
  <c r="G11" i="19"/>
  <c r="Z11" i="19" s="1"/>
  <c r="G10" i="19"/>
  <c r="Z10" i="19" s="1"/>
  <c r="G9" i="19"/>
  <c r="Z9" i="19" s="1"/>
  <c r="H8" i="19"/>
  <c r="G8" i="19"/>
  <c r="Z8" i="19" s="1"/>
  <c r="G7" i="19"/>
  <c r="Z7" i="19" s="1"/>
  <c r="B15" i="14"/>
  <c r="B16" i="14"/>
  <c r="A1" i="19"/>
  <c r="C17" i="11"/>
  <c r="C58" i="14"/>
  <c r="A47" i="15" l="1"/>
  <c r="L47" i="15"/>
  <c r="K47" i="15"/>
  <c r="J47" i="15"/>
  <c r="I47" i="15"/>
  <c r="H47" i="15"/>
  <c r="G47" i="15"/>
  <c r="F47" i="15"/>
  <c r="E47" i="15"/>
  <c r="D47" i="15"/>
  <c r="C47" i="15"/>
  <c r="B47" i="15"/>
  <c r="P6" i="14"/>
  <c r="E1" i="11" l="1"/>
  <c r="C2" i="14" l="1"/>
  <c r="C12" i="14" l="1"/>
  <c r="A6" i="13" l="1"/>
  <c r="B42" i="18" l="1"/>
  <c r="A42" i="18"/>
  <c r="A41" i="18"/>
  <c r="A40" i="18"/>
  <c r="A39" i="18"/>
  <c r="A38" i="18"/>
  <c r="A37" i="18"/>
  <c r="A36" i="18"/>
  <c r="A35" i="18"/>
  <c r="A34" i="18"/>
  <c r="A33" i="18"/>
  <c r="A32" i="18"/>
  <c r="A31" i="18"/>
  <c r="A30" i="18"/>
  <c r="A29" i="18"/>
  <c r="A28" i="18"/>
  <c r="A27" i="18"/>
  <c r="A26" i="18"/>
  <c r="A25" i="18"/>
  <c r="A24" i="18"/>
  <c r="A23" i="18"/>
  <c r="A22" i="18"/>
  <c r="A21" i="18"/>
  <c r="A2" i="13" l="1"/>
  <c r="A1" i="12"/>
  <c r="A1" i="2"/>
  <c r="A1" i="1"/>
  <c r="A1" i="8"/>
  <c r="A1" i="15"/>
  <c r="F62" i="2"/>
  <c r="F61" i="2"/>
  <c r="F60" i="2"/>
  <c r="F59" i="2"/>
  <c r="F58" i="2"/>
  <c r="F57" i="2"/>
  <c r="F56" i="2"/>
  <c r="F55" i="2"/>
  <c r="F54" i="2"/>
  <c r="F53" i="2"/>
  <c r="F52" i="2"/>
  <c r="F51" i="2"/>
  <c r="F50" i="2"/>
  <c r="F49" i="2"/>
  <c r="F48" i="2"/>
  <c r="F47" i="2"/>
  <c r="F46" i="2"/>
  <c r="F45" i="2"/>
  <c r="F44" i="2"/>
  <c r="F43" i="2"/>
  <c r="F42" i="2"/>
  <c r="F41" i="2"/>
  <c r="F40" i="2"/>
  <c r="F39" i="2"/>
  <c r="F14" i="2"/>
  <c r="F13" i="2"/>
  <c r="F12" i="2"/>
  <c r="F11" i="2"/>
  <c r="F10" i="2"/>
  <c r="F9" i="2"/>
  <c r="F8" i="2"/>
  <c r="F7" i="2"/>
  <c r="F6" i="2"/>
  <c r="F5" i="2"/>
  <c r="E17" i="3" l="1"/>
  <c r="O24" i="13" l="1"/>
  <c r="N24" i="13"/>
  <c r="M24" i="13"/>
  <c r="L24" i="13"/>
  <c r="K24" i="13"/>
  <c r="J24" i="13"/>
  <c r="I24" i="13"/>
  <c r="H24" i="13"/>
  <c r="G24" i="13"/>
  <c r="F24" i="13"/>
  <c r="E24" i="13"/>
  <c r="O22" i="13"/>
  <c r="N22" i="13"/>
  <c r="M22" i="13"/>
  <c r="L22" i="13"/>
  <c r="K22" i="13"/>
  <c r="J22" i="13"/>
  <c r="I22" i="13"/>
  <c r="H22" i="13"/>
  <c r="G22" i="13"/>
  <c r="F22" i="13"/>
  <c r="E22" i="13"/>
  <c r="D24" i="13"/>
  <c r="D22" i="13"/>
  <c r="C75" i="14" l="1"/>
  <c r="B33" i="12" s="1"/>
  <c r="B32" i="12"/>
  <c r="B31" i="12"/>
  <c r="C31" i="12" s="1"/>
  <c r="M36" i="15"/>
  <c r="L28" i="15"/>
  <c r="K28" i="15"/>
  <c r="J28" i="15"/>
  <c r="I28" i="15"/>
  <c r="H28" i="15"/>
  <c r="G28" i="15"/>
  <c r="F28" i="15"/>
  <c r="E28" i="15"/>
  <c r="D28" i="15"/>
  <c r="C28" i="15"/>
  <c r="B28" i="15"/>
  <c r="A28" i="15"/>
  <c r="Q80" i="14" l="1"/>
  <c r="M28" i="15"/>
  <c r="R80" i="14" l="1"/>
  <c r="Q24" i="21"/>
  <c r="Q26" i="21" s="1"/>
  <c r="C25" i="11"/>
  <c r="G15" i="15" s="1"/>
  <c r="D6" i="14"/>
  <c r="A35" i="15" s="1"/>
  <c r="A51" i="15" s="1"/>
  <c r="C45" i="11"/>
  <c r="A45" i="11"/>
  <c r="A70" i="11" s="1"/>
  <c r="A21" i="11"/>
  <c r="A58" i="11" s="1"/>
  <c r="C42" i="11"/>
  <c r="C43" i="11"/>
  <c r="D43" i="11" s="1"/>
  <c r="E43" i="11" s="1"/>
  <c r="F43" i="11" s="1"/>
  <c r="G43" i="11" s="1"/>
  <c r="C44" i="11"/>
  <c r="D44" i="11" s="1"/>
  <c r="E44" i="11" s="1"/>
  <c r="F44" i="11" s="1"/>
  <c r="G44" i="11" s="1"/>
  <c r="C46" i="11"/>
  <c r="C47" i="11"/>
  <c r="C48" i="11"/>
  <c r="A5" i="13"/>
  <c r="A13" i="13"/>
  <c r="A12" i="13"/>
  <c r="D12" i="13" s="1"/>
  <c r="P12" i="13" s="1"/>
  <c r="A14" i="13"/>
  <c r="A21" i="13"/>
  <c r="P52" i="14"/>
  <c r="AC24" i="13"/>
  <c r="AC22" i="13"/>
  <c r="P24" i="13"/>
  <c r="P22" i="13"/>
  <c r="D20" i="13"/>
  <c r="A11" i="13"/>
  <c r="D3" i="13"/>
  <c r="Q3" i="13" s="1"/>
  <c r="AD3" i="13" s="1"/>
  <c r="AQ3" i="13" s="1"/>
  <c r="A3" i="13"/>
  <c r="G23" i="12"/>
  <c r="F23" i="12"/>
  <c r="A48" i="11"/>
  <c r="A73" i="11" s="1"/>
  <c r="A47" i="11"/>
  <c r="A72" i="11" s="1"/>
  <c r="A46" i="11"/>
  <c r="A71" i="11" s="1"/>
  <c r="A44" i="11"/>
  <c r="A69" i="11" s="1"/>
  <c r="A43" i="11"/>
  <c r="A68" i="11" s="1"/>
  <c r="A42" i="11"/>
  <c r="A67" i="11" s="1"/>
  <c r="A41" i="11"/>
  <c r="A66" i="11" s="1"/>
  <c r="A24" i="11"/>
  <c r="A61" i="11" s="1"/>
  <c r="A23" i="11"/>
  <c r="A60" i="11" s="1"/>
  <c r="A22" i="11"/>
  <c r="A59" i="11" s="1"/>
  <c r="A20" i="11"/>
  <c r="A57" i="11" s="1"/>
  <c r="A19" i="11"/>
  <c r="A56" i="11" s="1"/>
  <c r="A18" i="11"/>
  <c r="A55" i="11" s="1"/>
  <c r="A17" i="11"/>
  <c r="F68" i="1"/>
  <c r="G68" i="1"/>
  <c r="F69" i="1"/>
  <c r="G69" i="1"/>
  <c r="F70" i="1"/>
  <c r="G70" i="1"/>
  <c r="F71" i="1"/>
  <c r="G71" i="1"/>
  <c r="F72" i="1"/>
  <c r="G72" i="1"/>
  <c r="F73" i="1"/>
  <c r="G73" i="1"/>
  <c r="F74" i="1"/>
  <c r="G74" i="1"/>
  <c r="F75" i="1"/>
  <c r="G75" i="1"/>
  <c r="F76" i="1"/>
  <c r="G76" i="1"/>
  <c r="F77" i="1"/>
  <c r="G77" i="1"/>
  <c r="F78" i="1"/>
  <c r="G78" i="1"/>
  <c r="F79" i="1"/>
  <c r="G79" i="1"/>
  <c r="F80" i="1"/>
  <c r="G80" i="1"/>
  <c r="F81" i="1"/>
  <c r="G81" i="1"/>
  <c r="F82" i="1"/>
  <c r="G82" i="1"/>
  <c r="F4" i="8"/>
  <c r="G4" i="8" s="1"/>
  <c r="F2" i="2"/>
  <c r="F5" i="1"/>
  <c r="G5" i="1" s="1"/>
  <c r="A54" i="11" l="1"/>
  <c r="A30" i="11"/>
  <c r="P20" i="13"/>
  <c r="C55" i="11"/>
  <c r="D42" i="11"/>
  <c r="C60" i="11"/>
  <c r="D47" i="11"/>
  <c r="E47" i="11" s="1"/>
  <c r="F47" i="11" s="1"/>
  <c r="G47" i="11" s="1"/>
  <c r="C59" i="11"/>
  <c r="D46" i="11"/>
  <c r="E46" i="11" s="1"/>
  <c r="F46" i="11" s="1"/>
  <c r="G46" i="11" s="1"/>
  <c r="C61" i="11"/>
  <c r="D48" i="11"/>
  <c r="E48" i="11" s="1"/>
  <c r="F48" i="11" s="1"/>
  <c r="G48" i="11" s="1"/>
  <c r="C58" i="11"/>
  <c r="D45" i="11"/>
  <c r="E45" i="11" s="1"/>
  <c r="F45" i="11" s="1"/>
  <c r="G45" i="11" s="1"/>
  <c r="S80" i="14"/>
  <c r="R24" i="21"/>
  <c r="R26" i="21" s="1"/>
  <c r="A36" i="11"/>
  <c r="A32" i="11"/>
  <c r="A37" i="11"/>
  <c r="A35" i="11"/>
  <c r="A31" i="11"/>
  <c r="A34" i="11"/>
  <c r="A33" i="11"/>
  <c r="D64" i="14"/>
  <c r="D2" i="14"/>
  <c r="D12" i="14"/>
  <c r="D21" i="13"/>
  <c r="D23" i="13" s="1"/>
  <c r="D25" i="13" s="1"/>
  <c r="P2" i="14"/>
  <c r="AA6" i="19" s="1"/>
  <c r="P11" i="13"/>
  <c r="P19" i="13" s="1"/>
  <c r="E6" i="14"/>
  <c r="B35" i="15" s="1"/>
  <c r="B51" i="15" s="1"/>
  <c r="AE3" i="13"/>
  <c r="AF3" i="13" s="1"/>
  <c r="AG3" i="13" s="1"/>
  <c r="AH3" i="13" s="1"/>
  <c r="AI3" i="13" s="1"/>
  <c r="AJ3" i="13" s="1"/>
  <c r="AK3" i="13" s="1"/>
  <c r="AL3" i="13" s="1"/>
  <c r="AM3" i="13" s="1"/>
  <c r="AN3" i="13" s="1"/>
  <c r="AO3" i="13" s="1"/>
  <c r="G4" i="1"/>
  <c r="D7" i="12" s="1"/>
  <c r="D13" i="13"/>
  <c r="F2" i="1"/>
  <c r="F3" i="1" s="1"/>
  <c r="F4" i="1" s="1"/>
  <c r="F1" i="8"/>
  <c r="F2" i="8" s="1"/>
  <c r="G3" i="8"/>
  <c r="D6" i="12" s="1"/>
  <c r="C49" i="11"/>
  <c r="E3" i="13"/>
  <c r="F3" i="13" s="1"/>
  <c r="G3" i="13" s="1"/>
  <c r="H3" i="13" s="1"/>
  <c r="I3" i="13" s="1"/>
  <c r="J3" i="13" s="1"/>
  <c r="K3" i="13" s="1"/>
  <c r="L3" i="13" s="1"/>
  <c r="M3" i="13" s="1"/>
  <c r="N3" i="13" s="1"/>
  <c r="O3" i="13" s="1"/>
  <c r="D11" i="13"/>
  <c r="E11" i="13" s="1"/>
  <c r="F11" i="13" s="1"/>
  <c r="G11" i="13" s="1"/>
  <c r="H11" i="13" s="1"/>
  <c r="I11" i="13" s="1"/>
  <c r="J11" i="13" s="1"/>
  <c r="K11" i="13" s="1"/>
  <c r="L11" i="13" s="1"/>
  <c r="M11" i="13" s="1"/>
  <c r="N11" i="13" s="1"/>
  <c r="O11" i="13" s="1"/>
  <c r="C56" i="11"/>
  <c r="C57" i="11"/>
  <c r="F3" i="2"/>
  <c r="F4" i="2" s="1"/>
  <c r="BD3" i="13"/>
  <c r="BE3" i="13" s="1"/>
  <c r="BF3" i="13" s="1"/>
  <c r="BG3" i="13" s="1"/>
  <c r="BH3" i="13" s="1"/>
  <c r="BI3" i="13" s="1"/>
  <c r="BJ3" i="13" s="1"/>
  <c r="BK3" i="13" s="1"/>
  <c r="BL3" i="13" s="1"/>
  <c r="BM3" i="13" s="1"/>
  <c r="BN3" i="13" s="1"/>
  <c r="BO3" i="13" s="1"/>
  <c r="AR3" i="13"/>
  <c r="AS3" i="13" s="1"/>
  <c r="AT3" i="13" s="1"/>
  <c r="AU3" i="13" s="1"/>
  <c r="AV3" i="13" s="1"/>
  <c r="AW3" i="13" s="1"/>
  <c r="AX3" i="13" s="1"/>
  <c r="AY3" i="13" s="1"/>
  <c r="AZ3" i="13" s="1"/>
  <c r="BA3" i="13" s="1"/>
  <c r="BB3" i="13" s="1"/>
  <c r="R3" i="13"/>
  <c r="S3" i="13" s="1"/>
  <c r="T3" i="13" s="1"/>
  <c r="U3" i="13" s="1"/>
  <c r="V3" i="13" s="1"/>
  <c r="W3" i="13" s="1"/>
  <c r="X3" i="13" s="1"/>
  <c r="Y3" i="13" s="1"/>
  <c r="Z3" i="13" s="1"/>
  <c r="AA3" i="13" s="1"/>
  <c r="AB3" i="13" s="1"/>
  <c r="D14" i="13"/>
  <c r="D11" i="12" l="1"/>
  <c r="C16" i="12" s="1"/>
  <c r="C31" i="21" s="1"/>
  <c r="D31" i="21" s="1"/>
  <c r="E31" i="21" s="1"/>
  <c r="F31" i="21" s="1"/>
  <c r="G31" i="21" s="1"/>
  <c r="H31" i="21" s="1"/>
  <c r="I31" i="21" s="1"/>
  <c r="J31" i="21" s="1"/>
  <c r="K31" i="21" s="1"/>
  <c r="L31" i="21" s="1"/>
  <c r="M31" i="21" s="1"/>
  <c r="N31" i="21" s="1"/>
  <c r="O31" i="21" s="1"/>
  <c r="D56" i="11"/>
  <c r="C68" i="11"/>
  <c r="D58" i="11"/>
  <c r="C70" i="11"/>
  <c r="D59" i="11"/>
  <c r="C71" i="11"/>
  <c r="D55" i="11"/>
  <c r="C67" i="11"/>
  <c r="D57" i="11"/>
  <c r="C69" i="11"/>
  <c r="D61" i="11"/>
  <c r="E61" i="11" s="1"/>
  <c r="F61" i="11" s="1"/>
  <c r="G61" i="11" s="1"/>
  <c r="C73" i="11"/>
  <c r="D60" i="11"/>
  <c r="C72" i="11"/>
  <c r="E42" i="11"/>
  <c r="D49" i="11"/>
  <c r="T80" i="14"/>
  <c r="S24" i="21"/>
  <c r="S26" i="21" s="1"/>
  <c r="E64" i="14"/>
  <c r="E2" i="14"/>
  <c r="P12" i="14"/>
  <c r="P64" i="14"/>
  <c r="D15" i="13"/>
  <c r="F6" i="14"/>
  <c r="E12" i="14"/>
  <c r="C8" i="12"/>
  <c r="A64" i="2"/>
  <c r="A65" i="2" s="1"/>
  <c r="AC11" i="13"/>
  <c r="AC19" i="13" s="1"/>
  <c r="E20" i="13"/>
  <c r="F3" i="8"/>
  <c r="C6" i="12" s="1"/>
  <c r="Q11" i="13"/>
  <c r="R11" i="13" s="1"/>
  <c r="S11" i="13" s="1"/>
  <c r="T11" i="13" s="1"/>
  <c r="U11" i="13" s="1"/>
  <c r="V11" i="13" s="1"/>
  <c r="W11" i="13" s="1"/>
  <c r="X11" i="13" s="1"/>
  <c r="Y11" i="13" s="1"/>
  <c r="Z11" i="13" s="1"/>
  <c r="AA11" i="13" s="1"/>
  <c r="AB11" i="13" s="1"/>
  <c r="D19" i="13"/>
  <c r="E19" i="13" s="1"/>
  <c r="F19" i="13" s="1"/>
  <c r="G19" i="13" s="1"/>
  <c r="H19" i="13" s="1"/>
  <c r="I19" i="13" s="1"/>
  <c r="J19" i="13" s="1"/>
  <c r="K19" i="13" s="1"/>
  <c r="L19" i="13" s="1"/>
  <c r="M19" i="13" s="1"/>
  <c r="N19" i="13" s="1"/>
  <c r="O19" i="13" s="1"/>
  <c r="C54" i="11"/>
  <c r="C41" i="11"/>
  <c r="C62" i="11"/>
  <c r="B60" i="11" s="1"/>
  <c r="C7" i="12"/>
  <c r="B84" i="1"/>
  <c r="B85" i="1" s="1"/>
  <c r="P31" i="21" l="1"/>
  <c r="Q31" i="21" s="1"/>
  <c r="R31" i="21" s="1"/>
  <c r="S31" i="21" s="1"/>
  <c r="T31" i="21" s="1"/>
  <c r="U31" i="21" s="1"/>
  <c r="V31" i="21" s="1"/>
  <c r="W31" i="21" s="1"/>
  <c r="X31" i="21" s="1"/>
  <c r="Y31" i="21" s="1"/>
  <c r="Z31" i="21" s="1"/>
  <c r="AA31" i="21" s="1"/>
  <c r="AB31" i="21" s="1"/>
  <c r="AC31" i="21" s="1"/>
  <c r="AD31" i="21" s="1"/>
  <c r="AE31" i="21" s="1"/>
  <c r="AF31" i="21" s="1"/>
  <c r="B59" i="11"/>
  <c r="B56" i="11"/>
  <c r="B58" i="11"/>
  <c r="B61" i="11"/>
  <c r="B57" i="11"/>
  <c r="B55" i="11"/>
  <c r="E6" i="12"/>
  <c r="C16" i="21"/>
  <c r="D16" i="21" s="1"/>
  <c r="E60" i="11"/>
  <c r="D72" i="11"/>
  <c r="C74" i="11"/>
  <c r="C75" i="11" s="1"/>
  <c r="C66" i="11"/>
  <c r="C30" i="11" s="1"/>
  <c r="D30" i="11" s="1"/>
  <c r="E30" i="11" s="1"/>
  <c r="F30" i="11" s="1"/>
  <c r="G30" i="11" s="1"/>
  <c r="D66" i="11"/>
  <c r="E66" i="11" s="1"/>
  <c r="F66" i="11" s="1"/>
  <c r="G66" i="11" s="1"/>
  <c r="E21" i="13"/>
  <c r="E23" i="13" s="1"/>
  <c r="E25" i="13" s="1"/>
  <c r="E7" i="12"/>
  <c r="E55" i="11"/>
  <c r="F55" i="11" s="1"/>
  <c r="G55" i="11" s="1"/>
  <c r="D67" i="11"/>
  <c r="E58" i="11"/>
  <c r="D70" i="11"/>
  <c r="E57" i="11"/>
  <c r="D69" i="11"/>
  <c r="E59" i="11"/>
  <c r="D71" i="11"/>
  <c r="E56" i="11"/>
  <c r="D68" i="11"/>
  <c r="D73" i="11"/>
  <c r="D41" i="11"/>
  <c r="E41" i="11" s="1"/>
  <c r="F41" i="11" s="1"/>
  <c r="G41" i="11" s="1"/>
  <c r="D54" i="11"/>
  <c r="E54" i="11" s="1"/>
  <c r="F54" i="11" s="1"/>
  <c r="G54" i="11" s="1"/>
  <c r="F42" i="11"/>
  <c r="E49" i="11"/>
  <c r="U80" i="14"/>
  <c r="T24" i="21"/>
  <c r="T26" i="21" s="1"/>
  <c r="D62" i="11"/>
  <c r="N54" i="15" s="1"/>
  <c r="O54" i="15" s="1"/>
  <c r="F12" i="14"/>
  <c r="C35" i="15"/>
  <c r="C51" i="15" s="1"/>
  <c r="D16" i="13"/>
  <c r="F64" i="14"/>
  <c r="F2" i="14"/>
  <c r="G6" i="14"/>
  <c r="D35" i="15" s="1"/>
  <c r="D51" i="15" s="1"/>
  <c r="C51" i="14"/>
  <c r="AD11" i="13"/>
  <c r="AE11" i="13" s="1"/>
  <c r="AF11" i="13" s="1"/>
  <c r="AG11" i="13" s="1"/>
  <c r="AH11" i="13" s="1"/>
  <c r="AI11" i="13" s="1"/>
  <c r="AJ11" i="13" s="1"/>
  <c r="AK11" i="13" s="1"/>
  <c r="AL11" i="13" s="1"/>
  <c r="AM11" i="13" s="1"/>
  <c r="AN11" i="13" s="1"/>
  <c r="AO11" i="13" s="1"/>
  <c r="BC11" i="13"/>
  <c r="BC19" i="13" s="1"/>
  <c r="AP11" i="13"/>
  <c r="AP19" i="13" s="1"/>
  <c r="G14" i="15"/>
  <c r="N38" i="15"/>
  <c r="O38" i="15" s="1"/>
  <c r="Q19" i="13"/>
  <c r="AD19" i="13" s="1"/>
  <c r="BP11" i="13"/>
  <c r="BP19" i="13" s="1"/>
  <c r="D74" i="11" l="1"/>
  <c r="N55" i="15" s="1"/>
  <c r="O55" i="15" s="1"/>
  <c r="E55" i="15" s="1"/>
  <c r="N39" i="15"/>
  <c r="O39" i="15" s="1"/>
  <c r="I39" i="15" s="1"/>
  <c r="E67" i="11"/>
  <c r="B62" i="11"/>
  <c r="C18" i="21"/>
  <c r="F57" i="11"/>
  <c r="E69" i="11"/>
  <c r="F58" i="11"/>
  <c r="E70" i="11"/>
  <c r="F59" i="11"/>
  <c r="E71" i="11"/>
  <c r="F56" i="11"/>
  <c r="E68" i="11"/>
  <c r="F60" i="11"/>
  <c r="E72" i="11"/>
  <c r="G67" i="11"/>
  <c r="F67" i="11"/>
  <c r="E12" i="13"/>
  <c r="E14" i="13" s="1"/>
  <c r="E73" i="11"/>
  <c r="G42" i="11"/>
  <c r="G49" i="11" s="1"/>
  <c r="F49" i="11"/>
  <c r="E16" i="21"/>
  <c r="V80" i="14"/>
  <c r="U24" i="21"/>
  <c r="U26" i="21" s="1"/>
  <c r="E62" i="11"/>
  <c r="AD7" i="14" s="1"/>
  <c r="E54" i="15"/>
  <c r="L54" i="15"/>
  <c r="I54" i="15"/>
  <c r="D54" i="15"/>
  <c r="C54" i="15"/>
  <c r="G54" i="15"/>
  <c r="B54" i="15"/>
  <c r="J54" i="15"/>
  <c r="F54" i="15"/>
  <c r="A54" i="15"/>
  <c r="H54" i="15"/>
  <c r="K54" i="15"/>
  <c r="G64" i="14"/>
  <c r="G2" i="14"/>
  <c r="H6" i="14"/>
  <c r="E35" i="15" s="1"/>
  <c r="E51" i="15" s="1"/>
  <c r="G12" i="14"/>
  <c r="D51" i="14"/>
  <c r="D17" i="21" s="1"/>
  <c r="B41" i="18"/>
  <c r="AQ11" i="13"/>
  <c r="BD11" i="13" s="1"/>
  <c r="BE11" i="13" s="1"/>
  <c r="BF11" i="13" s="1"/>
  <c r="BG11" i="13" s="1"/>
  <c r="BH11" i="13" s="1"/>
  <c r="BI11" i="13" s="1"/>
  <c r="BJ11" i="13" s="1"/>
  <c r="BK11" i="13" s="1"/>
  <c r="BL11" i="13" s="1"/>
  <c r="BM11" i="13" s="1"/>
  <c r="BN11" i="13" s="1"/>
  <c r="BO11" i="13" s="1"/>
  <c r="J39" i="15"/>
  <c r="R19" i="13"/>
  <c r="S19" i="13" s="1"/>
  <c r="T19" i="13" s="1"/>
  <c r="U19" i="13" s="1"/>
  <c r="V19" i="13" s="1"/>
  <c r="W19" i="13" s="1"/>
  <c r="X19" i="13" s="1"/>
  <c r="Y19" i="13" s="1"/>
  <c r="Z19" i="13" s="1"/>
  <c r="AA19" i="13" s="1"/>
  <c r="AB19" i="13" s="1"/>
  <c r="F20" i="13"/>
  <c r="AQ19" i="13"/>
  <c r="AE19" i="13"/>
  <c r="AF19" i="13" s="1"/>
  <c r="AG19" i="13" s="1"/>
  <c r="AH19" i="13" s="1"/>
  <c r="AI19" i="13" s="1"/>
  <c r="AJ19" i="13" s="1"/>
  <c r="AK19" i="13" s="1"/>
  <c r="AL19" i="13" s="1"/>
  <c r="AM19" i="13" s="1"/>
  <c r="AN19" i="13" s="1"/>
  <c r="AO19" i="13" s="1"/>
  <c r="C39" i="15" l="1"/>
  <c r="K39" i="15"/>
  <c r="H39" i="15"/>
  <c r="D75" i="11"/>
  <c r="A39" i="15"/>
  <c r="A49" i="15" s="1"/>
  <c r="L39" i="15"/>
  <c r="F39" i="15"/>
  <c r="F49" i="15" s="1"/>
  <c r="I8" i="14" s="1"/>
  <c r="E39" i="15"/>
  <c r="E49" i="15" s="1"/>
  <c r="H8" i="14" s="1"/>
  <c r="G39" i="15"/>
  <c r="B39" i="15"/>
  <c r="B41" i="15" s="1"/>
  <c r="D39" i="15"/>
  <c r="D49" i="15" s="1"/>
  <c r="G8" i="14" s="1"/>
  <c r="E74" i="11"/>
  <c r="AD8" i="14" s="1"/>
  <c r="AD9" i="14" s="1"/>
  <c r="G60" i="11"/>
  <c r="G72" i="11" s="1"/>
  <c r="F72" i="11"/>
  <c r="G59" i="11"/>
  <c r="G71" i="11" s="1"/>
  <c r="F71" i="11"/>
  <c r="E13" i="13"/>
  <c r="E15" i="13" s="1"/>
  <c r="G56" i="11"/>
  <c r="G68" i="11" s="1"/>
  <c r="F68" i="11"/>
  <c r="G58" i="11"/>
  <c r="G70" i="11" s="1"/>
  <c r="F70" i="11"/>
  <c r="G57" i="11"/>
  <c r="G69" i="11" s="1"/>
  <c r="F69" i="11"/>
  <c r="G73" i="11"/>
  <c r="F73" i="11"/>
  <c r="J55" i="15"/>
  <c r="J57" i="15" s="1"/>
  <c r="C55" i="15"/>
  <c r="S8" i="14" s="1"/>
  <c r="G55" i="15"/>
  <c r="G57" i="15" s="1"/>
  <c r="A55" i="15"/>
  <c r="A65" i="15" s="1"/>
  <c r="I55" i="15"/>
  <c r="Y8" i="14" s="1"/>
  <c r="K55" i="15"/>
  <c r="K57" i="15" s="1"/>
  <c r="D55" i="15"/>
  <c r="D65" i="15" s="1"/>
  <c r="H55" i="15"/>
  <c r="X8" i="14" s="1"/>
  <c r="F55" i="15"/>
  <c r="F57" i="15" s="1"/>
  <c r="B55" i="15"/>
  <c r="B65" i="15" s="1"/>
  <c r="L55" i="15"/>
  <c r="L57" i="15" s="1"/>
  <c r="F16" i="21"/>
  <c r="D18" i="21"/>
  <c r="W80" i="14"/>
  <c r="V24" i="21"/>
  <c r="V26" i="21" s="1"/>
  <c r="E65" i="15"/>
  <c r="E57" i="15"/>
  <c r="U8" i="14"/>
  <c r="C53" i="15"/>
  <c r="C64" i="15"/>
  <c r="S7" i="14"/>
  <c r="C56" i="15"/>
  <c r="H56" i="15"/>
  <c r="H64" i="15"/>
  <c r="X7" i="14"/>
  <c r="H53" i="15"/>
  <c r="B56" i="15"/>
  <c r="B64" i="15"/>
  <c r="R7" i="14"/>
  <c r="B53" i="15"/>
  <c r="I53" i="15"/>
  <c r="I64" i="15"/>
  <c r="I56" i="15"/>
  <c r="Y7" i="14"/>
  <c r="F62" i="11"/>
  <c r="AE7" i="14" s="1"/>
  <c r="F56" i="15"/>
  <c r="F53" i="15"/>
  <c r="V7" i="14"/>
  <c r="F64" i="15"/>
  <c r="E56" i="15"/>
  <c r="E53" i="15"/>
  <c r="U7" i="14"/>
  <c r="E64" i="15"/>
  <c r="K56" i="15"/>
  <c r="K53" i="15"/>
  <c r="AA7" i="14"/>
  <c r="K64" i="15"/>
  <c r="J53" i="15"/>
  <c r="J56" i="15"/>
  <c r="J64" i="15"/>
  <c r="Z7" i="14"/>
  <c r="D53" i="15"/>
  <c r="D64" i="15"/>
  <c r="T7" i="14"/>
  <c r="D56" i="15"/>
  <c r="A64" i="15"/>
  <c r="A53" i="15"/>
  <c r="A56" i="15"/>
  <c r="M54" i="15"/>
  <c r="Q7" i="14"/>
  <c r="G56" i="15"/>
  <c r="G53" i="15"/>
  <c r="W7" i="14"/>
  <c r="G64" i="15"/>
  <c r="L56" i="15"/>
  <c r="L53" i="15"/>
  <c r="AB7" i="14"/>
  <c r="L64" i="15"/>
  <c r="AD14" i="14"/>
  <c r="AC8" i="19" s="1"/>
  <c r="D41" i="15"/>
  <c r="I41" i="15"/>
  <c r="I49" i="15"/>
  <c r="L8" i="14" s="1"/>
  <c r="F41" i="15"/>
  <c r="G41" i="15"/>
  <c r="G49" i="15"/>
  <c r="J8" i="14" s="1"/>
  <c r="D8" i="14"/>
  <c r="C41" i="15"/>
  <c r="C49" i="15"/>
  <c r="F8" i="14" s="1"/>
  <c r="L41" i="15"/>
  <c r="L49" i="15"/>
  <c r="O8" i="14" s="1"/>
  <c r="K41" i="15"/>
  <c r="K49" i="15"/>
  <c r="N8" i="14" s="1"/>
  <c r="J41" i="15"/>
  <c r="J49" i="15"/>
  <c r="M8" i="14" s="1"/>
  <c r="H41" i="15"/>
  <c r="H49" i="15"/>
  <c r="K8" i="14" s="1"/>
  <c r="AR11" i="13"/>
  <c r="AS11" i="13" s="1"/>
  <c r="AT11" i="13" s="1"/>
  <c r="AU11" i="13" s="1"/>
  <c r="AV11" i="13" s="1"/>
  <c r="AW11" i="13" s="1"/>
  <c r="AX11" i="13" s="1"/>
  <c r="AY11" i="13" s="1"/>
  <c r="AZ11" i="13" s="1"/>
  <c r="BA11" i="13" s="1"/>
  <c r="BB11" i="13" s="1"/>
  <c r="H64" i="14"/>
  <c r="H2" i="14"/>
  <c r="I6" i="14"/>
  <c r="F35" i="15" s="1"/>
  <c r="F51" i="15" s="1"/>
  <c r="H12" i="14"/>
  <c r="C38" i="15"/>
  <c r="H38" i="15"/>
  <c r="L38" i="15"/>
  <c r="J38" i="15"/>
  <c r="D38" i="15"/>
  <c r="F38" i="15"/>
  <c r="G38" i="15"/>
  <c r="A38" i="15"/>
  <c r="I38" i="15"/>
  <c r="K38" i="15"/>
  <c r="E38" i="15"/>
  <c r="B38" i="15"/>
  <c r="A41" i="15"/>
  <c r="AR19" i="13"/>
  <c r="AS19" i="13" s="1"/>
  <c r="AT19" i="13" s="1"/>
  <c r="AU19" i="13" s="1"/>
  <c r="AV19" i="13" s="1"/>
  <c r="AW19" i="13" s="1"/>
  <c r="AX19" i="13" s="1"/>
  <c r="AY19" i="13" s="1"/>
  <c r="AZ19" i="13" s="1"/>
  <c r="BA19" i="13" s="1"/>
  <c r="BB19" i="13" s="1"/>
  <c r="BD19" i="13"/>
  <c r="BE19" i="13" s="1"/>
  <c r="BF19" i="13" s="1"/>
  <c r="BG19" i="13" s="1"/>
  <c r="BH19" i="13" s="1"/>
  <c r="BI19" i="13" s="1"/>
  <c r="BJ19" i="13" s="1"/>
  <c r="BK19" i="13" s="1"/>
  <c r="BL19" i="13" s="1"/>
  <c r="BM19" i="13" s="1"/>
  <c r="BN19" i="13" s="1"/>
  <c r="BO19" i="13" s="1"/>
  <c r="F21" i="13"/>
  <c r="E75" i="11" l="1"/>
  <c r="E41" i="15"/>
  <c r="B49" i="15"/>
  <c r="E8" i="14" s="1"/>
  <c r="M39" i="15"/>
  <c r="F74" i="11"/>
  <c r="AE8" i="14" s="1"/>
  <c r="AE9" i="14" s="1"/>
  <c r="G74" i="11"/>
  <c r="J65" i="15"/>
  <c r="I65" i="15"/>
  <c r="AB8" i="14"/>
  <c r="AA8" i="14"/>
  <c r="G65" i="15"/>
  <c r="W8" i="14"/>
  <c r="K65" i="15"/>
  <c r="C65" i="15"/>
  <c r="R8" i="14"/>
  <c r="C57" i="15"/>
  <c r="B57" i="15"/>
  <c r="F65" i="15"/>
  <c r="Z8" i="14"/>
  <c r="I57" i="15"/>
  <c r="V8" i="14"/>
  <c r="L65" i="15"/>
  <c r="D57" i="15"/>
  <c r="T8" i="14"/>
  <c r="T9" i="14" s="1"/>
  <c r="Q8" i="14"/>
  <c r="H65" i="15"/>
  <c r="H57" i="15"/>
  <c r="A57" i="15"/>
  <c r="M55" i="15"/>
  <c r="X9" i="14"/>
  <c r="G16" i="21"/>
  <c r="X80" i="14"/>
  <c r="W24" i="21"/>
  <c r="W26" i="21" s="1"/>
  <c r="S9" i="14"/>
  <c r="U49" i="14"/>
  <c r="U45" i="14"/>
  <c r="U20" i="14"/>
  <c r="U19" i="14"/>
  <c r="U48" i="14"/>
  <c r="U44" i="14"/>
  <c r="U17" i="14"/>
  <c r="U46" i="14"/>
  <c r="U23" i="14"/>
  <c r="U50" i="14"/>
  <c r="U27" i="14"/>
  <c r="U13" i="14"/>
  <c r="U29" i="14"/>
  <c r="U34" i="14"/>
  <c r="U18" i="14"/>
  <c r="U42" i="14"/>
  <c r="U26" i="14"/>
  <c r="U47" i="14"/>
  <c r="U39" i="14"/>
  <c r="U24" i="14"/>
  <c r="U14" i="14"/>
  <c r="G62" i="11"/>
  <c r="AF7" i="14" s="1"/>
  <c r="AF8" i="14"/>
  <c r="Z45" i="14"/>
  <c r="Z26" i="14"/>
  <c r="Z18" i="14"/>
  <c r="Z39" i="14"/>
  <c r="Z13" i="14"/>
  <c r="Z20" i="14"/>
  <c r="Z17" i="14"/>
  <c r="Z42" i="14"/>
  <c r="Z19" i="14"/>
  <c r="Z50" i="14"/>
  <c r="Z27" i="14"/>
  <c r="Z44" i="14"/>
  <c r="Z46" i="14"/>
  <c r="Z24" i="14"/>
  <c r="Z34" i="14"/>
  <c r="Z29" i="14"/>
  <c r="Z48" i="14"/>
  <c r="Z47" i="14"/>
  <c r="Z49" i="14"/>
  <c r="Z23" i="14"/>
  <c r="Z14" i="14"/>
  <c r="Y50" i="14"/>
  <c r="Y46" i="14"/>
  <c r="Y42" i="14"/>
  <c r="Y27" i="14"/>
  <c r="Y26" i="14"/>
  <c r="Y17" i="14"/>
  <c r="Y49" i="14"/>
  <c r="Y45" i="14"/>
  <c r="Y20" i="14"/>
  <c r="Y23" i="14"/>
  <c r="Y13" i="14"/>
  <c r="Y18" i="14"/>
  <c r="Y39" i="14"/>
  <c r="Y19" i="14"/>
  <c r="Y34" i="14"/>
  <c r="Y48" i="14"/>
  <c r="Y47" i="14"/>
  <c r="Y29" i="14"/>
  <c r="Y44" i="14"/>
  <c r="Y24" i="14"/>
  <c r="Y14" i="14"/>
  <c r="M53" i="15"/>
  <c r="T24" i="14"/>
  <c r="T49" i="14"/>
  <c r="T42" i="14"/>
  <c r="T50" i="14"/>
  <c r="T34" i="14"/>
  <c r="T23" i="14"/>
  <c r="T45" i="14"/>
  <c r="T48" i="14"/>
  <c r="T29" i="14"/>
  <c r="T39" i="14"/>
  <c r="T18" i="14"/>
  <c r="T13" i="14"/>
  <c r="T20" i="14"/>
  <c r="T17" i="14"/>
  <c r="T19" i="14"/>
  <c r="T27" i="14"/>
  <c r="T47" i="14"/>
  <c r="T46" i="14"/>
  <c r="T26" i="14"/>
  <c r="T44" i="14"/>
  <c r="T14" i="14"/>
  <c r="AA48" i="14"/>
  <c r="AA24" i="14"/>
  <c r="AA47" i="14"/>
  <c r="AA23" i="14"/>
  <c r="AA45" i="14"/>
  <c r="AA49" i="14"/>
  <c r="AA44" i="14"/>
  <c r="AA19" i="14"/>
  <c r="AA50" i="14"/>
  <c r="AA20" i="14"/>
  <c r="AA26" i="14"/>
  <c r="AA17" i="14"/>
  <c r="AA42" i="14"/>
  <c r="AA27" i="14"/>
  <c r="AA13" i="14"/>
  <c r="AA39" i="14"/>
  <c r="AA29" i="14"/>
  <c r="AA18" i="14"/>
  <c r="AA46" i="14"/>
  <c r="AA34" i="14"/>
  <c r="AA14" i="14"/>
  <c r="R47" i="14"/>
  <c r="R42" i="14"/>
  <c r="R27" i="14"/>
  <c r="R17" i="14"/>
  <c r="R44" i="14"/>
  <c r="R24" i="14"/>
  <c r="R23" i="14"/>
  <c r="R49" i="14"/>
  <c r="R26" i="14"/>
  <c r="R18" i="14"/>
  <c r="R34" i="14"/>
  <c r="R48" i="14"/>
  <c r="R13" i="14"/>
  <c r="R50" i="14"/>
  <c r="R19" i="14"/>
  <c r="R29" i="14"/>
  <c r="R46" i="14"/>
  <c r="R20" i="14"/>
  <c r="R39" i="14"/>
  <c r="R45" i="14"/>
  <c r="R14" i="14"/>
  <c r="X34" i="14"/>
  <c r="X23" i="14"/>
  <c r="X46" i="14"/>
  <c r="X49" i="14"/>
  <c r="X18" i="14"/>
  <c r="X17" i="14"/>
  <c r="X27" i="14"/>
  <c r="X42" i="14"/>
  <c r="X45" i="14"/>
  <c r="X48" i="14"/>
  <c r="X29" i="14"/>
  <c r="X50" i="14"/>
  <c r="X39" i="14"/>
  <c r="X13" i="14"/>
  <c r="X26" i="14"/>
  <c r="X44" i="14"/>
  <c r="X24" i="14"/>
  <c r="X47" i="14"/>
  <c r="X19" i="14"/>
  <c r="X20" i="14"/>
  <c r="X14" i="14"/>
  <c r="X15" i="14" s="1"/>
  <c r="Y9" i="14"/>
  <c r="U9" i="14"/>
  <c r="AB13" i="14"/>
  <c r="AB26" i="14"/>
  <c r="AB20" i="14"/>
  <c r="AB39" i="14"/>
  <c r="AB42" i="14"/>
  <c r="AB45" i="14"/>
  <c r="AB48" i="14"/>
  <c r="AB34" i="14"/>
  <c r="AB50" i="14"/>
  <c r="AB18" i="14"/>
  <c r="AB24" i="14"/>
  <c r="AB19" i="14"/>
  <c r="AB29" i="14"/>
  <c r="AB23" i="14"/>
  <c r="AB47" i="14"/>
  <c r="AB17" i="14"/>
  <c r="AB46" i="14"/>
  <c r="AB44" i="14"/>
  <c r="AB27" i="14"/>
  <c r="AB49" i="14"/>
  <c r="AB14" i="14"/>
  <c r="W13" i="14"/>
  <c r="W17" i="14"/>
  <c r="W49" i="14"/>
  <c r="W47" i="14"/>
  <c r="W23" i="14"/>
  <c r="W50" i="14"/>
  <c r="W34" i="14"/>
  <c r="W45" i="14"/>
  <c r="W29" i="14"/>
  <c r="W20" i="14"/>
  <c r="W18" i="14"/>
  <c r="W48" i="14"/>
  <c r="W42" i="14"/>
  <c r="W46" i="14"/>
  <c r="W44" i="14"/>
  <c r="W39" i="14"/>
  <c r="W26" i="14"/>
  <c r="W24" i="14"/>
  <c r="W19" i="14"/>
  <c r="W27" i="14"/>
  <c r="W14" i="14"/>
  <c r="V13" i="14"/>
  <c r="V23" i="14"/>
  <c r="V50" i="14"/>
  <c r="V34" i="14"/>
  <c r="V29" i="14"/>
  <c r="V39" i="14"/>
  <c r="V19" i="14"/>
  <c r="V46" i="14"/>
  <c r="V27" i="14"/>
  <c r="V47" i="14"/>
  <c r="V17" i="14"/>
  <c r="V26" i="14"/>
  <c r="V18" i="14"/>
  <c r="V20" i="14"/>
  <c r="V48" i="14"/>
  <c r="V42" i="14"/>
  <c r="V44" i="14"/>
  <c r="V49" i="14"/>
  <c r="V24" i="14"/>
  <c r="V45" i="14"/>
  <c r="V14" i="14"/>
  <c r="M56" i="15"/>
  <c r="Q49" i="14"/>
  <c r="Q45" i="14"/>
  <c r="Q18" i="14"/>
  <c r="Q27" i="14"/>
  <c r="Q26" i="14"/>
  <c r="Q48" i="14"/>
  <c r="Q44" i="14"/>
  <c r="Q23" i="14"/>
  <c r="Q19" i="14"/>
  <c r="Q50" i="14"/>
  <c r="Q42" i="14"/>
  <c r="Q34" i="14"/>
  <c r="Q29" i="14"/>
  <c r="Q47" i="14"/>
  <c r="Q39" i="14"/>
  <c r="Q17" i="14"/>
  <c r="Q46" i="14"/>
  <c r="Q13" i="14"/>
  <c r="Q20" i="14"/>
  <c r="Q24" i="14"/>
  <c r="AC7" i="14"/>
  <c r="Q14" i="14"/>
  <c r="M64" i="15"/>
  <c r="AE14" i="14"/>
  <c r="AD8" i="19" s="1"/>
  <c r="S42" i="14"/>
  <c r="S49" i="14"/>
  <c r="S26" i="14"/>
  <c r="S47" i="14"/>
  <c r="S29" i="14"/>
  <c r="S13" i="14"/>
  <c r="S19" i="14"/>
  <c r="S45" i="14"/>
  <c r="S20" i="14"/>
  <c r="S24" i="14"/>
  <c r="S27" i="14"/>
  <c r="S17" i="14"/>
  <c r="S23" i="14"/>
  <c r="S50" i="14"/>
  <c r="S18" i="14"/>
  <c r="S48" i="14"/>
  <c r="S39" i="14"/>
  <c r="S46" i="14"/>
  <c r="S44" i="14"/>
  <c r="S34" i="14"/>
  <c r="S14" i="14"/>
  <c r="M41" i="15"/>
  <c r="M49" i="15"/>
  <c r="C8" i="14" s="1"/>
  <c r="E22" i="11" s="1"/>
  <c r="E48" i="15"/>
  <c r="H7" i="14" s="1"/>
  <c r="G48" i="15"/>
  <c r="J7" i="14" s="1"/>
  <c r="L48" i="15"/>
  <c r="O7" i="14" s="1"/>
  <c r="K48" i="15"/>
  <c r="N7" i="14" s="1"/>
  <c r="F48" i="15"/>
  <c r="I7" i="14" s="1"/>
  <c r="H48" i="15"/>
  <c r="K7" i="14" s="1"/>
  <c r="I48" i="15"/>
  <c r="L7" i="14" s="1"/>
  <c r="D48" i="15"/>
  <c r="G7" i="14" s="1"/>
  <c r="C48" i="15"/>
  <c r="F7" i="14" s="1"/>
  <c r="B48" i="15"/>
  <c r="E7" i="14" s="1"/>
  <c r="A48" i="15"/>
  <c r="D7" i="14" s="1"/>
  <c r="J48" i="15"/>
  <c r="M7" i="14" s="1"/>
  <c r="E16" i="13"/>
  <c r="I64" i="14"/>
  <c r="I2" i="14"/>
  <c r="J6" i="14"/>
  <c r="G35" i="15" s="1"/>
  <c r="G51" i="15" s="1"/>
  <c r="I12" i="14"/>
  <c r="E40" i="15"/>
  <c r="E37" i="15"/>
  <c r="L40" i="15"/>
  <c r="L37" i="15"/>
  <c r="K37" i="15"/>
  <c r="K40" i="15"/>
  <c r="F37" i="15"/>
  <c r="F40" i="15"/>
  <c r="I37" i="15"/>
  <c r="I40" i="15"/>
  <c r="D37" i="15"/>
  <c r="D40" i="15"/>
  <c r="C40" i="15"/>
  <c r="C37" i="15"/>
  <c r="G37" i="15"/>
  <c r="G40" i="15"/>
  <c r="H37" i="15"/>
  <c r="H40" i="15"/>
  <c r="B37" i="15"/>
  <c r="B40" i="15"/>
  <c r="M38" i="15"/>
  <c r="A37" i="15"/>
  <c r="A40" i="15"/>
  <c r="J40" i="15"/>
  <c r="J37" i="15"/>
  <c r="F23" i="13"/>
  <c r="F25" i="13" s="1"/>
  <c r="S15" i="14" l="1"/>
  <c r="Z15" i="14"/>
  <c r="F75" i="11"/>
  <c r="R9" i="14"/>
  <c r="Z9" i="14"/>
  <c r="F12" i="13"/>
  <c r="V9" i="14"/>
  <c r="AB9" i="14"/>
  <c r="G75" i="11"/>
  <c r="W9" i="14"/>
  <c r="AA9" i="14"/>
  <c r="M65" i="15"/>
  <c r="AC8" i="14"/>
  <c r="Q9" i="14"/>
  <c r="M57" i="15"/>
  <c r="F22" i="11"/>
  <c r="G22" i="11"/>
  <c r="H16" i="21"/>
  <c r="Y80" i="14"/>
  <c r="X24" i="21"/>
  <c r="X26" i="21" s="1"/>
  <c r="AC14" i="14"/>
  <c r="AB8" i="19" s="1"/>
  <c r="AC17" i="14"/>
  <c r="AB11" i="19" s="1"/>
  <c r="AC42" i="14"/>
  <c r="AB36" i="19" s="1"/>
  <c r="AC48" i="14"/>
  <c r="AB42" i="19" s="1"/>
  <c r="AC49" i="14"/>
  <c r="AB43" i="19" s="1"/>
  <c r="U15" i="14"/>
  <c r="V15" i="14"/>
  <c r="W15" i="14"/>
  <c r="AB15" i="14"/>
  <c r="Y15" i="14"/>
  <c r="AF14" i="14"/>
  <c r="AE8" i="19" s="1"/>
  <c r="AC50" i="14"/>
  <c r="AB44" i="19" s="1"/>
  <c r="AC26" i="14"/>
  <c r="AB20" i="19" s="1"/>
  <c r="T15" i="14"/>
  <c r="AC39" i="14"/>
  <c r="AB33" i="19" s="1"/>
  <c r="AC34" i="14"/>
  <c r="AB28" i="19" s="1"/>
  <c r="AC19" i="14"/>
  <c r="AB13" i="19" s="1"/>
  <c r="AC27" i="14"/>
  <c r="AB21" i="19" s="1"/>
  <c r="AC13" i="14"/>
  <c r="AB7" i="19" s="1"/>
  <c r="Q15" i="14"/>
  <c r="AA15" i="14"/>
  <c r="AC46" i="14"/>
  <c r="AB40" i="19" s="1"/>
  <c r="AC47" i="14"/>
  <c r="AB41" i="19" s="1"/>
  <c r="AC44" i="14"/>
  <c r="AB38" i="19" s="1"/>
  <c r="AC18" i="14"/>
  <c r="AB12" i="19" s="1"/>
  <c r="AC45" i="14"/>
  <c r="AB39" i="19" s="1"/>
  <c r="R15" i="14"/>
  <c r="AF9" i="14"/>
  <c r="I50" i="14"/>
  <c r="I49" i="14"/>
  <c r="I48" i="14"/>
  <c r="I47" i="14"/>
  <c r="I46" i="14"/>
  <c r="I45" i="14"/>
  <c r="I44" i="14"/>
  <c r="I42" i="14"/>
  <c r="I39" i="14"/>
  <c r="I34" i="14"/>
  <c r="I29" i="14"/>
  <c r="I18" i="14"/>
  <c r="I17" i="14"/>
  <c r="I14" i="14"/>
  <c r="M50" i="14"/>
  <c r="M49" i="14"/>
  <c r="M48" i="14"/>
  <c r="M47" i="14"/>
  <c r="M46" i="14"/>
  <c r="M45" i="14"/>
  <c r="M44" i="14"/>
  <c r="M42" i="14"/>
  <c r="M39" i="14"/>
  <c r="M34" i="14"/>
  <c r="M29" i="14"/>
  <c r="M18" i="14"/>
  <c r="M17" i="14"/>
  <c r="M14" i="14"/>
  <c r="N50" i="14"/>
  <c r="N49" i="14"/>
  <c r="N48" i="14"/>
  <c r="N47" i="14"/>
  <c r="N46" i="14"/>
  <c r="N45" i="14"/>
  <c r="N44" i="14"/>
  <c r="N42" i="14"/>
  <c r="N39" i="14"/>
  <c r="N34" i="14"/>
  <c r="N29" i="14"/>
  <c r="N18" i="14"/>
  <c r="N17" i="14"/>
  <c r="N14" i="14"/>
  <c r="E50" i="14"/>
  <c r="E49" i="14"/>
  <c r="E48" i="14"/>
  <c r="E47" i="14"/>
  <c r="E46" i="14"/>
  <c r="E45" i="14"/>
  <c r="E44" i="14"/>
  <c r="E42" i="14"/>
  <c r="E39" i="14"/>
  <c r="E34" i="14"/>
  <c r="E29" i="14"/>
  <c r="E18" i="14"/>
  <c r="E14" i="14"/>
  <c r="E17" i="14"/>
  <c r="K18" i="14"/>
  <c r="K17" i="14"/>
  <c r="K14" i="14"/>
  <c r="K50" i="14"/>
  <c r="K48" i="14"/>
  <c r="K46" i="14"/>
  <c r="K44" i="14"/>
  <c r="K42" i="14"/>
  <c r="K34" i="14"/>
  <c r="K39" i="14"/>
  <c r="K49" i="14"/>
  <c r="K45" i="14"/>
  <c r="K29" i="14"/>
  <c r="K47" i="14"/>
  <c r="J50" i="14"/>
  <c r="J49" i="14"/>
  <c r="J48" i="14"/>
  <c r="J47" i="14"/>
  <c r="J46" i="14"/>
  <c r="J45" i="14"/>
  <c r="J44" i="14"/>
  <c r="J42" i="14"/>
  <c r="J39" i="14"/>
  <c r="J34" i="14"/>
  <c r="J29" i="14"/>
  <c r="J18" i="14"/>
  <c r="J17" i="14"/>
  <c r="J14" i="14"/>
  <c r="F50" i="14"/>
  <c r="F49" i="14"/>
  <c r="F48" i="14"/>
  <c r="F47" i="14"/>
  <c r="F46" i="14"/>
  <c r="F45" i="14"/>
  <c r="F44" i="14"/>
  <c r="F42" i="14"/>
  <c r="F39" i="14"/>
  <c r="F34" i="14"/>
  <c r="F29" i="14"/>
  <c r="F18" i="14"/>
  <c r="F17" i="14"/>
  <c r="F14" i="14"/>
  <c r="H49" i="14"/>
  <c r="H47" i="14"/>
  <c r="H45" i="14"/>
  <c r="H39" i="14"/>
  <c r="H29" i="14"/>
  <c r="H44" i="14"/>
  <c r="H50" i="14"/>
  <c r="H48" i="14"/>
  <c r="H46" i="14"/>
  <c r="H42" i="14"/>
  <c r="H34" i="14"/>
  <c r="H14" i="14"/>
  <c r="H18" i="14"/>
  <c r="H17" i="14"/>
  <c r="G18" i="14"/>
  <c r="G17" i="14"/>
  <c r="G14" i="14"/>
  <c r="G49" i="14"/>
  <c r="G47" i="14"/>
  <c r="G45" i="14"/>
  <c r="G39" i="14"/>
  <c r="G29" i="14"/>
  <c r="G46" i="14"/>
  <c r="G48" i="14"/>
  <c r="G50" i="14"/>
  <c r="G34" i="14"/>
  <c r="G44" i="14"/>
  <c r="G42" i="14"/>
  <c r="D50" i="14"/>
  <c r="D48" i="14"/>
  <c r="D46" i="14"/>
  <c r="D44" i="14"/>
  <c r="D42" i="14"/>
  <c r="D34" i="14"/>
  <c r="D47" i="14"/>
  <c r="D39" i="14"/>
  <c r="D49" i="14"/>
  <c r="D45" i="14"/>
  <c r="D29" i="14"/>
  <c r="D17" i="14"/>
  <c r="D18" i="14"/>
  <c r="D14" i="14"/>
  <c r="L50" i="14"/>
  <c r="L48" i="14"/>
  <c r="L46" i="14"/>
  <c r="L44" i="14"/>
  <c r="L42" i="14"/>
  <c r="L34" i="14"/>
  <c r="L49" i="14"/>
  <c r="L45" i="14"/>
  <c r="L29" i="14"/>
  <c r="L47" i="14"/>
  <c r="L39" i="14"/>
  <c r="L17" i="14"/>
  <c r="L14" i="14"/>
  <c r="L18" i="14"/>
  <c r="O18" i="14"/>
  <c r="O17" i="14"/>
  <c r="O14" i="14"/>
  <c r="O49" i="14"/>
  <c r="O47" i="14"/>
  <c r="O45" i="14"/>
  <c r="O39" i="14"/>
  <c r="O29" i="14"/>
  <c r="O48" i="14"/>
  <c r="O42" i="14"/>
  <c r="O44" i="14"/>
  <c r="O46" i="14"/>
  <c r="O50" i="14"/>
  <c r="O34" i="14"/>
  <c r="E13" i="14"/>
  <c r="F13" i="14"/>
  <c r="H13" i="14"/>
  <c r="M13" i="14"/>
  <c r="G13" i="14"/>
  <c r="N13" i="14"/>
  <c r="K13" i="14"/>
  <c r="J13" i="14"/>
  <c r="I13" i="14"/>
  <c r="D13" i="14"/>
  <c r="L13" i="14"/>
  <c r="O13" i="14"/>
  <c r="M48" i="15"/>
  <c r="C7" i="14" s="1"/>
  <c r="E21" i="11" s="1"/>
  <c r="F9" i="14"/>
  <c r="L9" i="14"/>
  <c r="O9" i="14"/>
  <c r="N9" i="14"/>
  <c r="J9" i="14"/>
  <c r="G9" i="14"/>
  <c r="M9" i="14"/>
  <c r="K9" i="14"/>
  <c r="H9" i="14"/>
  <c r="I9" i="14"/>
  <c r="J64" i="14"/>
  <c r="J2" i="14"/>
  <c r="K6" i="14"/>
  <c r="H35" i="15" s="1"/>
  <c r="H51" i="15" s="1"/>
  <c r="J12" i="14"/>
  <c r="M40" i="15"/>
  <c r="M37" i="15"/>
  <c r="G20" i="13"/>
  <c r="F13" i="13" l="1"/>
  <c r="F14" i="13"/>
  <c r="AC9" i="14"/>
  <c r="G21" i="11"/>
  <c r="F21" i="11"/>
  <c r="I16" i="21"/>
  <c r="Z80" i="14"/>
  <c r="Y24" i="21"/>
  <c r="Y26" i="21" s="1"/>
  <c r="Q16" i="14"/>
  <c r="AC15" i="14"/>
  <c r="AB9" i="19" s="1"/>
  <c r="K15" i="14"/>
  <c r="D15" i="14"/>
  <c r="J15" i="14"/>
  <c r="N15" i="14"/>
  <c r="F15" i="14"/>
  <c r="H15" i="14"/>
  <c r="L15" i="14"/>
  <c r="M15" i="14"/>
  <c r="O15" i="14"/>
  <c r="I15" i="14"/>
  <c r="G15" i="14"/>
  <c r="E15" i="14"/>
  <c r="P39" i="14"/>
  <c r="P34" i="14"/>
  <c r="P29" i="14"/>
  <c r="P42" i="14"/>
  <c r="C9" i="14"/>
  <c r="P18" i="14"/>
  <c r="P8" i="14"/>
  <c r="E9" i="14"/>
  <c r="P45" i="14"/>
  <c r="P44" i="14"/>
  <c r="P50" i="14"/>
  <c r="P49" i="14"/>
  <c r="P46" i="14"/>
  <c r="P47" i="14"/>
  <c r="P48" i="14"/>
  <c r="P14" i="14"/>
  <c r="K64" i="14"/>
  <c r="K2" i="14"/>
  <c r="L6" i="14"/>
  <c r="I35" i="15" s="1"/>
  <c r="I51" i="15" s="1"/>
  <c r="K12" i="14"/>
  <c r="P7" i="14"/>
  <c r="D9" i="14"/>
  <c r="G21" i="13"/>
  <c r="F15" i="13" l="1"/>
  <c r="J16" i="21"/>
  <c r="AA80" i="14"/>
  <c r="Z24" i="21"/>
  <c r="Z26" i="21" s="1"/>
  <c r="L1" i="19"/>
  <c r="K32" i="19" s="1"/>
  <c r="L64" i="14"/>
  <c r="L2" i="14"/>
  <c r="M6" i="14"/>
  <c r="J35" i="15" s="1"/>
  <c r="J51" i="15" s="1"/>
  <c r="L12" i="14"/>
  <c r="P9" i="14"/>
  <c r="G23" i="13"/>
  <c r="G25" i="13" s="1"/>
  <c r="F16" i="13" l="1"/>
  <c r="K16" i="21"/>
  <c r="AB80" i="14"/>
  <c r="AC80" i="14" s="1"/>
  <c r="AA24" i="21"/>
  <c r="AA26" i="21" s="1"/>
  <c r="I32" i="19"/>
  <c r="AF38" i="14"/>
  <c r="AE32" i="19" s="1"/>
  <c r="AD38" i="14"/>
  <c r="AC32" i="19" s="1"/>
  <c r="AE38" i="14"/>
  <c r="AD32" i="19" s="1"/>
  <c r="K27" i="19"/>
  <c r="K13" i="19"/>
  <c r="K14" i="19"/>
  <c r="K8" i="19"/>
  <c r="K22" i="19"/>
  <c r="K42" i="19"/>
  <c r="K25" i="19"/>
  <c r="K31" i="19"/>
  <c r="K20" i="19"/>
  <c r="K15" i="19"/>
  <c r="K37" i="19"/>
  <c r="K36" i="19"/>
  <c r="K17" i="19"/>
  <c r="K11" i="19"/>
  <c r="K43" i="19"/>
  <c r="K34" i="19"/>
  <c r="K40" i="19"/>
  <c r="K24" i="19"/>
  <c r="K33" i="19"/>
  <c r="K30" i="19"/>
  <c r="K19" i="19"/>
  <c r="K35" i="19"/>
  <c r="K21" i="19"/>
  <c r="K18" i="19"/>
  <c r="K12" i="19"/>
  <c r="K28" i="19"/>
  <c r="K44" i="19"/>
  <c r="K7" i="19"/>
  <c r="K41" i="19"/>
  <c r="K38" i="19"/>
  <c r="K23" i="19"/>
  <c r="K39" i="19"/>
  <c r="K29" i="19"/>
  <c r="K26" i="19"/>
  <c r="K16" i="19"/>
  <c r="C38" i="14"/>
  <c r="J32" i="19"/>
  <c r="L32" i="19"/>
  <c r="M64" i="14"/>
  <c r="M2" i="14"/>
  <c r="N6" i="14"/>
  <c r="K35" i="15" s="1"/>
  <c r="K51" i="15" s="1"/>
  <c r="M12" i="14"/>
  <c r="H20" i="13"/>
  <c r="AA2" i="19" l="1"/>
  <c r="AA7" i="19"/>
  <c r="X38" i="14"/>
  <c r="S38" i="14"/>
  <c r="Z38" i="14"/>
  <c r="V38" i="14"/>
  <c r="Q38" i="14"/>
  <c r="Y38" i="14"/>
  <c r="W38" i="14"/>
  <c r="U38" i="14"/>
  <c r="T38" i="14"/>
  <c r="R38" i="14"/>
  <c r="AB38" i="14"/>
  <c r="AA38" i="14"/>
  <c r="E38" i="14"/>
  <c r="K38" i="14"/>
  <c r="D38" i="14"/>
  <c r="O38" i="14"/>
  <c r="I38" i="14"/>
  <c r="N38" i="14"/>
  <c r="F38" i="14"/>
  <c r="G38" i="14"/>
  <c r="M38" i="14"/>
  <c r="J38" i="14"/>
  <c r="H38" i="14"/>
  <c r="L38" i="14"/>
  <c r="AD37" i="14"/>
  <c r="AC31" i="19" s="1"/>
  <c r="AE37" i="14"/>
  <c r="AD31" i="19" s="1"/>
  <c r="AF37" i="14"/>
  <c r="AE31" i="19" s="1"/>
  <c r="AD33" i="14"/>
  <c r="AC27" i="19" s="1"/>
  <c r="AE33" i="14"/>
  <c r="AD27" i="19" s="1"/>
  <c r="AF33" i="14"/>
  <c r="AE27" i="19" s="1"/>
  <c r="AD27" i="14"/>
  <c r="AC21" i="19" s="1"/>
  <c r="AE27" i="14"/>
  <c r="AD21" i="19" s="1"/>
  <c r="AF27" i="14"/>
  <c r="AE21" i="19" s="1"/>
  <c r="G12" i="13"/>
  <c r="G13" i="13" s="1"/>
  <c r="H21" i="13"/>
  <c r="H23" i="13" s="1"/>
  <c r="H25" i="13" s="1"/>
  <c r="L16" i="21"/>
  <c r="AB24" i="21"/>
  <c r="AB26" i="21" s="1"/>
  <c r="AD29" i="14"/>
  <c r="AC23" i="19" s="1"/>
  <c r="AE29" i="14"/>
  <c r="AD23" i="19" s="1"/>
  <c r="AF29" i="14"/>
  <c r="AE23" i="19" s="1"/>
  <c r="AD28" i="14"/>
  <c r="AC22" i="19" s="1"/>
  <c r="AE28" i="14"/>
  <c r="AD22" i="19" s="1"/>
  <c r="AF28" i="14"/>
  <c r="AE22" i="19" s="1"/>
  <c r="I16" i="19"/>
  <c r="AF22" i="14"/>
  <c r="AE16" i="19" s="1"/>
  <c r="AE22" i="14"/>
  <c r="AD16" i="19" s="1"/>
  <c r="AD22" i="14"/>
  <c r="AC16" i="19" s="1"/>
  <c r="I23" i="19"/>
  <c r="I44" i="19"/>
  <c r="AD50" i="14"/>
  <c r="AC44" i="19" s="1"/>
  <c r="AF50" i="14"/>
  <c r="AE44" i="19" s="1"/>
  <c r="AE50" i="14"/>
  <c r="AD44" i="19" s="1"/>
  <c r="I21" i="19"/>
  <c r="I25" i="19"/>
  <c r="AD31" i="14"/>
  <c r="AC25" i="19" s="1"/>
  <c r="AE31" i="14"/>
  <c r="AD25" i="19" s="1"/>
  <c r="AF31" i="14"/>
  <c r="AE25" i="19" s="1"/>
  <c r="I14" i="19"/>
  <c r="AE20" i="14"/>
  <c r="AD14" i="19" s="1"/>
  <c r="AD20" i="14"/>
  <c r="AC14" i="19" s="1"/>
  <c r="AF20" i="14"/>
  <c r="AE14" i="19" s="1"/>
  <c r="I26" i="19"/>
  <c r="AE32" i="14"/>
  <c r="AD26" i="19" s="1"/>
  <c r="AD32" i="14"/>
  <c r="AC26" i="19" s="1"/>
  <c r="AF32" i="14"/>
  <c r="AE26" i="19" s="1"/>
  <c r="I28" i="19"/>
  <c r="AF34" i="14"/>
  <c r="AE28" i="19" s="1"/>
  <c r="AD34" i="14"/>
  <c r="AC28" i="19" s="1"/>
  <c r="AE34" i="14"/>
  <c r="AD28" i="19" s="1"/>
  <c r="I24" i="19"/>
  <c r="AF30" i="14"/>
  <c r="AE24" i="19" s="1"/>
  <c r="AD30" i="14"/>
  <c r="AC24" i="19" s="1"/>
  <c r="AE30" i="14"/>
  <c r="AD24" i="19" s="1"/>
  <c r="I11" i="19"/>
  <c r="AF17" i="14"/>
  <c r="AE11" i="19" s="1"/>
  <c r="AE17" i="14"/>
  <c r="AD11" i="19" s="1"/>
  <c r="AD17" i="14"/>
  <c r="AC11" i="19" s="1"/>
  <c r="I15" i="19"/>
  <c r="AF21" i="14"/>
  <c r="AE15" i="19" s="1"/>
  <c r="AE21" i="14"/>
  <c r="AD15" i="19" s="1"/>
  <c r="AD21" i="14"/>
  <c r="AC15" i="19" s="1"/>
  <c r="I13" i="19"/>
  <c r="AD19" i="14"/>
  <c r="AC13" i="19" s="1"/>
  <c r="AF19" i="14"/>
  <c r="AE13" i="19" s="1"/>
  <c r="AE19" i="14"/>
  <c r="AD13" i="19" s="1"/>
  <c r="I29" i="19"/>
  <c r="AD35" i="14"/>
  <c r="AC29" i="19" s="1"/>
  <c r="AE35" i="14"/>
  <c r="AD29" i="19" s="1"/>
  <c r="AF35" i="14"/>
  <c r="AE29" i="19" s="1"/>
  <c r="I12" i="19"/>
  <c r="AF18" i="14"/>
  <c r="AE12" i="19" s="1"/>
  <c r="AE18" i="14"/>
  <c r="AD12" i="19" s="1"/>
  <c r="AD18" i="14"/>
  <c r="AC12" i="19" s="1"/>
  <c r="I19" i="19"/>
  <c r="AF25" i="14"/>
  <c r="AE19" i="19" s="1"/>
  <c r="AE25" i="14"/>
  <c r="AD19" i="19" s="1"/>
  <c r="AD25" i="14"/>
  <c r="AC19" i="19" s="1"/>
  <c r="I17" i="19"/>
  <c r="AD23" i="14"/>
  <c r="AC17" i="19" s="1"/>
  <c r="AF23" i="14"/>
  <c r="AE17" i="19" s="1"/>
  <c r="AE23" i="14"/>
  <c r="AD17" i="19" s="1"/>
  <c r="I20" i="19"/>
  <c r="AF26" i="14"/>
  <c r="AE20" i="19" s="1"/>
  <c r="AE26" i="14"/>
  <c r="AD20" i="19" s="1"/>
  <c r="AD26" i="14"/>
  <c r="AC20" i="19" s="1"/>
  <c r="I22" i="19"/>
  <c r="I27" i="19"/>
  <c r="I7" i="19"/>
  <c r="AD13" i="14"/>
  <c r="AC7" i="19" s="1"/>
  <c r="AF13" i="14"/>
  <c r="AE7" i="19" s="1"/>
  <c r="AE13" i="14"/>
  <c r="AD7" i="19" s="1"/>
  <c r="I18" i="19"/>
  <c r="AE24" i="14"/>
  <c r="AD18" i="19" s="1"/>
  <c r="AD24" i="14"/>
  <c r="AC18" i="19" s="1"/>
  <c r="AF24" i="14"/>
  <c r="AE18" i="19" s="1"/>
  <c r="I30" i="19"/>
  <c r="AE36" i="14"/>
  <c r="AD30" i="19" s="1"/>
  <c r="AD36" i="14"/>
  <c r="AC30" i="19" s="1"/>
  <c r="AF36" i="14"/>
  <c r="AE30" i="19" s="1"/>
  <c r="I31" i="19"/>
  <c r="I8" i="19"/>
  <c r="I36" i="19"/>
  <c r="AE42" i="14"/>
  <c r="AD36" i="19" s="1"/>
  <c r="AD42" i="14"/>
  <c r="AC36" i="19" s="1"/>
  <c r="AF42" i="14"/>
  <c r="AE36" i="19" s="1"/>
  <c r="I37" i="19"/>
  <c r="AF43" i="14"/>
  <c r="AE37" i="19" s="1"/>
  <c r="AE43" i="14"/>
  <c r="AD37" i="19" s="1"/>
  <c r="AD43" i="14"/>
  <c r="AC37" i="19" s="1"/>
  <c r="I35" i="19"/>
  <c r="AD41" i="14"/>
  <c r="AC35" i="19" s="1"/>
  <c r="AF41" i="14"/>
  <c r="AE35" i="19" s="1"/>
  <c r="AE41" i="14"/>
  <c r="AD35" i="19" s="1"/>
  <c r="I42" i="19"/>
  <c r="AF48" i="14"/>
  <c r="AE42" i="19" s="1"/>
  <c r="AE48" i="14"/>
  <c r="AD42" i="19" s="1"/>
  <c r="AD48" i="14"/>
  <c r="AC42" i="19" s="1"/>
  <c r="I39" i="19"/>
  <c r="AD45" i="14"/>
  <c r="AC39" i="19" s="1"/>
  <c r="AF45" i="14"/>
  <c r="AE39" i="19" s="1"/>
  <c r="AE45" i="14"/>
  <c r="AD39" i="19" s="1"/>
  <c r="I34" i="19"/>
  <c r="AF40" i="14"/>
  <c r="AE34" i="19" s="1"/>
  <c r="AE40" i="14"/>
  <c r="AD34" i="19" s="1"/>
  <c r="AD40" i="14"/>
  <c r="AC34" i="19" s="1"/>
  <c r="I33" i="19"/>
  <c r="AF39" i="14"/>
  <c r="AE33" i="19" s="1"/>
  <c r="AE39" i="14"/>
  <c r="AD33" i="19" s="1"/>
  <c r="AD39" i="14"/>
  <c r="AC33" i="19" s="1"/>
  <c r="I43" i="19"/>
  <c r="AD49" i="14"/>
  <c r="AC43" i="19" s="1"/>
  <c r="AF49" i="14"/>
  <c r="AE43" i="19" s="1"/>
  <c r="AE49" i="14"/>
  <c r="AD43" i="19" s="1"/>
  <c r="I38" i="19"/>
  <c r="AF44" i="14"/>
  <c r="AE38" i="19" s="1"/>
  <c r="AE44" i="14"/>
  <c r="AD38" i="19" s="1"/>
  <c r="AD44" i="14"/>
  <c r="AC38" i="19" s="1"/>
  <c r="I41" i="19"/>
  <c r="AF47" i="14"/>
  <c r="AE41" i="19" s="1"/>
  <c r="AE47" i="14"/>
  <c r="AD41" i="19" s="1"/>
  <c r="AD47" i="14"/>
  <c r="AC41" i="19" s="1"/>
  <c r="I40" i="19"/>
  <c r="AE46" i="14"/>
  <c r="AD40" i="19" s="1"/>
  <c r="AD46" i="14"/>
  <c r="AC40" i="19" s="1"/>
  <c r="AF46" i="14"/>
  <c r="AE40" i="19" s="1"/>
  <c r="J27" i="19"/>
  <c r="J13" i="19"/>
  <c r="B27" i="18" s="1"/>
  <c r="C33" i="14"/>
  <c r="L27" i="19"/>
  <c r="C20" i="14"/>
  <c r="L13" i="19"/>
  <c r="L8" i="19"/>
  <c r="J14" i="19"/>
  <c r="B28" i="18" s="1"/>
  <c r="L14" i="19"/>
  <c r="L20" i="19"/>
  <c r="C19" i="14"/>
  <c r="C14" i="14"/>
  <c r="L31" i="19"/>
  <c r="J42" i="19"/>
  <c r="C21" i="14"/>
  <c r="J8" i="19"/>
  <c r="B22" i="18" s="1"/>
  <c r="L22" i="19"/>
  <c r="L15" i="19"/>
  <c r="L38" i="19"/>
  <c r="C30" i="14"/>
  <c r="C28" i="14"/>
  <c r="J17" i="19"/>
  <c r="B31" i="18" s="1"/>
  <c r="C27" i="14"/>
  <c r="E27" i="14" s="1"/>
  <c r="L25" i="19"/>
  <c r="L42" i="19"/>
  <c r="C31" i="14"/>
  <c r="J37" i="19"/>
  <c r="L11" i="19"/>
  <c r="L28" i="19"/>
  <c r="C48" i="14"/>
  <c r="J22" i="19"/>
  <c r="B36" i="18" s="1"/>
  <c r="J25" i="19"/>
  <c r="B39" i="18" s="1"/>
  <c r="C22" i="14"/>
  <c r="C43" i="14"/>
  <c r="J31" i="19"/>
  <c r="J20" i="19"/>
  <c r="B34" i="18" s="1"/>
  <c r="C37" i="14"/>
  <c r="C26" i="14"/>
  <c r="C42" i="14"/>
  <c r="L34" i="19"/>
  <c r="C18" i="14"/>
  <c r="J40" i="19"/>
  <c r="L40" i="19"/>
  <c r="L18" i="19"/>
  <c r="C46" i="14"/>
  <c r="C23" i="14"/>
  <c r="K10" i="19"/>
  <c r="AA10" i="19" s="1"/>
  <c r="J34" i="19"/>
  <c r="L30" i="19"/>
  <c r="K9" i="19"/>
  <c r="AA9" i="19" s="1"/>
  <c r="L36" i="19"/>
  <c r="C40" i="14"/>
  <c r="J43" i="19"/>
  <c r="C36" i="14"/>
  <c r="L39" i="19"/>
  <c r="C13" i="14"/>
  <c r="J24" i="19"/>
  <c r="B38" i="18" s="1"/>
  <c r="J15" i="19"/>
  <c r="B29" i="18" s="1"/>
  <c r="J36" i="19"/>
  <c r="L37" i="19"/>
  <c r="J21" i="19"/>
  <c r="B35" i="18" s="1"/>
  <c r="L33" i="19"/>
  <c r="C49" i="14"/>
  <c r="J44" i="19"/>
  <c r="J35" i="19"/>
  <c r="C39" i="14"/>
  <c r="C17" i="14"/>
  <c r="L16" i="19"/>
  <c r="C50" i="14"/>
  <c r="L21" i="19"/>
  <c r="J33" i="19"/>
  <c r="L24" i="19"/>
  <c r="L43" i="19"/>
  <c r="J11" i="19"/>
  <c r="B25" i="18" s="1"/>
  <c r="L17" i="19"/>
  <c r="J16" i="19"/>
  <c r="B30" i="18" s="1"/>
  <c r="J23" i="19"/>
  <c r="B37" i="18" s="1"/>
  <c r="L44" i="19"/>
  <c r="L23" i="19"/>
  <c r="C29" i="14"/>
  <c r="J18" i="19"/>
  <c r="B32" i="18" s="1"/>
  <c r="J30" i="19"/>
  <c r="C45" i="14"/>
  <c r="L7" i="19"/>
  <c r="C24" i="14"/>
  <c r="J39" i="19"/>
  <c r="J7" i="19"/>
  <c r="B21" i="18" s="1"/>
  <c r="J28" i="19"/>
  <c r="C41" i="14"/>
  <c r="C34" i="14"/>
  <c r="J19" i="19"/>
  <c r="B33" i="18" s="1"/>
  <c r="J38" i="19"/>
  <c r="J26" i="19"/>
  <c r="B40" i="18" s="1"/>
  <c r="C47" i="14"/>
  <c r="C44" i="14"/>
  <c r="C32" i="14"/>
  <c r="J12" i="19"/>
  <c r="B26" i="18" s="1"/>
  <c r="L35" i="19"/>
  <c r="C25" i="14"/>
  <c r="J29" i="19"/>
  <c r="L41" i="19"/>
  <c r="L29" i="19"/>
  <c r="J41" i="19"/>
  <c r="L12" i="19"/>
  <c r="L19" i="19"/>
  <c r="L26" i="19"/>
  <c r="C35" i="14"/>
  <c r="N64" i="14"/>
  <c r="N2" i="14"/>
  <c r="O6" i="14"/>
  <c r="N12" i="14"/>
  <c r="W43" i="14" l="1"/>
  <c r="R43" i="14"/>
  <c r="AB43" i="14"/>
  <c r="U43" i="14"/>
  <c r="V43" i="14"/>
  <c r="Z43" i="14"/>
  <c r="AA43" i="14"/>
  <c r="X43" i="14"/>
  <c r="S43" i="14"/>
  <c r="T43" i="14"/>
  <c r="Y43" i="14"/>
  <c r="Q43" i="14"/>
  <c r="AC43" i="14" s="1"/>
  <c r="AB37" i="19" s="1"/>
  <c r="E43" i="14"/>
  <c r="H43" i="14"/>
  <c r="L43" i="14"/>
  <c r="F43" i="14"/>
  <c r="M43" i="14"/>
  <c r="J43" i="14"/>
  <c r="G43" i="14"/>
  <c r="D43" i="14"/>
  <c r="I43" i="14"/>
  <c r="N43" i="14"/>
  <c r="K43" i="14"/>
  <c r="O43" i="14"/>
  <c r="U41" i="14"/>
  <c r="Z41" i="14"/>
  <c r="AB41" i="14"/>
  <c r="Q41" i="14"/>
  <c r="S41" i="14"/>
  <c r="T41" i="14"/>
  <c r="W41" i="14"/>
  <c r="AA41" i="14"/>
  <c r="V41" i="14"/>
  <c r="X41" i="14"/>
  <c r="Y41" i="14"/>
  <c r="R41" i="14"/>
  <c r="G41" i="14"/>
  <c r="D41" i="14"/>
  <c r="O41" i="14"/>
  <c r="F41" i="14"/>
  <c r="K41" i="14"/>
  <c r="H41" i="14"/>
  <c r="L41" i="14"/>
  <c r="I41" i="14"/>
  <c r="M41" i="14"/>
  <c r="N41" i="14"/>
  <c r="E41" i="14"/>
  <c r="J41" i="14"/>
  <c r="AB40" i="14"/>
  <c r="V40" i="14"/>
  <c r="T40" i="14"/>
  <c r="AA40" i="14"/>
  <c r="S40" i="14"/>
  <c r="U40" i="14"/>
  <c r="Y40" i="14"/>
  <c r="R40" i="14"/>
  <c r="Q40" i="14"/>
  <c r="Z40" i="14"/>
  <c r="X40" i="14"/>
  <c r="W40" i="14"/>
  <c r="L40" i="14"/>
  <c r="D40" i="14"/>
  <c r="M40" i="14"/>
  <c r="G40" i="14"/>
  <c r="I40" i="14"/>
  <c r="N40" i="14"/>
  <c r="F40" i="14"/>
  <c r="O40" i="14"/>
  <c r="H40" i="14"/>
  <c r="E40" i="14"/>
  <c r="K40" i="14"/>
  <c r="J40" i="14"/>
  <c r="U37" i="14"/>
  <c r="T37" i="14"/>
  <c r="R37" i="14"/>
  <c r="W37" i="14"/>
  <c r="AA37" i="14"/>
  <c r="AB37" i="14"/>
  <c r="Z37" i="14"/>
  <c r="X37" i="14"/>
  <c r="Y37" i="14"/>
  <c r="V37" i="14"/>
  <c r="Q37" i="14"/>
  <c r="S37" i="14"/>
  <c r="G37" i="14"/>
  <c r="D37" i="14"/>
  <c r="M37" i="14"/>
  <c r="E37" i="14"/>
  <c r="J37" i="14"/>
  <c r="L37" i="14"/>
  <c r="K37" i="14"/>
  <c r="O37" i="14"/>
  <c r="I37" i="14"/>
  <c r="N37" i="14"/>
  <c r="F37" i="14"/>
  <c r="H37" i="14"/>
  <c r="Y31" i="14"/>
  <c r="R31" i="14"/>
  <c r="AB31" i="14"/>
  <c r="V31" i="14"/>
  <c r="Z31" i="14"/>
  <c r="X31" i="14"/>
  <c r="S31" i="14"/>
  <c r="U31" i="14"/>
  <c r="T31" i="14"/>
  <c r="AA31" i="14"/>
  <c r="Q31" i="14"/>
  <c r="W31" i="14"/>
  <c r="P38" i="14"/>
  <c r="T30" i="14"/>
  <c r="W30" i="14"/>
  <c r="V30" i="14"/>
  <c r="U30" i="14"/>
  <c r="AB30" i="14"/>
  <c r="Q30" i="14"/>
  <c r="S30" i="14"/>
  <c r="Z30" i="14"/>
  <c r="Y30" i="14"/>
  <c r="AA30" i="14"/>
  <c r="R30" i="14"/>
  <c r="X30" i="14"/>
  <c r="AC38" i="14"/>
  <c r="AB32" i="19" s="1"/>
  <c r="Y33" i="14"/>
  <c r="U33" i="14"/>
  <c r="AB33" i="14"/>
  <c r="Z33" i="14"/>
  <c r="AA33" i="14"/>
  <c r="Q33" i="14"/>
  <c r="R33" i="14"/>
  <c r="T33" i="14"/>
  <c r="X33" i="14"/>
  <c r="W33" i="14"/>
  <c r="V33" i="14"/>
  <c r="S33" i="14"/>
  <c r="Z28" i="14"/>
  <c r="AB28" i="14"/>
  <c r="V28" i="14"/>
  <c r="S28" i="14"/>
  <c r="U28" i="14"/>
  <c r="X28" i="14"/>
  <c r="T28" i="14"/>
  <c r="R28" i="14"/>
  <c r="W28" i="14"/>
  <c r="Y28" i="14"/>
  <c r="AA28" i="14"/>
  <c r="Q28" i="14"/>
  <c r="Z32" i="14"/>
  <c r="T32" i="14"/>
  <c r="AA32" i="14"/>
  <c r="W32" i="14"/>
  <c r="Q32" i="14"/>
  <c r="Y32" i="14"/>
  <c r="X32" i="14"/>
  <c r="V32" i="14"/>
  <c r="AB32" i="14"/>
  <c r="U32" i="14"/>
  <c r="R32" i="14"/>
  <c r="S32" i="14"/>
  <c r="I22" i="14"/>
  <c r="Y22" i="14"/>
  <c r="R22" i="14"/>
  <c r="AB22" i="14"/>
  <c r="S22" i="14"/>
  <c r="U22" i="14"/>
  <c r="T22" i="14"/>
  <c r="AA22" i="14"/>
  <c r="W22" i="14"/>
  <c r="Z22" i="14"/>
  <c r="X22" i="14"/>
  <c r="Q22" i="14"/>
  <c r="V22" i="14"/>
  <c r="G14" i="13"/>
  <c r="G15" i="13" s="1"/>
  <c r="M16" i="21"/>
  <c r="AD80" i="14"/>
  <c r="AC24" i="21"/>
  <c r="AC26" i="21" s="1"/>
  <c r="Y35" i="14"/>
  <c r="U35" i="14"/>
  <c r="Q35" i="14"/>
  <c r="AB35" i="14"/>
  <c r="X35" i="14"/>
  <c r="T35" i="14"/>
  <c r="V35" i="14"/>
  <c r="S35" i="14"/>
  <c r="Z35" i="14"/>
  <c r="R35" i="14"/>
  <c r="W35" i="14"/>
  <c r="AA35" i="14"/>
  <c r="AA25" i="14"/>
  <c r="W25" i="14"/>
  <c r="S25" i="14"/>
  <c r="Z25" i="14"/>
  <c r="V25" i="14"/>
  <c r="R25" i="14"/>
  <c r="U25" i="14"/>
  <c r="AB25" i="14"/>
  <c r="Y25" i="14"/>
  <c r="Q25" i="14"/>
  <c r="X25" i="14"/>
  <c r="T25" i="14"/>
  <c r="I10" i="19"/>
  <c r="AA21" i="14"/>
  <c r="W21" i="14"/>
  <c r="S21" i="14"/>
  <c r="Z21" i="14"/>
  <c r="V21" i="14"/>
  <c r="R21" i="14"/>
  <c r="U21" i="14"/>
  <c r="T21" i="14"/>
  <c r="Y21" i="14"/>
  <c r="Q21" i="14"/>
  <c r="X21" i="14"/>
  <c r="AB21" i="14"/>
  <c r="Z36" i="14"/>
  <c r="V36" i="14"/>
  <c r="R36" i="14"/>
  <c r="Y36" i="14"/>
  <c r="U36" i="14"/>
  <c r="Q36" i="14"/>
  <c r="W36" i="14"/>
  <c r="T36" i="14"/>
  <c r="AA36" i="14"/>
  <c r="S36" i="14"/>
  <c r="X36" i="14"/>
  <c r="AB36" i="14"/>
  <c r="I9" i="19"/>
  <c r="AE16" i="14"/>
  <c r="AD10" i="19" s="1"/>
  <c r="AE15" i="14"/>
  <c r="AD9" i="19" s="1"/>
  <c r="AF16" i="14"/>
  <c r="AE10" i="19" s="1"/>
  <c r="AF15" i="14"/>
  <c r="AE9" i="19" s="1"/>
  <c r="AD16" i="14"/>
  <c r="AC10" i="19" s="1"/>
  <c r="AD15" i="14"/>
  <c r="AC9" i="19" s="1"/>
  <c r="E23" i="14"/>
  <c r="F28" i="14"/>
  <c r="G36" i="14"/>
  <c r="D36" i="14"/>
  <c r="L36" i="14"/>
  <c r="O36" i="14"/>
  <c r="I36" i="14"/>
  <c r="M36" i="14"/>
  <c r="N36" i="14"/>
  <c r="E36" i="14"/>
  <c r="K36" i="14"/>
  <c r="J36" i="14"/>
  <c r="F36" i="14"/>
  <c r="H36" i="14"/>
  <c r="I35" i="14"/>
  <c r="N35" i="14"/>
  <c r="K35" i="14"/>
  <c r="F35" i="14"/>
  <c r="D35" i="14"/>
  <c r="L35" i="14"/>
  <c r="O35" i="14"/>
  <c r="M35" i="14"/>
  <c r="E35" i="14"/>
  <c r="J35" i="14"/>
  <c r="H35" i="14"/>
  <c r="G35" i="14"/>
  <c r="K33" i="14"/>
  <c r="H33" i="14"/>
  <c r="I33" i="14"/>
  <c r="M33" i="14"/>
  <c r="N33" i="14"/>
  <c r="E33" i="14"/>
  <c r="J33" i="14"/>
  <c r="F33" i="14"/>
  <c r="G33" i="14"/>
  <c r="D33" i="14"/>
  <c r="L33" i="14"/>
  <c r="O33" i="14"/>
  <c r="N32" i="14"/>
  <c r="K32" i="14"/>
  <c r="F32" i="14"/>
  <c r="G32" i="14"/>
  <c r="D32" i="14"/>
  <c r="O32" i="14"/>
  <c r="H32" i="14"/>
  <c r="E32" i="14"/>
  <c r="M32" i="14"/>
  <c r="J32" i="14"/>
  <c r="I32" i="14"/>
  <c r="L32" i="14"/>
  <c r="I25" i="14"/>
  <c r="K25" i="14"/>
  <c r="M25" i="14"/>
  <c r="H25" i="14"/>
  <c r="O25" i="14"/>
  <c r="G25" i="14"/>
  <c r="E25" i="14"/>
  <c r="D25" i="14"/>
  <c r="J25" i="14"/>
  <c r="N25" i="14"/>
  <c r="F25" i="14"/>
  <c r="L25" i="14"/>
  <c r="K21" i="14"/>
  <c r="G21" i="14"/>
  <c r="J21" i="14"/>
  <c r="M21" i="14"/>
  <c r="N21" i="14"/>
  <c r="F21" i="14"/>
  <c r="D21" i="14"/>
  <c r="L21" i="14"/>
  <c r="O21" i="14"/>
  <c r="I21" i="14"/>
  <c r="E21" i="14"/>
  <c r="H21" i="14"/>
  <c r="J20" i="14"/>
  <c r="D20" i="14"/>
  <c r="L20" i="14"/>
  <c r="E20" i="14"/>
  <c r="H20" i="14"/>
  <c r="K20" i="14"/>
  <c r="G20" i="14"/>
  <c r="I20" i="14"/>
  <c r="N20" i="14"/>
  <c r="F20" i="14"/>
  <c r="M20" i="14"/>
  <c r="O20" i="14"/>
  <c r="E31" i="14"/>
  <c r="M31" i="14"/>
  <c r="G31" i="14"/>
  <c r="L31" i="14"/>
  <c r="I31" i="14"/>
  <c r="N31" i="14"/>
  <c r="F31" i="14"/>
  <c r="D31" i="14"/>
  <c r="K31" i="14"/>
  <c r="J31" i="14"/>
  <c r="H31" i="14"/>
  <c r="O31" i="14"/>
  <c r="I30" i="14"/>
  <c r="M30" i="14"/>
  <c r="N30" i="14"/>
  <c r="E30" i="14"/>
  <c r="J30" i="14"/>
  <c r="F30" i="14"/>
  <c r="O30" i="14"/>
  <c r="D30" i="14"/>
  <c r="L30" i="14"/>
  <c r="G30" i="14"/>
  <c r="H30" i="14"/>
  <c r="K30" i="14"/>
  <c r="M24" i="14"/>
  <c r="K24" i="14"/>
  <c r="O24" i="14"/>
  <c r="H24" i="14"/>
  <c r="D24" i="14"/>
  <c r="N24" i="14"/>
  <c r="J24" i="14"/>
  <c r="F24" i="14"/>
  <c r="G24" i="14"/>
  <c r="E24" i="14"/>
  <c r="I24" i="14"/>
  <c r="L24" i="14"/>
  <c r="O19" i="14"/>
  <c r="K19" i="14"/>
  <c r="G19" i="14"/>
  <c r="I19" i="14"/>
  <c r="M19" i="14"/>
  <c r="E19" i="14"/>
  <c r="H19" i="14"/>
  <c r="D19" i="14"/>
  <c r="L19" i="14"/>
  <c r="N19" i="14"/>
  <c r="F19" i="14"/>
  <c r="J19" i="14"/>
  <c r="N26" i="14"/>
  <c r="F26" i="14"/>
  <c r="G26" i="14"/>
  <c r="K26" i="14"/>
  <c r="L26" i="14"/>
  <c r="E26" i="14"/>
  <c r="M26" i="14"/>
  <c r="J26" i="14"/>
  <c r="O26" i="14"/>
  <c r="I26" i="14"/>
  <c r="H26" i="14"/>
  <c r="D26" i="14"/>
  <c r="N27" i="14"/>
  <c r="H27" i="14"/>
  <c r="L9" i="19"/>
  <c r="L27" i="14"/>
  <c r="F27" i="14"/>
  <c r="M27" i="14"/>
  <c r="O27" i="14"/>
  <c r="I27" i="14"/>
  <c r="K27" i="14"/>
  <c r="G27" i="14"/>
  <c r="L28" i="14"/>
  <c r="E22" i="14"/>
  <c r="I28" i="14"/>
  <c r="N28" i="14"/>
  <c r="F22" i="14"/>
  <c r="K28" i="14"/>
  <c r="M28" i="14"/>
  <c r="O22" i="14"/>
  <c r="D28" i="14"/>
  <c r="O28" i="14"/>
  <c r="D22" i="14"/>
  <c r="J27" i="14"/>
  <c r="D27" i="14"/>
  <c r="J28" i="14"/>
  <c r="H28" i="14"/>
  <c r="E28" i="14"/>
  <c r="M22" i="14"/>
  <c r="G28" i="14"/>
  <c r="J22" i="14"/>
  <c r="L22" i="14"/>
  <c r="N23" i="14"/>
  <c r="K22" i="14"/>
  <c r="G22" i="14"/>
  <c r="L23" i="14"/>
  <c r="N22" i="14"/>
  <c r="H22" i="14"/>
  <c r="I23" i="14"/>
  <c r="J10" i="19"/>
  <c r="B24" i="18" s="1"/>
  <c r="J9" i="19"/>
  <c r="B23" i="18" s="1"/>
  <c r="K23" i="14"/>
  <c r="G23" i="14"/>
  <c r="M23" i="14"/>
  <c r="F23" i="14"/>
  <c r="D23" i="14"/>
  <c r="O23" i="14"/>
  <c r="C15" i="14"/>
  <c r="J23" i="14"/>
  <c r="H23" i="14"/>
  <c r="L10" i="19"/>
  <c r="K5" i="19"/>
  <c r="P17" i="14"/>
  <c r="O2" i="14"/>
  <c r="L35" i="15"/>
  <c r="L51" i="15" s="1"/>
  <c r="O12" i="14"/>
  <c r="O64" i="14"/>
  <c r="I20" i="13"/>
  <c r="P43" i="14" l="1"/>
  <c r="P41" i="14"/>
  <c r="AC41" i="14"/>
  <c r="AB35" i="19" s="1"/>
  <c r="AC22" i="14"/>
  <c r="AB16" i="19" s="1"/>
  <c r="P37" i="14"/>
  <c r="P40" i="14"/>
  <c r="AC37" i="14"/>
  <c r="AB31" i="19" s="1"/>
  <c r="AC40" i="14"/>
  <c r="AB34" i="19" s="1"/>
  <c r="AC31" i="14"/>
  <c r="AB25" i="19" s="1"/>
  <c r="AC30" i="14"/>
  <c r="AB24" i="19" s="1"/>
  <c r="AC33" i="14"/>
  <c r="AB27" i="19" s="1"/>
  <c r="AC32" i="14"/>
  <c r="AB26" i="19" s="1"/>
  <c r="G16" i="13"/>
  <c r="N16" i="21"/>
  <c r="AE80" i="14"/>
  <c r="AD24" i="21"/>
  <c r="AD26" i="21" s="1"/>
  <c r="I5" i="19"/>
  <c r="AC25" i="14"/>
  <c r="AB19" i="19" s="1"/>
  <c r="L5" i="19"/>
  <c r="AC36" i="14"/>
  <c r="AB30" i="19" s="1"/>
  <c r="AC21" i="14"/>
  <c r="AB15" i="19" s="1"/>
  <c r="AC35" i="14"/>
  <c r="AB29" i="19" s="1"/>
  <c r="AC20" i="14"/>
  <c r="AB14" i="19" s="1"/>
  <c r="AC24" i="14"/>
  <c r="AB18" i="19" s="1"/>
  <c r="AC29" i="14"/>
  <c r="AB23" i="19" s="1"/>
  <c r="AC23" i="14"/>
  <c r="AB17" i="19" s="1"/>
  <c r="AC28" i="14"/>
  <c r="AB22" i="19" s="1"/>
  <c r="P36" i="14"/>
  <c r="P35" i="14"/>
  <c r="P33" i="14"/>
  <c r="P31" i="14"/>
  <c r="P32" i="14"/>
  <c r="P25" i="14"/>
  <c r="P21" i="14"/>
  <c r="P20" i="14"/>
  <c r="P30" i="14"/>
  <c r="P24" i="14"/>
  <c r="P19" i="14"/>
  <c r="P26" i="14"/>
  <c r="P27" i="14"/>
  <c r="P28" i="14"/>
  <c r="J5" i="19"/>
  <c r="B20" i="18" s="1"/>
  <c r="C35" i="18" s="1"/>
  <c r="P22" i="14"/>
  <c r="P23" i="14"/>
  <c r="I21" i="13"/>
  <c r="I23" i="13" s="1"/>
  <c r="I25" i="13" s="1"/>
  <c r="H12" i="13" l="1"/>
  <c r="H13" i="13" s="1"/>
  <c r="O16" i="21"/>
  <c r="P16" i="21" s="1"/>
  <c r="Q16" i="21" s="1"/>
  <c r="AF80" i="14"/>
  <c r="AF24" i="21" s="1"/>
  <c r="AF26" i="21" s="1"/>
  <c r="AE24" i="21"/>
  <c r="AE26" i="21" s="1"/>
  <c r="R16" i="14"/>
  <c r="C32" i="18"/>
  <c r="C24" i="18"/>
  <c r="C41" i="18"/>
  <c r="C33" i="18"/>
  <c r="C31" i="18"/>
  <c r="C38" i="18"/>
  <c r="C28" i="18"/>
  <c r="C23" i="18"/>
  <c r="C34" i="18"/>
  <c r="C36" i="18"/>
  <c r="C22" i="18"/>
  <c r="C21" i="18"/>
  <c r="C42" i="18"/>
  <c r="C37" i="18"/>
  <c r="C30" i="18"/>
  <c r="C39" i="18"/>
  <c r="C26" i="18"/>
  <c r="C29" i="18"/>
  <c r="C27" i="18"/>
  <c r="C25" i="18"/>
  <c r="C40" i="18"/>
  <c r="J20" i="13"/>
  <c r="H14" i="13" l="1"/>
  <c r="H15" i="13" s="1"/>
  <c r="S16" i="14"/>
  <c r="J21" i="13"/>
  <c r="J23" i="13" s="1"/>
  <c r="J25" i="13" s="1"/>
  <c r="H16" i="13" l="1"/>
  <c r="R16" i="21"/>
  <c r="S16" i="21" s="1"/>
  <c r="T16" i="21" s="1"/>
  <c r="U16" i="21" s="1"/>
  <c r="V16" i="21" s="1"/>
  <c r="W16" i="21" s="1"/>
  <c r="X16" i="21" s="1"/>
  <c r="Y16" i="21" s="1"/>
  <c r="Z16" i="21" s="1"/>
  <c r="AA16" i="21" s="1"/>
  <c r="AB16" i="21" s="1"/>
  <c r="AC16" i="21" s="1"/>
  <c r="AD16" i="21" s="1"/>
  <c r="AE16" i="21" s="1"/>
  <c r="AF16" i="21" s="1"/>
  <c r="T16" i="14"/>
  <c r="K20" i="13"/>
  <c r="I12" i="13" l="1"/>
  <c r="I14" i="13" s="1"/>
  <c r="K21" i="13"/>
  <c r="K23" i="13" s="1"/>
  <c r="K25" i="13" s="1"/>
  <c r="L20" i="13" s="1"/>
  <c r="U16" i="14"/>
  <c r="I13" i="13" l="1"/>
  <c r="I15" i="13" s="1"/>
  <c r="I16" i="13" s="1"/>
  <c r="J12" i="13" s="1"/>
  <c r="J13" i="13" s="1"/>
  <c r="L21" i="13"/>
  <c r="L23" i="13" s="1"/>
  <c r="L25" i="13" s="1"/>
  <c r="M20" i="13" s="1"/>
  <c r="V16" i="14"/>
  <c r="J14" i="13" l="1"/>
  <c r="W16" i="14"/>
  <c r="M21" i="13"/>
  <c r="M23" i="13" s="1"/>
  <c r="M25" i="13" s="1"/>
  <c r="J15" i="13" l="1"/>
  <c r="J16" i="13" s="1"/>
  <c r="X16" i="14"/>
  <c r="N20" i="13"/>
  <c r="K12" i="13" l="1"/>
  <c r="K13" i="13" s="1"/>
  <c r="Y16" i="14"/>
  <c r="N21" i="13"/>
  <c r="N23" i="13" s="1"/>
  <c r="N25" i="13" s="1"/>
  <c r="K14" i="13" l="1"/>
  <c r="K15" i="13" s="1"/>
  <c r="Z16" i="14"/>
  <c r="P15" i="14"/>
  <c r="P13" i="14"/>
  <c r="C16" i="14" s="1"/>
  <c r="D16" i="14" s="1"/>
  <c r="O20" i="13"/>
  <c r="O21" i="13" l="1"/>
  <c r="P21" i="13" s="1"/>
  <c r="E16" i="14"/>
  <c r="F16" i="14" s="1"/>
  <c r="G16" i="14" s="1"/>
  <c r="H16" i="14" s="1"/>
  <c r="I16" i="14" s="1"/>
  <c r="J16" i="14" s="1"/>
  <c r="K16" i="14" s="1"/>
  <c r="L16" i="14" s="1"/>
  <c r="M16" i="14" s="1"/>
  <c r="N16" i="14" s="1"/>
  <c r="O16" i="14" s="1"/>
  <c r="AA16" i="14"/>
  <c r="K16" i="13"/>
  <c r="O23" i="13" l="1"/>
  <c r="O25" i="13" s="1"/>
  <c r="Q20" i="13" s="1"/>
  <c r="L12" i="13"/>
  <c r="L13" i="13" s="1"/>
  <c r="P16" i="14"/>
  <c r="AB16" i="14"/>
  <c r="P23" i="13"/>
  <c r="P25" i="13" s="1"/>
  <c r="L14" i="13" l="1"/>
  <c r="L15" i="13" s="1"/>
  <c r="AC16" i="14"/>
  <c r="AB10" i="19" s="1"/>
  <c r="Q21" i="13" l="1"/>
  <c r="Q23" i="13" s="1"/>
  <c r="Q25" i="13" s="1"/>
  <c r="L16" i="13"/>
  <c r="AC20" i="13"/>
  <c r="M12" i="13" l="1"/>
  <c r="M13" i="13" s="1"/>
  <c r="M14" i="13"/>
  <c r="R20" i="13"/>
  <c r="R21" i="13" l="1"/>
  <c r="R23" i="13" s="1"/>
  <c r="R25" i="13" s="1"/>
  <c r="M15" i="13"/>
  <c r="M16" i="13" l="1"/>
  <c r="S20" i="13"/>
  <c r="N12" i="13" l="1"/>
  <c r="N13" i="13" s="1"/>
  <c r="S21" i="13"/>
  <c r="S23" i="13" s="1"/>
  <c r="S25" i="13" s="1"/>
  <c r="N14" i="13"/>
  <c r="N15" i="13" l="1"/>
  <c r="T20" i="13"/>
  <c r="N16" i="13" l="1"/>
  <c r="T21" i="13"/>
  <c r="O12" i="13" l="1"/>
  <c r="O13" i="13" s="1"/>
  <c r="T23" i="13"/>
  <c r="T25" i="13" s="1"/>
  <c r="O14" i="13" l="1"/>
  <c r="O15" i="13"/>
  <c r="P13" i="13"/>
  <c r="P14" i="13"/>
  <c r="U20" i="13"/>
  <c r="P15" i="13" l="1"/>
  <c r="O16" i="13"/>
  <c r="Q12" i="13" s="1"/>
  <c r="U21" i="13"/>
  <c r="AC12" i="13" l="1"/>
  <c r="Q13" i="13"/>
  <c r="Q14" i="13"/>
  <c r="P16" i="13"/>
  <c r="U23" i="13"/>
  <c r="U25" i="13" s="1"/>
  <c r="Q15" i="13" l="1"/>
  <c r="Q16" i="13" s="1"/>
  <c r="R12" i="13" s="1"/>
  <c r="V20" i="13"/>
  <c r="R13" i="13" l="1"/>
  <c r="R14" i="13"/>
  <c r="V21" i="13"/>
  <c r="V23" i="13" s="1"/>
  <c r="V25" i="13" s="1"/>
  <c r="R15" i="13" l="1"/>
  <c r="R16" i="13" s="1"/>
  <c r="S12" i="13" s="1"/>
  <c r="S14" i="13" s="1"/>
  <c r="W20" i="13"/>
  <c r="S13" i="13" l="1"/>
  <c r="S15" i="13" s="1"/>
  <c r="S16" i="13" s="1"/>
  <c r="T12" i="13" s="1"/>
  <c r="T14" i="13" s="1"/>
  <c r="W21" i="13"/>
  <c r="W23" i="13" s="1"/>
  <c r="W25" i="13" s="1"/>
  <c r="T13" i="13" l="1"/>
  <c r="T15" i="13" s="1"/>
  <c r="T16" i="13" s="1"/>
  <c r="X20" i="13"/>
  <c r="U12" i="13" l="1"/>
  <c r="U13" i="13" s="1"/>
  <c r="X21" i="13"/>
  <c r="X23" i="13" s="1"/>
  <c r="X25" i="13" s="1"/>
  <c r="Y20" i="13" s="1"/>
  <c r="U14" i="13" l="1"/>
  <c r="Y21" i="13"/>
  <c r="Y23" i="13" s="1"/>
  <c r="Y25" i="13" s="1"/>
  <c r="Z20" i="13" s="1"/>
  <c r="U15" i="13"/>
  <c r="Z21" i="13" l="1"/>
  <c r="Z23" i="13" s="1"/>
  <c r="Z25" i="13" s="1"/>
  <c r="U16" i="13"/>
  <c r="V12" i="13" l="1"/>
  <c r="V14" i="13" s="1"/>
  <c r="AA20" i="13"/>
  <c r="V13" i="13" l="1"/>
  <c r="V15" i="13" s="1"/>
  <c r="AA21" i="13"/>
  <c r="AA23" i="13" s="1"/>
  <c r="AA25" i="13" s="1"/>
  <c r="V16" i="13" l="1"/>
  <c r="AB20" i="13"/>
  <c r="W12" i="13" l="1"/>
  <c r="W13" i="13" s="1"/>
  <c r="AB21" i="13"/>
  <c r="AB23" i="13" s="1"/>
  <c r="AB25" i="13" s="1"/>
  <c r="AD20" i="13" s="1"/>
  <c r="W14" i="13" l="1"/>
  <c r="W15" i="13" s="1"/>
  <c r="AC21" i="13"/>
  <c r="AC23" i="13" s="1"/>
  <c r="AC25" i="13" s="1"/>
  <c r="W16" i="13" l="1"/>
  <c r="X12" i="13" s="1"/>
  <c r="X13" i="13" l="1"/>
  <c r="X14" i="13"/>
  <c r="X15" i="13" l="1"/>
  <c r="X16" i="13" s="1"/>
  <c r="AD21" i="13"/>
  <c r="AD23" i="13" s="1"/>
  <c r="AD25" i="13" s="1"/>
  <c r="Y12" i="13" l="1"/>
  <c r="Y13" i="13" s="1"/>
  <c r="AE20" i="13"/>
  <c r="Y14" i="13" l="1"/>
  <c r="AE21" i="13"/>
  <c r="AE23" i="13" s="1"/>
  <c r="AE25" i="13" s="1"/>
  <c r="Y15" i="13" l="1"/>
  <c r="Y16" i="13" s="1"/>
  <c r="AF20" i="13"/>
  <c r="Z12" i="13" l="1"/>
  <c r="Z14" i="13" s="1"/>
  <c r="AF21" i="13"/>
  <c r="AF23" i="13" s="1"/>
  <c r="AF25" i="13" s="1"/>
  <c r="Z13" i="13" l="1"/>
  <c r="Z15" i="13" s="1"/>
  <c r="AG20" i="13"/>
  <c r="AG21" i="13" l="1"/>
  <c r="AG23" i="13" s="1"/>
  <c r="AG25" i="13" s="1"/>
  <c r="Z16" i="13"/>
  <c r="AA12" i="13" l="1"/>
  <c r="AA13" i="13" s="1"/>
  <c r="AH20" i="13"/>
  <c r="AA14" i="13" l="1"/>
  <c r="AH21" i="13"/>
  <c r="AH23" i="13" s="1"/>
  <c r="AH25" i="13" s="1"/>
  <c r="AA15" i="13" l="1"/>
  <c r="AA16" i="13" s="1"/>
  <c r="AB12" i="13" l="1"/>
  <c r="AB14" i="13" s="1"/>
  <c r="AI20" i="13"/>
  <c r="AB13" i="13" l="1"/>
  <c r="AC13" i="13" s="1"/>
  <c r="AI21" i="13"/>
  <c r="AI23" i="13" s="1"/>
  <c r="AI25" i="13" s="1"/>
  <c r="AC14" i="13"/>
  <c r="AB15" i="13" l="1"/>
  <c r="AB16" i="13" s="1"/>
  <c r="AD12" i="13" s="1"/>
  <c r="AJ20" i="13"/>
  <c r="AC15" i="13" l="1"/>
  <c r="AD13" i="13"/>
  <c r="AD14" i="13"/>
  <c r="AC16" i="13"/>
  <c r="AJ21" i="13"/>
  <c r="AJ23" i="13" s="1"/>
  <c r="AJ25" i="13" s="1"/>
  <c r="AD15" i="13" l="1"/>
  <c r="AD16" i="13" s="1"/>
  <c r="AE12" i="13" s="1"/>
  <c r="AE13" i="13" s="1"/>
  <c r="AE14" i="13" l="1"/>
  <c r="AK20" i="13"/>
  <c r="AE15" i="13" l="1"/>
  <c r="AE16" i="13" s="1"/>
  <c r="AK21" i="13"/>
  <c r="AK23" i="13" s="1"/>
  <c r="AK25" i="13" s="1"/>
  <c r="AF12" i="13" l="1"/>
  <c r="AF13" i="13" l="1"/>
  <c r="AF14" i="13"/>
  <c r="AL20" i="13"/>
  <c r="AF15" i="13" l="1"/>
  <c r="AL21" i="13"/>
  <c r="AL23" i="13" s="1"/>
  <c r="AL25" i="13" s="1"/>
  <c r="AF16" i="13" l="1"/>
  <c r="AG12" i="13" l="1"/>
  <c r="AM20" i="13"/>
  <c r="AG14" i="13" l="1"/>
  <c r="AG13" i="13"/>
  <c r="AM21" i="13"/>
  <c r="AM23" i="13" s="1"/>
  <c r="AM25" i="13" s="1"/>
  <c r="AG15" i="13" l="1"/>
  <c r="AG16" i="13" s="1"/>
  <c r="AH12" i="13" s="1"/>
  <c r="AH14" i="13" l="1"/>
  <c r="AH13" i="13"/>
  <c r="AN20" i="13"/>
  <c r="AH15" i="13" l="1"/>
  <c r="AH16" i="13" s="1"/>
  <c r="AN21" i="13"/>
  <c r="AN23" i="13" s="1"/>
  <c r="AN25" i="13" s="1"/>
  <c r="AI12" i="13" l="1"/>
  <c r="AI13" i="13" l="1"/>
  <c r="AI14" i="13"/>
  <c r="AO20" i="13"/>
  <c r="AI15" i="13" l="1"/>
  <c r="AO21" i="13"/>
  <c r="AO23" i="13" s="1"/>
  <c r="AO25" i="13" s="1"/>
  <c r="AQ20" i="13" s="1"/>
  <c r="AI16" i="13" l="1"/>
  <c r="AJ12" i="13" l="1"/>
  <c r="AP20" i="13"/>
  <c r="AJ13" i="13" l="1"/>
  <c r="AJ14" i="13"/>
  <c r="AP21" i="13"/>
  <c r="AP23" i="13" s="1"/>
  <c r="AP25" i="13" s="1"/>
  <c r="AJ15" i="13" l="1"/>
  <c r="AQ21" i="13"/>
  <c r="AQ23" i="13" s="1"/>
  <c r="AQ25" i="13" s="1"/>
  <c r="AJ16" i="13" l="1"/>
  <c r="AR20" i="13"/>
  <c r="AK12" i="13" l="1"/>
  <c r="AR21" i="13"/>
  <c r="AR23" i="13" s="1"/>
  <c r="AR25" i="13" s="1"/>
  <c r="AK14" i="13" l="1"/>
  <c r="AK13" i="13"/>
  <c r="AS20" i="13"/>
  <c r="AK15" i="13" l="1"/>
  <c r="AK16" i="13" s="1"/>
  <c r="AS21" i="13"/>
  <c r="AS23" i="13" s="1"/>
  <c r="AS25" i="13" s="1"/>
  <c r="AL12" i="13" l="1"/>
  <c r="AL14" i="13" s="1"/>
  <c r="AL13" i="13" l="1"/>
  <c r="AL15" i="13" s="1"/>
  <c r="AL16" i="13" s="1"/>
  <c r="AT20" i="13"/>
  <c r="AM12" i="13" l="1"/>
  <c r="AT21" i="13"/>
  <c r="AT23" i="13" s="1"/>
  <c r="AT25" i="13" s="1"/>
  <c r="AM14" i="13" l="1"/>
  <c r="AM13" i="13"/>
  <c r="AM15" i="13" l="1"/>
  <c r="AU20" i="13"/>
  <c r="AM16" i="13" l="1"/>
  <c r="AU21" i="13"/>
  <c r="AU23" i="13" s="1"/>
  <c r="AU25" i="13" s="1"/>
  <c r="AN12" i="13" l="1"/>
  <c r="AN13" i="13" l="1"/>
  <c r="AN14" i="13"/>
  <c r="AV20" i="13"/>
  <c r="AN15" i="13" l="1"/>
  <c r="AV21" i="13"/>
  <c r="AV23" i="13" s="1"/>
  <c r="AV25" i="13" s="1"/>
  <c r="AN16" i="13" l="1"/>
  <c r="AO12" i="13" s="1"/>
  <c r="AW20" i="13"/>
  <c r="AO13" i="13" l="1"/>
  <c r="AP12" i="13"/>
  <c r="AO14" i="13"/>
  <c r="AW21" i="13"/>
  <c r="AW23" i="13" s="1"/>
  <c r="AW25" i="13" s="1"/>
  <c r="AP14" i="13" l="1"/>
  <c r="AO15" i="13"/>
  <c r="AP13" i="13"/>
  <c r="AP15" i="13" l="1"/>
  <c r="AO16" i="13"/>
  <c r="AQ12" i="13" s="1"/>
  <c r="AX20" i="13"/>
  <c r="AQ13" i="13" l="1"/>
  <c r="AQ14" i="13"/>
  <c r="AP16" i="13"/>
  <c r="AX21" i="13"/>
  <c r="AX23" i="13" s="1"/>
  <c r="AX25" i="13" s="1"/>
  <c r="AQ15" i="13" l="1"/>
  <c r="AQ16" i="13" s="1"/>
  <c r="AR12" i="13" s="1"/>
  <c r="AY20" i="13"/>
  <c r="AR13" i="13" l="1"/>
  <c r="AR14" i="13"/>
  <c r="AY21" i="13"/>
  <c r="AY23" i="13" s="1"/>
  <c r="AY25" i="13" s="1"/>
  <c r="AR15" i="13" l="1"/>
  <c r="AR16" i="13" s="1"/>
  <c r="AS12" i="13" s="1"/>
  <c r="AS14" i="13" s="1"/>
  <c r="AZ20" i="13"/>
  <c r="AS13" i="13" l="1"/>
  <c r="AS15" i="13" s="1"/>
  <c r="AZ21" i="13"/>
  <c r="AZ23" i="13" s="1"/>
  <c r="AZ25" i="13" s="1"/>
  <c r="AS16" i="13" l="1"/>
  <c r="BA20" i="13"/>
  <c r="AT12" i="13" l="1"/>
  <c r="BA21" i="13"/>
  <c r="BA23" i="13" s="1"/>
  <c r="BA25" i="13" s="1"/>
  <c r="AT13" i="13" l="1"/>
  <c r="AT14" i="13"/>
  <c r="BB20" i="13"/>
  <c r="AT15" i="13" l="1"/>
  <c r="BB21" i="13"/>
  <c r="BB23" i="13" s="1"/>
  <c r="BC20" i="13" s="1"/>
  <c r="AT16" i="13" l="1"/>
  <c r="BC21" i="13"/>
  <c r="BB25" i="13"/>
  <c r="BD20" i="13" s="1"/>
  <c r="BD21" i="13" s="1"/>
  <c r="BD23" i="13" s="1"/>
  <c r="BD25" i="13" s="1"/>
  <c r="BE20" i="13" s="1"/>
  <c r="BE21" i="13" s="1"/>
  <c r="BE23" i="13" s="1"/>
  <c r="BE25" i="13" s="1"/>
  <c r="BF20" i="13" s="1"/>
  <c r="BF21" i="13" s="1"/>
  <c r="BF23" i="13" s="1"/>
  <c r="BF25" i="13" s="1"/>
  <c r="BG20" i="13" s="1"/>
  <c r="BG21" i="13" s="1"/>
  <c r="BG23" i="13" s="1"/>
  <c r="BG25" i="13" s="1"/>
  <c r="BH20" i="13" s="1"/>
  <c r="BH21" i="13" s="1"/>
  <c r="BH23" i="13" s="1"/>
  <c r="BH25" i="13" s="1"/>
  <c r="BI20" i="13" s="1"/>
  <c r="BI21" i="13" s="1"/>
  <c r="BI23" i="13" s="1"/>
  <c r="BI25" i="13" s="1"/>
  <c r="BJ20" i="13" s="1"/>
  <c r="BJ21" i="13" s="1"/>
  <c r="BJ23" i="13" s="1"/>
  <c r="BJ25" i="13" s="1"/>
  <c r="BK20" i="13" s="1"/>
  <c r="BK21" i="13" s="1"/>
  <c r="BK23" i="13" s="1"/>
  <c r="BK25" i="13" s="1"/>
  <c r="BL20" i="13" s="1"/>
  <c r="BL21" i="13" s="1"/>
  <c r="BL23" i="13" s="1"/>
  <c r="BL25" i="13" s="1"/>
  <c r="BM20" i="13" s="1"/>
  <c r="BM21" i="13" s="1"/>
  <c r="BM23" i="13" s="1"/>
  <c r="BM25" i="13" s="1"/>
  <c r="BN20" i="13" s="1"/>
  <c r="BN21" i="13" s="1"/>
  <c r="BN23" i="13" s="1"/>
  <c r="BN25" i="13" s="1"/>
  <c r="BO20" i="13" s="1"/>
  <c r="BO21" i="13" l="1"/>
  <c r="BO23" i="13" s="1"/>
  <c r="BP20" i="13" s="1"/>
  <c r="AU12" i="13"/>
  <c r="BC23" i="13"/>
  <c r="BO25" i="13" l="1"/>
  <c r="AU13" i="13"/>
  <c r="AU14" i="13"/>
  <c r="BP21" i="13"/>
  <c r="BC25" i="13"/>
  <c r="AU15" i="13" l="1"/>
  <c r="AU16" i="13" l="1"/>
  <c r="AV12" i="13" l="1"/>
  <c r="AV14" i="13" l="1"/>
  <c r="AV13" i="13"/>
  <c r="AV15" i="13" l="1"/>
  <c r="AV16" i="13" l="1"/>
  <c r="AW12" i="13" l="1"/>
  <c r="AW13" i="13" l="1"/>
  <c r="AW14" i="13"/>
  <c r="AW15" i="13" l="1"/>
  <c r="AW16" i="13" l="1"/>
  <c r="AX12" i="13" l="1"/>
  <c r="AX13" i="13" l="1"/>
  <c r="AX14" i="13"/>
  <c r="AX15" i="13" l="1"/>
  <c r="AX16" i="13" l="1"/>
  <c r="AY12" i="13" s="1"/>
  <c r="AY14" i="13" l="1"/>
  <c r="AY13" i="13"/>
  <c r="AY15" i="13" l="1"/>
  <c r="AY16" i="13" l="1"/>
  <c r="AZ12" i="13" l="1"/>
  <c r="AZ13" i="13" l="1"/>
  <c r="AZ14" i="13"/>
  <c r="AZ15" i="13" l="1"/>
  <c r="AZ16" i="13" l="1"/>
  <c r="BA12" i="13" s="1"/>
  <c r="BA13" i="13" l="1"/>
  <c r="BA14" i="13"/>
  <c r="BA15" i="13" l="1"/>
  <c r="BA16" i="13" l="1"/>
  <c r="BB12" i="13" s="1"/>
  <c r="BB14" i="13" l="1"/>
  <c r="BB13" i="13"/>
  <c r="BC12" i="13"/>
  <c r="BB15" i="13" l="1"/>
  <c r="BC13" i="13"/>
  <c r="BC14" i="13"/>
  <c r="BC15" i="13" l="1"/>
  <c r="BB16" i="13"/>
  <c r="BD12" i="13" s="1"/>
  <c r="BD14" i="13" l="1"/>
  <c r="BD13" i="13"/>
  <c r="BC16" i="13"/>
  <c r="BD15" i="13" l="1"/>
  <c r="BD16" i="13" s="1"/>
  <c r="BE12" i="13" s="1"/>
  <c r="BE13" i="13" l="1"/>
  <c r="BE14" i="13"/>
  <c r="BE15" i="13" l="1"/>
  <c r="BE16" i="13" l="1"/>
  <c r="BF12" i="13" l="1"/>
  <c r="BF14" i="13" l="1"/>
  <c r="BF13" i="13"/>
  <c r="BP23" i="13"/>
  <c r="BP25" i="13" s="1"/>
  <c r="BF15" i="13" l="1"/>
  <c r="BF16" i="13" s="1"/>
  <c r="BG12" i="13" s="1"/>
  <c r="BG14" i="13" l="1"/>
  <c r="BG13" i="13"/>
  <c r="E51" i="14"/>
  <c r="BG15" i="13" l="1"/>
  <c r="BG16" i="13" s="1"/>
  <c r="BH12" i="13" s="1"/>
  <c r="F51" i="14"/>
  <c r="F53" i="14" s="1"/>
  <c r="F56" i="14" s="1"/>
  <c r="E17" i="21"/>
  <c r="E53" i="14"/>
  <c r="E56" i="14" s="1"/>
  <c r="D53" i="14"/>
  <c r="BH14" i="13" l="1"/>
  <c r="BH13" i="13"/>
  <c r="G51" i="14"/>
  <c r="G53" i="14" s="1"/>
  <c r="G56" i="14" s="1"/>
  <c r="F17" i="21"/>
  <c r="E18" i="21"/>
  <c r="D56" i="14"/>
  <c r="H51" i="14" l="1"/>
  <c r="H53" i="14" s="1"/>
  <c r="BH15" i="13"/>
  <c r="G17" i="21"/>
  <c r="F18" i="21"/>
  <c r="I51" i="14"/>
  <c r="BH16" i="13" l="1"/>
  <c r="H17" i="21"/>
  <c r="G18" i="21"/>
  <c r="H56" i="14"/>
  <c r="I53" i="14"/>
  <c r="I56" i="14" s="1"/>
  <c r="J51" i="14"/>
  <c r="BI12" i="13" l="1"/>
  <c r="I17" i="21"/>
  <c r="H18" i="21"/>
  <c r="J53" i="14"/>
  <c r="K51" i="14"/>
  <c r="BI14" i="13" l="1"/>
  <c r="BI13" i="13"/>
  <c r="J17" i="21"/>
  <c r="I18" i="21"/>
  <c r="J56" i="14"/>
  <c r="L51" i="14"/>
  <c r="K53" i="14"/>
  <c r="K56" i="14" s="1"/>
  <c r="BI15" i="13" l="1"/>
  <c r="K17" i="21"/>
  <c r="J18" i="21"/>
  <c r="M51" i="14"/>
  <c r="L53" i="14"/>
  <c r="BI16" i="13" l="1"/>
  <c r="L17" i="21"/>
  <c r="K18" i="21"/>
  <c r="L56" i="14"/>
  <c r="M53" i="14"/>
  <c r="M56" i="14" s="1"/>
  <c r="N51" i="14"/>
  <c r="BJ12" i="13" l="1"/>
  <c r="M17" i="21"/>
  <c r="L18" i="21"/>
  <c r="N53" i="14"/>
  <c r="O51" i="14"/>
  <c r="BJ13" i="13" l="1"/>
  <c r="BJ14" i="13"/>
  <c r="N17" i="21"/>
  <c r="M18" i="21"/>
  <c r="N56" i="14"/>
  <c r="O53" i="14"/>
  <c r="P51" i="14"/>
  <c r="Q51" i="14" s="1"/>
  <c r="BJ15" i="13" l="1"/>
  <c r="O56" i="14"/>
  <c r="C53" i="14"/>
  <c r="E23" i="11" s="1"/>
  <c r="O17" i="21"/>
  <c r="N18" i="21"/>
  <c r="R51" i="14"/>
  <c r="Q53" i="14"/>
  <c r="P53" i="14"/>
  <c r="C10" i="12" s="1"/>
  <c r="P17" i="21" l="1"/>
  <c r="Q17" i="21" s="1"/>
  <c r="Q18" i="21" s="1"/>
  <c r="E10" i="12"/>
  <c r="BJ16" i="13"/>
  <c r="G23" i="11"/>
  <c r="F23" i="11"/>
  <c r="C56" i="14"/>
  <c r="O18" i="21"/>
  <c r="Q56" i="14"/>
  <c r="S51" i="14"/>
  <c r="R53" i="14"/>
  <c r="R56" i="14" s="1"/>
  <c r="P56" i="14"/>
  <c r="C11" i="12"/>
  <c r="C25" i="12" l="1"/>
  <c r="P18" i="21"/>
  <c r="E11" i="12"/>
  <c r="BK12" i="13"/>
  <c r="T51" i="14"/>
  <c r="S53" i="14"/>
  <c r="S56" i="14" s="1"/>
  <c r="C24" i="12" l="1"/>
  <c r="A4" i="13"/>
  <c r="D4" i="13" s="1"/>
  <c r="G22" i="12"/>
  <c r="F22" i="12"/>
  <c r="BK14" i="13"/>
  <c r="BK13" i="13"/>
  <c r="R17" i="21"/>
  <c r="U51" i="14"/>
  <c r="T53" i="14"/>
  <c r="B19" i="12" l="1"/>
  <c r="C26" i="12"/>
  <c r="B16" i="12"/>
  <c r="B17" i="12"/>
  <c r="B15" i="12"/>
  <c r="B22" i="12"/>
  <c r="B14" i="12"/>
  <c r="B23" i="12"/>
  <c r="C64" i="14"/>
  <c r="D6" i="13"/>
  <c r="D28" i="13" s="1"/>
  <c r="D57" i="14" s="1"/>
  <c r="D55" i="14" s="1"/>
  <c r="D5" i="13"/>
  <c r="P4" i="13"/>
  <c r="BK15" i="13"/>
  <c r="R18" i="21"/>
  <c r="S17" i="21"/>
  <c r="T56" i="14"/>
  <c r="V51" i="14"/>
  <c r="U53" i="14"/>
  <c r="U56" i="14" s="1"/>
  <c r="C14" i="21" l="1"/>
  <c r="C19" i="21" s="1"/>
  <c r="C36" i="21" s="1"/>
  <c r="D7" i="13"/>
  <c r="BK16" i="13"/>
  <c r="S18" i="21"/>
  <c r="T17" i="21"/>
  <c r="W51" i="14"/>
  <c r="V53" i="14"/>
  <c r="V56" i="14" s="1"/>
  <c r="C32" i="21" l="1"/>
  <c r="D8" i="13"/>
  <c r="D29" i="13"/>
  <c r="D76" i="14" s="1"/>
  <c r="D77" i="14" s="1"/>
  <c r="BL12" i="13"/>
  <c r="T18" i="21"/>
  <c r="U17" i="21"/>
  <c r="X51" i="14"/>
  <c r="W53" i="14"/>
  <c r="C34" i="21" l="1"/>
  <c r="D32" i="21"/>
  <c r="P32" i="21" s="1"/>
  <c r="C35" i="21"/>
  <c r="C37" i="21" s="1"/>
  <c r="E4" i="13"/>
  <c r="D31" i="13"/>
  <c r="D28" i="21" s="1"/>
  <c r="BL14" i="13"/>
  <c r="BL13" i="13"/>
  <c r="U18" i="21"/>
  <c r="V17" i="21"/>
  <c r="W56" i="14"/>
  <c r="Y51" i="14"/>
  <c r="X53" i="14"/>
  <c r="X56" i="14" s="1"/>
  <c r="D29" i="21" l="1"/>
  <c r="E6" i="13"/>
  <c r="E28" i="13" s="1"/>
  <c r="E57" i="14" s="1"/>
  <c r="E5" i="13"/>
  <c r="BL15" i="13"/>
  <c r="V18" i="21"/>
  <c r="W17" i="21"/>
  <c r="Z51" i="14"/>
  <c r="Y53" i="14"/>
  <c r="Y56" i="14" s="1"/>
  <c r="E7" i="13" l="1"/>
  <c r="E55" i="14"/>
  <c r="BL16" i="13"/>
  <c r="W18" i="21"/>
  <c r="X17" i="21"/>
  <c r="AA51" i="14"/>
  <c r="Z53" i="14"/>
  <c r="Z56" i="14" s="1"/>
  <c r="E8" i="13" l="1"/>
  <c r="E29" i="13"/>
  <c r="E76" i="14" s="1"/>
  <c r="E77" i="14" s="1"/>
  <c r="BM12" i="13"/>
  <c r="X18" i="21"/>
  <c r="Y17" i="21"/>
  <c r="AB51" i="14"/>
  <c r="AA53" i="14"/>
  <c r="AA56" i="14" s="1"/>
  <c r="F4" i="13" l="1"/>
  <c r="E31" i="13"/>
  <c r="E28" i="21" s="1"/>
  <c r="BM14" i="13"/>
  <c r="BM13" i="13"/>
  <c r="Y18" i="21"/>
  <c r="Z17" i="21"/>
  <c r="AB53" i="14"/>
  <c r="AC51" i="14"/>
  <c r="AD51" i="14" s="1"/>
  <c r="F5" i="13" l="1"/>
  <c r="F6" i="13"/>
  <c r="F28" i="13" s="1"/>
  <c r="F57" i="14" s="1"/>
  <c r="E29" i="21"/>
  <c r="BM15" i="13"/>
  <c r="Z18" i="21"/>
  <c r="AA17" i="21"/>
  <c r="AE51" i="14"/>
  <c r="AD53" i="14"/>
  <c r="AD56" i="14" s="1"/>
  <c r="AB56" i="14"/>
  <c r="AC53" i="14"/>
  <c r="AC56" i="14" s="1"/>
  <c r="F55" i="14" l="1"/>
  <c r="F7" i="13"/>
  <c r="BM16" i="13"/>
  <c r="AA18" i="21"/>
  <c r="AB17" i="21"/>
  <c r="AF51" i="14"/>
  <c r="AE53" i="14"/>
  <c r="AE56" i="14" s="1"/>
  <c r="F29" i="13" l="1"/>
  <c r="F76" i="14" s="1"/>
  <c r="F77" i="14" s="1"/>
  <c r="F8" i="13"/>
  <c r="BN12" i="13"/>
  <c r="AB18" i="21"/>
  <c r="AC17" i="21"/>
  <c r="AF53" i="14"/>
  <c r="AF56" i="14" s="1"/>
  <c r="G4" i="13" l="1"/>
  <c r="F31" i="13"/>
  <c r="F28" i="21" s="1"/>
  <c r="F29" i="21" s="1"/>
  <c r="BN14" i="13"/>
  <c r="BN13" i="13"/>
  <c r="AC18" i="21"/>
  <c r="AD17" i="21"/>
  <c r="G6" i="13" l="1"/>
  <c r="G28" i="13" s="1"/>
  <c r="G57" i="14" s="1"/>
  <c r="G5" i="13"/>
  <c r="BN15" i="13"/>
  <c r="AE17" i="21"/>
  <c r="AD18" i="21"/>
  <c r="G7" i="13" l="1"/>
  <c r="G55" i="14"/>
  <c r="BN16" i="13"/>
  <c r="AE18" i="21"/>
  <c r="AF17" i="21"/>
  <c r="AF18" i="21" s="1"/>
  <c r="G29" i="13" l="1"/>
  <c r="G76" i="14" s="1"/>
  <c r="G77" i="14" s="1"/>
  <c r="G8" i="13"/>
  <c r="BO12" i="13"/>
  <c r="H4" i="13" l="1"/>
  <c r="G31" i="13"/>
  <c r="G28" i="21" s="1"/>
  <c r="G29" i="21" s="1"/>
  <c r="BO14" i="13"/>
  <c r="BO13" i="13"/>
  <c r="BP12" i="13"/>
  <c r="H5" i="13" l="1"/>
  <c r="H6" i="13"/>
  <c r="H28" i="13" s="1"/>
  <c r="H57" i="14" s="1"/>
  <c r="BO15" i="13"/>
  <c r="BP13" i="13"/>
  <c r="BP14" i="13"/>
  <c r="H7" i="13" l="1"/>
  <c r="H55" i="14"/>
  <c r="BP15" i="13"/>
  <c r="BO16" i="13"/>
  <c r="H29" i="13" l="1"/>
  <c r="H76" i="14" s="1"/>
  <c r="H8" i="13"/>
  <c r="BP16" i="13"/>
  <c r="H77" i="14" l="1"/>
  <c r="I4" i="13"/>
  <c r="H31" i="13"/>
  <c r="H28" i="21" s="1"/>
  <c r="H29" i="21" s="1"/>
  <c r="I5" i="13" l="1"/>
  <c r="I6" i="13"/>
  <c r="I28" i="13" s="1"/>
  <c r="I57" i="14" s="1"/>
  <c r="I7" i="13" l="1"/>
  <c r="I29" i="13" s="1"/>
  <c r="I76" i="14" s="1"/>
  <c r="I77" i="14" s="1"/>
  <c r="I55" i="14"/>
  <c r="I8" i="13" l="1"/>
  <c r="J4" i="13" s="1"/>
  <c r="I31" i="13" l="1"/>
  <c r="I28" i="21" s="1"/>
  <c r="I29" i="21" s="1"/>
  <c r="J5" i="13"/>
  <c r="J6" i="13"/>
  <c r="J28" i="13" s="1"/>
  <c r="J57" i="14" s="1"/>
  <c r="J7" i="13" l="1"/>
  <c r="J29" i="13" s="1"/>
  <c r="J76" i="14" s="1"/>
  <c r="J77" i="14" s="1"/>
  <c r="J55" i="14"/>
  <c r="J8" i="13" l="1"/>
  <c r="K4" i="13" s="1"/>
  <c r="J31" i="13" l="1"/>
  <c r="J28" i="21" s="1"/>
  <c r="J29" i="21" s="1"/>
  <c r="K6" i="13"/>
  <c r="K28" i="13" s="1"/>
  <c r="K57" i="14" s="1"/>
  <c r="K5" i="13"/>
  <c r="K7" i="13" s="1"/>
  <c r="K8" i="13" l="1"/>
  <c r="K29" i="13"/>
  <c r="K76" i="14" s="1"/>
  <c r="K77" i="14" s="1"/>
  <c r="K55" i="14"/>
  <c r="L4" i="13" l="1"/>
  <c r="K31" i="13"/>
  <c r="K28" i="21" s="1"/>
  <c r="K29" i="21" s="1"/>
  <c r="L5" i="13" l="1"/>
  <c r="L6" i="13"/>
  <c r="L7" i="13" l="1"/>
  <c r="L28" i="13"/>
  <c r="L57" i="14" s="1"/>
  <c r="L55" i="14" l="1"/>
  <c r="L29" i="13"/>
  <c r="L76" i="14" s="1"/>
  <c r="L77" i="14" s="1"/>
  <c r="L8" i="13"/>
  <c r="M4" i="13" l="1"/>
  <c r="L31" i="13"/>
  <c r="L28" i="21" s="1"/>
  <c r="L29" i="21" s="1"/>
  <c r="M6" i="13" l="1"/>
  <c r="M28" i="13" s="1"/>
  <c r="M57" i="14" s="1"/>
  <c r="M5" i="13"/>
  <c r="M7" i="13" s="1"/>
  <c r="M29" i="13" s="1"/>
  <c r="M76" i="14" s="1"/>
  <c r="M77" i="14" s="1"/>
  <c r="M8" i="13" l="1"/>
  <c r="M55" i="14"/>
  <c r="N4" i="13" l="1"/>
  <c r="M31" i="13"/>
  <c r="M28" i="21" s="1"/>
  <c r="M29" i="21" s="1"/>
  <c r="N5" i="13" l="1"/>
  <c r="N6" i="13"/>
  <c r="N28" i="13" s="1"/>
  <c r="N57" i="14" s="1"/>
  <c r="N55" i="14" l="1"/>
  <c r="N7" i="13"/>
  <c r="N29" i="13" l="1"/>
  <c r="N76" i="14" s="1"/>
  <c r="N77" i="14" s="1"/>
  <c r="N8" i="13"/>
  <c r="O4" i="13" l="1"/>
  <c r="N31" i="13"/>
  <c r="N28" i="21" s="1"/>
  <c r="N29" i="21" s="1"/>
  <c r="O6" i="13" l="1"/>
  <c r="O5" i="13"/>
  <c r="O7" i="13" l="1"/>
  <c r="P5" i="13"/>
  <c r="P6" i="13"/>
  <c r="P28" i="13" s="1"/>
  <c r="P57" i="14" s="1"/>
  <c r="O28" i="13"/>
  <c r="O57" i="14" s="1"/>
  <c r="E24" i="11" l="1"/>
  <c r="C57" i="14"/>
  <c r="P58" i="14"/>
  <c r="P60" i="14" s="1"/>
  <c r="O55" i="14"/>
  <c r="P55" i="14" s="1"/>
  <c r="D58" i="14" s="1"/>
  <c r="D60" i="14" s="1"/>
  <c r="O29" i="13"/>
  <c r="O76" i="14" s="1"/>
  <c r="P7" i="13"/>
  <c r="P29" i="13" s="1"/>
  <c r="O8" i="13"/>
  <c r="Q4" i="13" s="1"/>
  <c r="D33" i="21" l="1"/>
  <c r="D3" i="14"/>
  <c r="D66" i="14"/>
  <c r="D71" i="14" s="1"/>
  <c r="D78" i="14" s="1"/>
  <c r="D79" i="14" s="1"/>
  <c r="Q5" i="13"/>
  <c r="Q7" i="13" s="1"/>
  <c r="Q29" i="13" s="1"/>
  <c r="Q76" i="14" s="1"/>
  <c r="AC4" i="13"/>
  <c r="Q6" i="13"/>
  <c r="Q28" i="13" s="1"/>
  <c r="Q57" i="14" s="1"/>
  <c r="Q58" i="14" s="1"/>
  <c r="Q60" i="14" s="1"/>
  <c r="O58" i="14"/>
  <c r="O60" i="14" s="1"/>
  <c r="O66" i="14" s="1"/>
  <c r="O71" i="14" s="1"/>
  <c r="P8" i="13"/>
  <c r="P31" i="13" s="1"/>
  <c r="P28" i="21" s="1"/>
  <c r="P29" i="21" s="1"/>
  <c r="O31" i="13"/>
  <c r="O28" i="21" s="1"/>
  <c r="O29" i="21" s="1"/>
  <c r="P3" i="14"/>
  <c r="C60" i="14"/>
  <c r="O77" i="14"/>
  <c r="P77" i="14" s="1"/>
  <c r="P76" i="14"/>
  <c r="E58" i="14"/>
  <c r="E60" i="14" s="1"/>
  <c r="F58" i="14"/>
  <c r="F60" i="14" s="1"/>
  <c r="G58" i="14"/>
  <c r="G60" i="14" s="1"/>
  <c r="H58" i="14"/>
  <c r="H60" i="14" s="1"/>
  <c r="I58" i="14"/>
  <c r="I60" i="14" s="1"/>
  <c r="J58" i="14"/>
  <c r="J60" i="14" s="1"/>
  <c r="K58" i="14"/>
  <c r="K60" i="14" s="1"/>
  <c r="L58" i="14"/>
  <c r="L60" i="14" s="1"/>
  <c r="M58" i="14"/>
  <c r="M60" i="14" s="1"/>
  <c r="N58" i="14"/>
  <c r="N60" i="14" s="1"/>
  <c r="G24" i="11"/>
  <c r="F24" i="11"/>
  <c r="E26" i="11"/>
  <c r="Q55" i="14" l="1"/>
  <c r="Q8" i="13"/>
  <c r="E65" i="14"/>
  <c r="D4" i="14"/>
  <c r="D10" i="21"/>
  <c r="D14" i="21" s="1"/>
  <c r="D19" i="21" s="1"/>
  <c r="E32" i="21"/>
  <c r="D34" i="21"/>
  <c r="D35" i="21" s="1"/>
  <c r="O33" i="21"/>
  <c r="O3" i="14"/>
  <c r="M33" i="21"/>
  <c r="M3" i="14"/>
  <c r="M66" i="14"/>
  <c r="M71" i="14" s="1"/>
  <c r="M78" i="14" s="1"/>
  <c r="H33" i="21"/>
  <c r="H3" i="14"/>
  <c r="H66" i="14"/>
  <c r="H71" i="14" s="1"/>
  <c r="H78" i="14" s="1"/>
  <c r="F26" i="11"/>
  <c r="G26" i="11"/>
  <c r="E33" i="21"/>
  <c r="E3" i="14"/>
  <c r="E66" i="14"/>
  <c r="L33" i="21"/>
  <c r="L3" i="14"/>
  <c r="L66" i="14"/>
  <c r="L71" i="14" s="1"/>
  <c r="L78" i="14" s="1"/>
  <c r="Q33" i="21"/>
  <c r="Q66" i="14"/>
  <c r="Q3" i="14"/>
  <c r="G33" i="21"/>
  <c r="G3" i="14"/>
  <c r="G66" i="14"/>
  <c r="G71" i="14" s="1"/>
  <c r="G78" i="14" s="1"/>
  <c r="Q77" i="14"/>
  <c r="I33" i="21"/>
  <c r="I66" i="14"/>
  <c r="I71" i="14" s="1"/>
  <c r="I78" i="14" s="1"/>
  <c r="I3" i="14"/>
  <c r="O78" i="14"/>
  <c r="K33" i="21"/>
  <c r="K3" i="14"/>
  <c r="K66" i="14"/>
  <c r="K71" i="14" s="1"/>
  <c r="K78" i="14" s="1"/>
  <c r="N33" i="21"/>
  <c r="N66" i="14"/>
  <c r="N71" i="14" s="1"/>
  <c r="N78" i="14" s="1"/>
  <c r="N3" i="14"/>
  <c r="J33" i="21"/>
  <c r="J66" i="14"/>
  <c r="J71" i="14" s="1"/>
  <c r="J78" i="14" s="1"/>
  <c r="J3" i="14"/>
  <c r="F33" i="21"/>
  <c r="F3" i="14"/>
  <c r="F66" i="14"/>
  <c r="F71" i="14" s="1"/>
  <c r="F78" i="14" s="1"/>
  <c r="R4" i="13"/>
  <c r="Q31" i="13"/>
  <c r="Q28" i="21" s="1"/>
  <c r="Q29" i="21" s="1"/>
  <c r="E25" i="11"/>
  <c r="C3" i="14"/>
  <c r="D36" i="21" l="1"/>
  <c r="D38" i="21"/>
  <c r="D37" i="21"/>
  <c r="P33" i="21"/>
  <c r="F32" i="21"/>
  <c r="E34" i="21"/>
  <c r="Q71" i="14"/>
  <c r="Q78" i="14" s="1"/>
  <c r="R6" i="13"/>
  <c r="R5" i="13"/>
  <c r="E71" i="14"/>
  <c r="E78" i="14" s="1"/>
  <c r="P66" i="14"/>
  <c r="P71" i="14" s="1"/>
  <c r="G25" i="11"/>
  <c r="F25" i="11"/>
  <c r="E79" i="14" l="1"/>
  <c r="E10" i="21" s="1"/>
  <c r="E14" i="21" s="1"/>
  <c r="E19" i="21" s="1"/>
  <c r="E36" i="21" s="1"/>
  <c r="P78" i="14"/>
  <c r="R7" i="13"/>
  <c r="R29" i="13" s="1"/>
  <c r="R76" i="14" s="1"/>
  <c r="G32" i="21"/>
  <c r="F34" i="21"/>
  <c r="E35" i="21"/>
  <c r="R8" i="13"/>
  <c r="R28" i="13"/>
  <c r="R57" i="14" s="1"/>
  <c r="E4" i="14"/>
  <c r="F65" i="14" l="1"/>
  <c r="H32" i="21"/>
  <c r="G34" i="21"/>
  <c r="E37" i="21"/>
  <c r="E38" i="21"/>
  <c r="R55" i="14"/>
  <c r="R58" i="14"/>
  <c r="R60" i="14" s="1"/>
  <c r="R77" i="14"/>
  <c r="F79" i="14"/>
  <c r="F10" i="21" s="1"/>
  <c r="F14" i="21" s="1"/>
  <c r="F19" i="21" s="1"/>
  <c r="S4" i="13"/>
  <c r="R31" i="13"/>
  <c r="R28" i="21" s="1"/>
  <c r="R29" i="21" s="1"/>
  <c r="I32" i="21" l="1"/>
  <c r="H34" i="21"/>
  <c r="F35" i="21"/>
  <c r="F36" i="21"/>
  <c r="F4" i="14"/>
  <c r="G65" i="14"/>
  <c r="R33" i="21"/>
  <c r="R66" i="14"/>
  <c r="R3" i="14"/>
  <c r="S6" i="13"/>
  <c r="S5" i="13"/>
  <c r="J32" i="21" l="1"/>
  <c r="I34" i="21"/>
  <c r="F37" i="21"/>
  <c r="F38" i="21"/>
  <c r="S7" i="13"/>
  <c r="S29" i="13" s="1"/>
  <c r="S76" i="14" s="1"/>
  <c r="S28" i="13"/>
  <c r="S57" i="14" s="1"/>
  <c r="R71" i="14"/>
  <c r="R78" i="14" s="1"/>
  <c r="G79" i="14"/>
  <c r="G10" i="21" s="1"/>
  <c r="G14" i="21" s="1"/>
  <c r="G19" i="21" s="1"/>
  <c r="S8" i="13"/>
  <c r="K32" i="21" l="1"/>
  <c r="J34" i="21"/>
  <c r="G36" i="21"/>
  <c r="G35" i="21"/>
  <c r="G4" i="14"/>
  <c r="H65" i="14"/>
  <c r="S77" i="14"/>
  <c r="T4" i="13"/>
  <c r="S31" i="13"/>
  <c r="S28" i="21" s="1"/>
  <c r="S29" i="21" s="1"/>
  <c r="S55" i="14"/>
  <c r="S58" i="14"/>
  <c r="S60" i="14" s="1"/>
  <c r="L32" i="21" l="1"/>
  <c r="K34" i="21"/>
  <c r="G37" i="21"/>
  <c r="G38" i="21"/>
  <c r="T6" i="13"/>
  <c r="T5" i="13"/>
  <c r="H79" i="14"/>
  <c r="H10" i="21" s="1"/>
  <c r="H14" i="21" s="1"/>
  <c r="H19" i="21" s="1"/>
  <c r="S33" i="21"/>
  <c r="S66" i="14"/>
  <c r="S3" i="14"/>
  <c r="T7" i="13" l="1"/>
  <c r="T8" i="13" s="1"/>
  <c r="M32" i="21"/>
  <c r="L34" i="21"/>
  <c r="H35" i="21"/>
  <c r="H36" i="21"/>
  <c r="I65" i="14"/>
  <c r="H4" i="14"/>
  <c r="T29" i="13"/>
  <c r="T76" i="14" s="1"/>
  <c r="S71" i="14"/>
  <c r="S78" i="14" s="1"/>
  <c r="T28" i="13"/>
  <c r="T57" i="14" s="1"/>
  <c r="N32" i="21" l="1"/>
  <c r="M34" i="21"/>
  <c r="H37" i="21"/>
  <c r="H38" i="21"/>
  <c r="U4" i="13"/>
  <c r="T31" i="13"/>
  <c r="T28" i="21" s="1"/>
  <c r="T29" i="21" s="1"/>
  <c r="T55" i="14"/>
  <c r="T58" i="14"/>
  <c r="T60" i="14" s="1"/>
  <c r="I79" i="14"/>
  <c r="I10" i="21" s="1"/>
  <c r="I14" i="21" s="1"/>
  <c r="I19" i="21" s="1"/>
  <c r="T77" i="14"/>
  <c r="O32" i="21" l="1"/>
  <c r="N34" i="21"/>
  <c r="I35" i="21"/>
  <c r="I36" i="21"/>
  <c r="T33" i="21"/>
  <c r="T3" i="14"/>
  <c r="T66" i="14"/>
  <c r="I4" i="14"/>
  <c r="J65" i="14"/>
  <c r="U5" i="13"/>
  <c r="U6" i="13"/>
  <c r="P34" i="21" l="1"/>
  <c r="P35" i="21" s="1"/>
  <c r="Q32" i="21"/>
  <c r="AC32" i="21" s="1"/>
  <c r="O34" i="21"/>
  <c r="I37" i="21"/>
  <c r="I38" i="21"/>
  <c r="T71" i="14"/>
  <c r="T78" i="14" s="1"/>
  <c r="U28" i="13"/>
  <c r="U57" i="14" s="1"/>
  <c r="J79" i="14"/>
  <c r="J10" i="21" s="1"/>
  <c r="J14" i="21" s="1"/>
  <c r="J19" i="21" s="1"/>
  <c r="U7" i="13"/>
  <c r="U58" i="14" l="1"/>
  <c r="U60" i="14" s="1"/>
  <c r="U55" i="14"/>
  <c r="K65" i="14"/>
  <c r="J4" i="14"/>
  <c r="J35" i="21"/>
  <c r="J36" i="21"/>
  <c r="U8" i="13"/>
  <c r="U29" i="13"/>
  <c r="U76" i="14" s="1"/>
  <c r="R32" i="21" l="1"/>
  <c r="Q34" i="21"/>
  <c r="Q35" i="21" s="1"/>
  <c r="J37" i="21"/>
  <c r="J38" i="21"/>
  <c r="V4" i="13"/>
  <c r="U31" i="13"/>
  <c r="U28" i="21" s="1"/>
  <c r="U29" i="21" s="1"/>
  <c r="K79" i="14"/>
  <c r="K10" i="21" s="1"/>
  <c r="K14" i="21" s="1"/>
  <c r="K19" i="21" s="1"/>
  <c r="U77" i="14"/>
  <c r="U33" i="21"/>
  <c r="U66" i="14"/>
  <c r="U3" i="14"/>
  <c r="S32" i="21" l="1"/>
  <c r="R34" i="21"/>
  <c r="R35" i="21" s="1"/>
  <c r="U71" i="14"/>
  <c r="U78" i="14" s="1"/>
  <c r="L65" i="14"/>
  <c r="K4" i="14"/>
  <c r="K35" i="21"/>
  <c r="K36" i="21"/>
  <c r="V6" i="13"/>
  <c r="V28" i="13" s="1"/>
  <c r="V57" i="14" s="1"/>
  <c r="V5" i="13"/>
  <c r="T32" i="21" l="1"/>
  <c r="S34" i="21"/>
  <c r="S35" i="21" s="1"/>
  <c r="K37" i="21"/>
  <c r="K38" i="21"/>
  <c r="V7" i="13"/>
  <c r="V8" i="13" s="1"/>
  <c r="V55" i="14"/>
  <c r="V58" i="14"/>
  <c r="V60" i="14" s="1"/>
  <c r="L79" i="14"/>
  <c r="L10" i="21" s="1"/>
  <c r="L14" i="21" s="1"/>
  <c r="L19" i="21" s="1"/>
  <c r="U32" i="21" l="1"/>
  <c r="T34" i="21"/>
  <c r="T35" i="21" s="1"/>
  <c r="V29" i="13"/>
  <c r="V76" i="14" s="1"/>
  <c r="V77" i="14" s="1"/>
  <c r="M65" i="14"/>
  <c r="L4" i="14"/>
  <c r="W4" i="13"/>
  <c r="V31" i="13"/>
  <c r="V28" i="21" s="1"/>
  <c r="V29" i="21" s="1"/>
  <c r="V66" i="14"/>
  <c r="V71" i="14" s="1"/>
  <c r="V33" i="21"/>
  <c r="V3" i="14"/>
  <c r="L35" i="21"/>
  <c r="L36" i="21"/>
  <c r="V78" i="14" l="1"/>
  <c r="V32" i="21"/>
  <c r="U34" i="21"/>
  <c r="U35" i="21" s="1"/>
  <c r="L37" i="21"/>
  <c r="L38" i="21"/>
  <c r="W6" i="13"/>
  <c r="W28" i="13" s="1"/>
  <c r="W57" i="14" s="1"/>
  <c r="W5" i="13"/>
  <c r="W7" i="13" s="1"/>
  <c r="M79" i="14"/>
  <c r="M10" i="21" s="1"/>
  <c r="M14" i="21" s="1"/>
  <c r="M19" i="21" s="1"/>
  <c r="W32" i="21" l="1"/>
  <c r="V34" i="21"/>
  <c r="V35" i="21" s="1"/>
  <c r="W8" i="13"/>
  <c r="W29" i="13"/>
  <c r="W76" i="14" s="1"/>
  <c r="W77" i="14" s="1"/>
  <c r="M35" i="21"/>
  <c r="M36" i="21"/>
  <c r="M4" i="14"/>
  <c r="N65" i="14"/>
  <c r="W58" i="14"/>
  <c r="W60" i="14" s="1"/>
  <c r="W55" i="14"/>
  <c r="M37" i="21" l="1"/>
  <c r="M38" i="21"/>
  <c r="X4" i="13"/>
  <c r="W31" i="13"/>
  <c r="W28" i="21" s="1"/>
  <c r="W29" i="21" s="1"/>
  <c r="N79" i="14"/>
  <c r="N10" i="21" s="1"/>
  <c r="N14" i="21" s="1"/>
  <c r="N19" i="21" s="1"/>
  <c r="W33" i="21"/>
  <c r="X32" i="21" s="1"/>
  <c r="W3" i="14"/>
  <c r="W66" i="14"/>
  <c r="W71" i="14" s="1"/>
  <c r="W78" i="14" s="1"/>
  <c r="W34" i="21" l="1"/>
  <c r="W35" i="21" s="1"/>
  <c r="X5" i="13"/>
  <c r="X6" i="13"/>
  <c r="X28" i="13" s="1"/>
  <c r="X57" i="14" s="1"/>
  <c r="N35" i="21"/>
  <c r="N36" i="21"/>
  <c r="N4" i="14"/>
  <c r="O65" i="14"/>
  <c r="X7" i="13" l="1"/>
  <c r="X8" i="13" s="1"/>
  <c r="N37" i="21"/>
  <c r="N38" i="21"/>
  <c r="O79" i="14"/>
  <c r="X55" i="14"/>
  <c r="X58" i="14"/>
  <c r="X60" i="14" s="1"/>
  <c r="X29" i="13" l="1"/>
  <c r="X76" i="14" s="1"/>
  <c r="X77" i="14" s="1"/>
  <c r="P79" i="14"/>
  <c r="P4" i="14" s="1"/>
  <c r="C4" i="14" s="1"/>
  <c r="Q65" i="14"/>
  <c r="O4" i="14"/>
  <c r="O10" i="21"/>
  <c r="P10" i="21" s="1"/>
  <c r="P14" i="21" s="1"/>
  <c r="P19" i="21" s="1"/>
  <c r="P36" i="21" s="1"/>
  <c r="Y4" i="13"/>
  <c r="X31" i="13"/>
  <c r="X28" i="21" s="1"/>
  <c r="X29" i="21" s="1"/>
  <c r="X33" i="21"/>
  <c r="X66" i="14"/>
  <c r="X71" i="14" s="1"/>
  <c r="X78" i="14" s="1"/>
  <c r="X3" i="14"/>
  <c r="AC65" i="14" l="1"/>
  <c r="Q79" i="14"/>
  <c r="Q10" i="21" s="1"/>
  <c r="Q14" i="21" s="1"/>
  <c r="Q19" i="21" s="1"/>
  <c r="Y32" i="21"/>
  <c r="X34" i="21"/>
  <c r="X35" i="21" s="1"/>
  <c r="O14" i="21"/>
  <c r="O19" i="21" s="1"/>
  <c r="Y5" i="13"/>
  <c r="Y6" i="13"/>
  <c r="Y28" i="13" s="1"/>
  <c r="Y57" i="14" s="1"/>
  <c r="R65" i="14" l="1"/>
  <c r="R79" i="14" s="1"/>
  <c r="Q4" i="14"/>
  <c r="O36" i="21"/>
  <c r="O35" i="21"/>
  <c r="P37" i="21"/>
  <c r="Y7" i="13"/>
  <c r="Y8" i="13" s="1"/>
  <c r="Y55" i="14"/>
  <c r="Y58" i="14"/>
  <c r="Y60" i="14" s="1"/>
  <c r="R10" i="21" l="1"/>
  <c r="R14" i="21" s="1"/>
  <c r="R19" i="21" s="1"/>
  <c r="R4" i="14"/>
  <c r="S65" i="14"/>
  <c r="S79" i="14" s="1"/>
  <c r="Q36" i="21"/>
  <c r="Q37" i="21"/>
  <c r="Q38" i="21"/>
  <c r="Y29" i="13"/>
  <c r="Y76" i="14" s="1"/>
  <c r="Y77" i="14" s="1"/>
  <c r="P38" i="21"/>
  <c r="O37" i="21"/>
  <c r="O38" i="21"/>
  <c r="Z4" i="13"/>
  <c r="Y31" i="13"/>
  <c r="Y28" i="21" s="1"/>
  <c r="Y29" i="21" s="1"/>
  <c r="Y33" i="21"/>
  <c r="Y3" i="14"/>
  <c r="Y66" i="14"/>
  <c r="Y71" i="14" s="1"/>
  <c r="Y78" i="14" l="1"/>
  <c r="S10" i="21"/>
  <c r="S14" i="21" s="1"/>
  <c r="S19" i="21" s="1"/>
  <c r="S4" i="14"/>
  <c r="T65" i="14"/>
  <c r="T79" i="14" s="1"/>
  <c r="R36" i="21"/>
  <c r="R37" i="21"/>
  <c r="R38" i="21"/>
  <c r="Z32" i="21"/>
  <c r="Y34" i="21"/>
  <c r="Y35" i="21" s="1"/>
  <c r="Z5" i="13"/>
  <c r="Z6" i="13"/>
  <c r="Z28" i="13" s="1"/>
  <c r="Z57" i="14" s="1"/>
  <c r="T10" i="21" l="1"/>
  <c r="T14" i="21" s="1"/>
  <c r="T19" i="21" s="1"/>
  <c r="U65" i="14"/>
  <c r="U79" i="14" s="1"/>
  <c r="T4" i="14"/>
  <c r="S36" i="21"/>
  <c r="S37" i="21"/>
  <c r="S38" i="21"/>
  <c r="Z7" i="13"/>
  <c r="Z29" i="13" s="1"/>
  <c r="Z76" i="14" s="1"/>
  <c r="Z77" i="14" s="1"/>
  <c r="Z55" i="14"/>
  <c r="Z58" i="14"/>
  <c r="Z60" i="14" s="1"/>
  <c r="Z8" i="13" l="1"/>
  <c r="Z31" i="13" s="1"/>
  <c r="Z28" i="21" s="1"/>
  <c r="Z29" i="21" s="1"/>
  <c r="U10" i="21"/>
  <c r="U14" i="21" s="1"/>
  <c r="U19" i="21" s="1"/>
  <c r="V65" i="14"/>
  <c r="V79" i="14" s="1"/>
  <c r="U4" i="14"/>
  <c r="T36" i="21"/>
  <c r="T37" i="21"/>
  <c r="T38" i="21"/>
  <c r="Z33" i="21"/>
  <c r="Z66" i="14"/>
  <c r="Z71" i="14" s="1"/>
  <c r="Z78" i="14" s="1"/>
  <c r="Z3" i="14"/>
  <c r="AA4" i="13"/>
  <c r="V10" i="21" l="1"/>
  <c r="V14" i="21" s="1"/>
  <c r="V19" i="21" s="1"/>
  <c r="V4" i="14"/>
  <c r="W65" i="14"/>
  <c r="W79" i="14" s="1"/>
  <c r="U36" i="21"/>
  <c r="U37" i="21"/>
  <c r="U38" i="21"/>
  <c r="AA32" i="21"/>
  <c r="Z34" i="21"/>
  <c r="Z35" i="21" s="1"/>
  <c r="AA6" i="13"/>
  <c r="AA28" i="13" s="1"/>
  <c r="AA57" i="14" s="1"/>
  <c r="AA5" i="13"/>
  <c r="W10" i="21" l="1"/>
  <c r="W14" i="21" s="1"/>
  <c r="W19" i="21" s="1"/>
  <c r="X65" i="14"/>
  <c r="X79" i="14" s="1"/>
  <c r="W4" i="14"/>
  <c r="V36" i="21"/>
  <c r="V37" i="21"/>
  <c r="V38" i="21"/>
  <c r="AA7" i="13"/>
  <c r="AA29" i="13" s="1"/>
  <c r="AA76" i="14" s="1"/>
  <c r="AA77" i="14" s="1"/>
  <c r="AA55" i="14"/>
  <c r="AA58" i="14"/>
  <c r="AA60" i="14" s="1"/>
  <c r="X10" i="21" l="1"/>
  <c r="X14" i="21" s="1"/>
  <c r="X19" i="21" s="1"/>
  <c r="Y65" i="14"/>
  <c r="Y79" i="14" s="1"/>
  <c r="X4" i="14"/>
  <c r="W36" i="21"/>
  <c r="W37" i="21"/>
  <c r="W38" i="21"/>
  <c r="AA8" i="13"/>
  <c r="AA31" i="13" s="1"/>
  <c r="AA28" i="21" s="1"/>
  <c r="AA29" i="21" s="1"/>
  <c r="AA33" i="21"/>
  <c r="AA66" i="14"/>
  <c r="AA71" i="14" s="1"/>
  <c r="AA78" i="14" s="1"/>
  <c r="AA3" i="14"/>
  <c r="Y10" i="21" l="1"/>
  <c r="Y14" i="21" s="1"/>
  <c r="Y19" i="21" s="1"/>
  <c r="Y4" i="14"/>
  <c r="Z65" i="14"/>
  <c r="Z79" i="14" s="1"/>
  <c r="X36" i="21"/>
  <c r="X38" i="21"/>
  <c r="X37" i="21"/>
  <c r="AB4" i="13"/>
  <c r="AB6" i="13" s="1"/>
  <c r="AB32" i="21"/>
  <c r="AA34" i="21"/>
  <c r="AA35" i="21" s="1"/>
  <c r="AB5" i="13" l="1"/>
  <c r="AC5" i="13" s="1"/>
  <c r="Z10" i="21"/>
  <c r="Z14" i="21" s="1"/>
  <c r="Z19" i="21" s="1"/>
  <c r="AA65" i="14"/>
  <c r="AA79" i="14" s="1"/>
  <c r="Z4" i="14"/>
  <c r="Y36" i="21"/>
  <c r="Y37" i="21"/>
  <c r="Y38" i="21"/>
  <c r="AB7" i="13"/>
  <c r="AB28" i="13"/>
  <c r="AB57" i="14" s="1"/>
  <c r="AC6" i="13"/>
  <c r="AC28" i="13" s="1"/>
  <c r="AC57" i="14" s="1"/>
  <c r="AC58" i="14" s="1"/>
  <c r="AC60" i="14" s="1"/>
  <c r="AA10" i="21" l="1"/>
  <c r="AA14" i="21" s="1"/>
  <c r="AA19" i="21" s="1"/>
  <c r="AA4" i="14"/>
  <c r="AB65" i="14"/>
  <c r="Z36" i="21"/>
  <c r="Z37" i="21"/>
  <c r="Z38" i="21"/>
  <c r="AC3" i="14"/>
  <c r="AB58" i="14"/>
  <c r="AB60" i="14" s="1"/>
  <c r="AB55" i="14"/>
  <c r="AC55" i="14" s="1"/>
  <c r="AB8" i="13"/>
  <c r="AD4" i="13" s="1"/>
  <c r="AB29" i="13"/>
  <c r="AB76" i="14" s="1"/>
  <c r="AC7" i="13"/>
  <c r="AC29" i="13" s="1"/>
  <c r="AD6" i="13" l="1"/>
  <c r="AD28" i="13" s="1"/>
  <c r="AD5" i="13"/>
  <c r="AA36" i="21"/>
  <c r="AA38" i="21"/>
  <c r="AA37" i="21"/>
  <c r="AB33" i="21"/>
  <c r="AC33" i="21" s="1"/>
  <c r="AD32" i="21" s="1"/>
  <c r="AB3" i="14"/>
  <c r="AB66" i="14"/>
  <c r="AB77" i="14"/>
  <c r="AC77" i="14" s="1"/>
  <c r="AC76" i="14"/>
  <c r="AC8" i="13"/>
  <c r="AC31" i="13" s="1"/>
  <c r="AC28" i="21" s="1"/>
  <c r="AC29" i="21" s="1"/>
  <c r="AB31" i="13"/>
  <c r="AB28" i="21" s="1"/>
  <c r="AD7" i="13" l="1"/>
  <c r="AB34" i="21"/>
  <c r="AB71" i="14"/>
  <c r="AB78" i="14" s="1"/>
  <c r="AB79" i="14" s="1"/>
  <c r="AC66" i="14"/>
  <c r="AC71" i="14" s="1"/>
  <c r="AC78" i="14" s="1"/>
  <c r="AC79" i="14" s="1"/>
  <c r="AD65" i="14" s="1"/>
  <c r="AB29" i="21"/>
  <c r="AD8" i="13" l="1"/>
  <c r="AD29" i="13"/>
  <c r="AC34" i="21"/>
  <c r="AB4" i="14"/>
  <c r="AB10" i="21"/>
  <c r="AC4" i="14"/>
  <c r="AD31" i="13" l="1"/>
  <c r="AE4" i="13"/>
  <c r="AC10" i="21"/>
  <c r="AC14" i="21" s="1"/>
  <c r="AC19" i="21" s="1"/>
  <c r="AB14" i="21"/>
  <c r="AB19" i="21" s="1"/>
  <c r="AE5" i="13" l="1"/>
  <c r="AE6" i="13"/>
  <c r="AE28" i="13" s="1"/>
  <c r="AB35" i="21"/>
  <c r="AB37" i="21" s="1"/>
  <c r="AB36" i="21"/>
  <c r="AC36" i="21"/>
  <c r="AC35" i="21"/>
  <c r="AC37" i="21" s="1"/>
  <c r="AE7" i="13" l="1"/>
  <c r="AE8" i="13" s="1"/>
  <c r="AF4" i="13" s="1"/>
  <c r="AF5" i="13" s="1"/>
  <c r="AC38" i="21"/>
  <c r="AB38" i="21"/>
  <c r="AE29" i="13" l="1"/>
  <c r="AF6" i="13"/>
  <c r="AF28" i="13" s="1"/>
  <c r="AE31" i="13"/>
  <c r="AF7" i="13"/>
  <c r="AF8" i="13" l="1"/>
  <c r="AF29" i="13"/>
  <c r="AG4" i="13" l="1"/>
  <c r="AF31" i="13"/>
  <c r="AG5" i="13" l="1"/>
  <c r="AG6" i="13"/>
  <c r="AG7" i="13" l="1"/>
  <c r="AG28" i="13"/>
  <c r="AG29" i="13" l="1"/>
  <c r="AG8" i="13"/>
  <c r="AH4" i="13" l="1"/>
  <c r="AG31" i="13"/>
  <c r="AH5" i="13" l="1"/>
  <c r="AH6" i="13"/>
  <c r="AH28" i="13" s="1"/>
  <c r="AH7" i="13" l="1"/>
  <c r="AH8" i="13" s="1"/>
  <c r="AI4" i="13" s="1"/>
  <c r="AH29" i="13" l="1"/>
  <c r="AH31" i="13"/>
  <c r="AI6" i="13"/>
  <c r="AI28" i="13" s="1"/>
  <c r="AI5" i="13"/>
  <c r="AI7" i="13" s="1"/>
  <c r="AI29" i="13" s="1"/>
  <c r="AI8" i="13" l="1"/>
  <c r="AJ4" i="13" l="1"/>
  <c r="AI31" i="13"/>
  <c r="AJ6" i="13" l="1"/>
  <c r="AJ28" i="13" s="1"/>
  <c r="AJ5" i="13"/>
  <c r="AJ7" i="13" l="1"/>
  <c r="AJ29" i="13" s="1"/>
  <c r="AJ8" i="13" l="1"/>
  <c r="AK4" i="13" s="1"/>
  <c r="AJ31" i="13" l="1"/>
  <c r="AK5" i="13"/>
  <c r="AK6" i="13"/>
  <c r="AK7" i="13" l="1"/>
  <c r="AK28" i="13"/>
  <c r="AK29" i="13" l="1"/>
  <c r="AK8" i="13"/>
  <c r="AL4" i="13" l="1"/>
  <c r="AK31" i="13"/>
  <c r="AL5" i="13" l="1"/>
  <c r="AL6" i="13"/>
  <c r="AL7" i="13" l="1"/>
  <c r="AL28" i="13"/>
  <c r="AL29" i="13" l="1"/>
  <c r="AL8" i="13"/>
  <c r="AM4" i="13" l="1"/>
  <c r="AL31" i="13"/>
  <c r="AM6" i="13" l="1"/>
  <c r="AM28" i="13" s="1"/>
  <c r="AM5" i="13"/>
  <c r="AM7" i="13" s="1"/>
  <c r="AM29" i="13" s="1"/>
  <c r="AM8" i="13" l="1"/>
  <c r="AN4" i="13" l="1"/>
  <c r="AM31" i="13"/>
  <c r="AN5" i="13" l="1"/>
  <c r="AN6" i="13"/>
  <c r="AN7" i="13" l="1"/>
  <c r="AN28" i="13"/>
  <c r="AN29" i="13" l="1"/>
  <c r="AN8" i="13"/>
  <c r="AO4" i="13" l="1"/>
  <c r="AN31" i="13"/>
  <c r="AP4" i="13" l="1"/>
  <c r="AO6" i="13"/>
  <c r="AO5" i="13"/>
  <c r="AP6" i="13" l="1"/>
  <c r="AP28" i="13" s="1"/>
  <c r="AD57" i="14" s="1"/>
  <c r="AD58" i="14" s="1"/>
  <c r="AD60" i="14" s="1"/>
  <c r="AO28" i="13"/>
  <c r="AP5" i="13"/>
  <c r="AO7" i="13"/>
  <c r="AO29" i="13" l="1"/>
  <c r="AP7" i="13"/>
  <c r="AP29" i="13" s="1"/>
  <c r="AO8" i="13"/>
  <c r="AQ4" i="13" s="1"/>
  <c r="AD66" i="14"/>
  <c r="AD71" i="14" s="1"/>
  <c r="AD33" i="21"/>
  <c r="AE32" i="21" s="1"/>
  <c r="AD3" i="14"/>
  <c r="AQ6" i="13" l="1"/>
  <c r="AQ28" i="13" s="1"/>
  <c r="AQ5" i="13"/>
  <c r="AD76" i="14"/>
  <c r="AD77" i="14" s="1"/>
  <c r="AD78" i="14" s="1"/>
  <c r="AD79" i="14" s="1"/>
  <c r="AD10" i="21" s="1"/>
  <c r="AD14" i="21" s="1"/>
  <c r="AD19" i="21" s="1"/>
  <c r="AD34" i="21"/>
  <c r="AP8" i="13"/>
  <c r="AP31" i="13" s="1"/>
  <c r="AD28" i="21" s="1"/>
  <c r="AO31" i="13"/>
  <c r="AQ7" i="13" l="1"/>
  <c r="AD4" i="14"/>
  <c r="AE65" i="14"/>
  <c r="AD29" i="21"/>
  <c r="AD36" i="21" s="1"/>
  <c r="AQ8" i="13" l="1"/>
  <c r="AQ29" i="13"/>
  <c r="AD35" i="21"/>
  <c r="AQ31" i="13" l="1"/>
  <c r="AR4" i="13"/>
  <c r="AD37" i="21"/>
  <c r="AD38" i="21"/>
  <c r="AR6" i="13" l="1"/>
  <c r="AR28" i="13" s="1"/>
  <c r="AR5" i="13"/>
  <c r="AR7" i="13" l="1"/>
  <c r="AR8" i="13" l="1"/>
  <c r="AR29" i="13"/>
  <c r="AS4" i="13" l="1"/>
  <c r="AR31" i="13"/>
  <c r="AS6" i="13" l="1"/>
  <c r="AS28" i="13" s="1"/>
  <c r="AS5" i="13"/>
  <c r="AS7" i="13" l="1"/>
  <c r="AS29" i="13" l="1"/>
  <c r="AS8" i="13"/>
  <c r="AT4" i="13" l="1"/>
  <c r="AS31" i="13"/>
  <c r="AT6" i="13" l="1"/>
  <c r="AT28" i="13" s="1"/>
  <c r="AT5" i="13"/>
  <c r="AT7" i="13" l="1"/>
  <c r="AT8" i="13" l="1"/>
  <c r="AT29" i="13"/>
  <c r="AU4" i="13" l="1"/>
  <c r="AT31" i="13"/>
  <c r="AU6" i="13" l="1"/>
  <c r="AU28" i="13" s="1"/>
  <c r="AU5" i="13"/>
  <c r="AU7" i="13" l="1"/>
  <c r="AU8" i="13" l="1"/>
  <c r="AU29" i="13"/>
  <c r="AV4" i="13" l="1"/>
  <c r="AU31" i="13"/>
  <c r="AV6" i="13" l="1"/>
  <c r="AV28" i="13" s="1"/>
  <c r="AV5" i="13"/>
  <c r="AV7" i="13" l="1"/>
  <c r="AV29" i="13" l="1"/>
  <c r="AV8" i="13"/>
  <c r="AV31" i="13" l="1"/>
  <c r="AW4" i="13"/>
  <c r="AW5" i="13" l="1"/>
  <c r="AW6" i="13"/>
  <c r="AW28" i="13" s="1"/>
  <c r="AW7" i="13" l="1"/>
  <c r="AW8" i="13" s="1"/>
  <c r="AX4" i="13" s="1"/>
  <c r="AW29" i="13"/>
  <c r="AX5" i="13"/>
  <c r="AX6" i="13"/>
  <c r="AX28" i="13" s="1"/>
  <c r="AW31" i="13" l="1"/>
  <c r="AX7" i="13"/>
  <c r="AX8" i="13" l="1"/>
  <c r="AX29" i="13"/>
  <c r="AY4" i="13" l="1"/>
  <c r="AX31" i="13"/>
  <c r="AY6" i="13" l="1"/>
  <c r="AY28" i="13" s="1"/>
  <c r="AY5" i="13"/>
  <c r="AY7" i="13" l="1"/>
  <c r="AY8" i="13" s="1"/>
  <c r="AY29" i="13" l="1"/>
  <c r="AZ4" i="13"/>
  <c r="AY31" i="13"/>
  <c r="AZ5" i="13" l="1"/>
  <c r="AZ6" i="13"/>
  <c r="AZ28" i="13" s="1"/>
  <c r="AZ7" i="13" l="1"/>
  <c r="AZ29" i="13" l="1"/>
  <c r="AZ8" i="13"/>
  <c r="BA4" i="13" l="1"/>
  <c r="AZ31" i="13"/>
  <c r="BA6" i="13" l="1"/>
  <c r="BA28" i="13" s="1"/>
  <c r="BA5" i="13"/>
  <c r="BA7" i="13" l="1"/>
  <c r="BA29" i="13" s="1"/>
  <c r="BA8" i="13" l="1"/>
  <c r="BA31" i="13" s="1"/>
  <c r="BB4" i="13" l="1"/>
  <c r="BB6" i="13" l="1"/>
  <c r="BB5" i="13"/>
  <c r="BC4" i="13"/>
  <c r="BC6" i="13" l="1"/>
  <c r="BC28" i="13" s="1"/>
  <c r="AE57" i="14" s="1"/>
  <c r="AE58" i="14" s="1"/>
  <c r="AE60" i="14" s="1"/>
  <c r="BB28" i="13"/>
  <c r="BB7" i="13"/>
  <c r="BC5" i="13"/>
  <c r="AE66" i="14" l="1"/>
  <c r="AE71" i="14" s="1"/>
  <c r="AE3" i="14"/>
  <c r="AE33" i="21"/>
  <c r="AF32" i="21" s="1"/>
  <c r="BC7" i="13"/>
  <c r="BC29" i="13" s="1"/>
  <c r="BB8" i="13"/>
  <c r="BD4" i="13" s="1"/>
  <c r="BB29" i="13"/>
  <c r="AF76" i="14" s="1"/>
  <c r="BD5" i="13" l="1"/>
  <c r="BD6" i="13"/>
  <c r="BD28" i="13" s="1"/>
  <c r="AF77" i="14"/>
  <c r="AE76" i="14"/>
  <c r="AE77" i="14" s="1"/>
  <c r="AE78" i="14" s="1"/>
  <c r="AE79" i="14" s="1"/>
  <c r="AE4" i="14" s="1"/>
  <c r="BC8" i="13"/>
  <c r="BC31" i="13" s="1"/>
  <c r="AE28" i="21" s="1"/>
  <c r="AE29" i="21" s="1"/>
  <c r="BB31" i="13"/>
  <c r="AE34" i="21"/>
  <c r="AE35" i="21" l="1"/>
  <c r="BD7" i="13"/>
  <c r="AF65" i="14"/>
  <c r="AE10" i="21"/>
  <c r="AE14" i="21" s="1"/>
  <c r="AE19" i="21" s="1"/>
  <c r="AE36" i="21" s="1"/>
  <c r="AE37" i="21" l="1"/>
  <c r="AE38" i="21"/>
  <c r="BD29" i="13"/>
  <c r="BD8" i="13"/>
  <c r="BE4" i="13" l="1"/>
  <c r="BD31" i="13"/>
  <c r="BE5" i="13" l="1"/>
  <c r="BE6" i="13"/>
  <c r="BE28" i="13" s="1"/>
  <c r="BE7" i="13" l="1"/>
  <c r="BE8" i="13" l="1"/>
  <c r="BE29" i="13"/>
  <c r="BE31" i="13" l="1"/>
  <c r="BF4" i="13"/>
  <c r="BF5" i="13" l="1"/>
  <c r="BF6" i="13"/>
  <c r="BF28" i="13" s="1"/>
  <c r="BF7" i="13" l="1"/>
  <c r="BF29" i="13" l="1"/>
  <c r="BF8" i="13"/>
  <c r="BG4" i="13" l="1"/>
  <c r="BF31" i="13"/>
  <c r="BG5" i="13" l="1"/>
  <c r="BG6" i="13"/>
  <c r="BG28" i="13" s="1"/>
  <c r="BG7" i="13" l="1"/>
  <c r="BG29" i="13" l="1"/>
  <c r="BG8" i="13"/>
  <c r="BH4" i="13" l="1"/>
  <c r="BG31" i="13"/>
  <c r="BH5" i="13" l="1"/>
  <c r="BH6" i="13"/>
  <c r="BH28" i="13" s="1"/>
  <c r="BH7" i="13" l="1"/>
  <c r="BH29" i="13" l="1"/>
  <c r="BH8" i="13"/>
  <c r="BI4" i="13" l="1"/>
  <c r="BH31" i="13"/>
  <c r="BI6" i="13" l="1"/>
  <c r="BI28" i="13" s="1"/>
  <c r="BI5" i="13"/>
  <c r="BI7" i="13" l="1"/>
  <c r="BI29" i="13" l="1"/>
  <c r="BI8" i="13"/>
  <c r="BJ4" i="13" l="1"/>
  <c r="BI31" i="13"/>
  <c r="BJ5" i="13" l="1"/>
  <c r="BJ6" i="13"/>
  <c r="BJ28" i="13" s="1"/>
  <c r="BJ7" i="13" l="1"/>
  <c r="BJ29" i="13" l="1"/>
  <c r="BJ8" i="13"/>
  <c r="BK4" i="13" l="1"/>
  <c r="BJ31" i="13"/>
  <c r="BK5" i="13" l="1"/>
  <c r="BK6" i="13"/>
  <c r="BK28" i="13" s="1"/>
  <c r="BK7" i="13" l="1"/>
  <c r="BK29" i="13" l="1"/>
  <c r="BK8" i="13"/>
  <c r="BL4" i="13" l="1"/>
  <c r="BK31" i="13"/>
  <c r="BL5" i="13" l="1"/>
  <c r="BL6" i="13"/>
  <c r="BL28" i="13" s="1"/>
  <c r="BL7" i="13" l="1"/>
  <c r="BL29" i="13" l="1"/>
  <c r="BL8" i="13"/>
  <c r="BL31" i="13" l="1"/>
  <c r="BM4" i="13"/>
  <c r="BM5" i="13" l="1"/>
  <c r="BM6" i="13"/>
  <c r="BM28" i="13" s="1"/>
  <c r="BM7" i="13" l="1"/>
  <c r="BM29" i="13" l="1"/>
  <c r="BM8" i="13"/>
  <c r="BN4" i="13" l="1"/>
  <c r="BM31" i="13"/>
  <c r="BN5" i="13" l="1"/>
  <c r="BN6" i="13"/>
  <c r="BN28" i="13" s="1"/>
  <c r="BN7" i="13" l="1"/>
  <c r="BN8" i="13" l="1"/>
  <c r="BN29" i="13"/>
  <c r="BN31" i="13" l="1"/>
  <c r="BO4" i="13"/>
  <c r="BP4" i="13" l="1"/>
  <c r="BO5" i="13"/>
  <c r="BO6" i="13"/>
  <c r="BO28" i="13" l="1"/>
  <c r="BP6" i="13"/>
  <c r="BP28" i="13" s="1"/>
  <c r="AF57" i="14" s="1"/>
  <c r="AF58" i="14" s="1"/>
  <c r="AF60" i="14" s="1"/>
  <c r="BO7" i="13"/>
  <c r="BP5" i="13"/>
  <c r="BP7" i="13" l="1"/>
  <c r="BP29" i="13" s="1"/>
  <c r="BO8" i="13"/>
  <c r="BO29" i="13"/>
  <c r="AF33" i="21"/>
  <c r="AF34" i="21" s="1"/>
  <c r="AF3" i="14"/>
  <c r="AF66" i="14"/>
  <c r="AF71" i="14" s="1"/>
  <c r="AF78" i="14" s="1"/>
  <c r="AF79" i="14" s="1"/>
  <c r="BO31" i="13" l="1"/>
  <c r="BP8" i="13"/>
  <c r="BP31" i="13" s="1"/>
  <c r="AF28" i="21" s="1"/>
  <c r="AF29" i="21" s="1"/>
  <c r="AF35" i="21" s="1"/>
  <c r="AF4" i="14"/>
  <c r="AF10" i="21"/>
  <c r="AF14" i="21" s="1"/>
  <c r="AF19" i="21" s="1"/>
  <c r="AF36" i="21" l="1"/>
  <c r="AF37" i="21"/>
  <c r="AF38" i="2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Donald Hill</author>
  </authors>
  <commentList>
    <comment ref="A9" authorId="0" shapeId="0" xr:uid="{87318C84-690E-47F3-99CB-A75D9CD4EF8C}">
      <text>
        <r>
          <rPr>
            <sz val="9"/>
            <color indexed="81"/>
            <rFont val="Tahoma"/>
            <family val="2"/>
          </rPr>
          <t xml:space="preserve">If you have outstanding credit card balances or line of credit balances from starting up, enter that total here along with interest rate.
</t>
        </r>
      </text>
    </comment>
    <comment ref="B10" authorId="0" shapeId="0" xr:uid="{00000000-0006-0000-0800-000001000000}">
      <text>
        <r>
          <rPr>
            <b/>
            <sz val="9"/>
            <color indexed="81"/>
            <rFont val="Tahoma"/>
            <family val="2"/>
          </rPr>
          <t>How many months of expenses do you want to have cash onhand in case slow startup collecting revenues? This will be your minimum starting cash balance.</t>
        </r>
        <r>
          <rPr>
            <sz val="9"/>
            <color indexed="81"/>
            <rFont val="Tahoma"/>
            <family val="2"/>
          </rPr>
          <t xml:space="preserve">
</t>
        </r>
      </text>
    </comment>
    <comment ref="A18" authorId="0" shapeId="0" xr:uid="{00000000-0006-0000-0800-000002000000}">
      <text>
        <r>
          <rPr>
            <sz val="9"/>
            <color indexed="81"/>
            <rFont val="Tahoma"/>
            <family val="2"/>
          </rPr>
          <t xml:space="preserve">If you have outstanding credit card balances or line of credit balances from starting up, enter that total here along with interest rate.
</t>
        </r>
      </text>
    </comment>
    <comment ref="D18" authorId="0" shapeId="0" xr:uid="{00000000-0006-0000-0800-000003000000}">
      <text>
        <r>
          <rPr>
            <b/>
            <sz val="9"/>
            <color indexed="81"/>
            <rFont val="Tahoma"/>
            <family val="2"/>
          </rPr>
          <t xml:space="preserve">Only one interest rate for unsecured line or CC allowed. Assumes that if get new line or CC (on line 18) with lower interest, would pay off existing higher interest CC or line.
</t>
        </r>
        <r>
          <rPr>
            <sz val="9"/>
            <color indexed="81"/>
            <rFont val="Tahoma"/>
            <family val="2"/>
          </rPr>
          <t xml:space="preserve">
</t>
        </r>
      </text>
    </comment>
    <comment ref="A19" authorId="0" shapeId="0" xr:uid="{00000000-0006-0000-0800-000004000000}">
      <text>
        <r>
          <rPr>
            <sz val="9"/>
            <color indexed="81"/>
            <rFont val="Tahoma"/>
            <family val="2"/>
          </rPr>
          <t xml:space="preserve">Enter the Maximum limit of a new line fo credit or credit card. Example, new CC with $15,000 limit, enter $15,000
</t>
        </r>
      </text>
    </comment>
    <comment ref="C26" authorId="0" shapeId="0" xr:uid="{00000000-0006-0000-0800-000005000000}">
      <text>
        <r>
          <rPr>
            <b/>
            <sz val="9"/>
            <color indexed="81"/>
            <rFont val="Tahoma"/>
            <family val="2"/>
          </rPr>
          <t>if negative, need more funding in lines 14-21</t>
        </r>
      </text>
    </comment>
    <comment ref="C27" authorId="0" shapeId="0" xr:uid="{00000000-0006-0000-0800-000006000000}">
      <text>
        <r>
          <rPr>
            <sz val="9"/>
            <color indexed="81"/>
            <rFont val="Tahoma"/>
            <family val="2"/>
          </rPr>
          <t xml:space="preserve">This includes total of any surplus of funding sources, PLUS the amount of Working capital planned in line 9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Donald Hill</author>
  </authors>
  <commentList>
    <comment ref="C64" authorId="0" shapeId="0" xr:uid="{00000000-0006-0000-0900-000001000000}">
      <text>
        <r>
          <rPr>
            <sz val="9"/>
            <color indexed="81"/>
            <rFont val="Tahoma"/>
            <family val="2"/>
          </rPr>
          <t>This is from the 9. Funding Plan total cash at startup line C25</t>
        </r>
      </text>
    </comment>
  </commentList>
</comments>
</file>

<file path=xl/sharedStrings.xml><?xml version="1.0" encoding="utf-8"?>
<sst xmlns="http://schemas.openxmlformats.org/spreadsheetml/2006/main" count="471" uniqueCount="382">
  <si>
    <t>Sales</t>
  </si>
  <si>
    <t>COGS</t>
  </si>
  <si>
    <t>Gross Profit</t>
  </si>
  <si>
    <t>Interest</t>
  </si>
  <si>
    <t>Depreciation</t>
  </si>
  <si>
    <t>Net Profit</t>
  </si>
  <si>
    <t>Total Annual Sales</t>
  </si>
  <si>
    <t>Item</t>
  </si>
  <si>
    <t>Utilities</t>
  </si>
  <si>
    <t>Other</t>
  </si>
  <si>
    <t>Total</t>
  </si>
  <si>
    <t>Tax</t>
  </si>
  <si>
    <t>Workers Comp</t>
  </si>
  <si>
    <t>Equipment, Office Equipment and Supply Startup Expenses</t>
  </si>
  <si>
    <t>Costs to prepare facility for operations</t>
  </si>
  <si>
    <t>Business Startup Costs</t>
  </si>
  <si>
    <t>Business Startup</t>
  </si>
  <si>
    <t>Facilities</t>
  </si>
  <si>
    <t>Total Equipment/Vehicle Assets</t>
  </si>
  <si>
    <t>Annual depreciation</t>
  </si>
  <si>
    <t>Total Required</t>
  </si>
  <si>
    <t>Funding Sources</t>
  </si>
  <si>
    <t>% of Total</t>
  </si>
  <si>
    <t>Amount</t>
  </si>
  <si>
    <t>Interest Rate</t>
  </si>
  <si>
    <t>Term</t>
  </si>
  <si>
    <t>Personal Income Tax</t>
  </si>
  <si>
    <t>Annual Sales</t>
  </si>
  <si>
    <t>Useful Life of Equipment</t>
  </si>
  <si>
    <t>Equipment</t>
  </si>
  <si>
    <t>Owner Cash</t>
  </si>
  <si>
    <t>Owner Prior Purchases</t>
  </si>
  <si>
    <t>Qty</t>
  </si>
  <si>
    <t>Use</t>
  </si>
  <si>
    <t>Owner</t>
  </si>
  <si>
    <t>Have</t>
  </si>
  <si>
    <t>Purpose</t>
  </si>
  <si>
    <t>Grants</t>
  </si>
  <si>
    <t>Monthly</t>
  </si>
  <si>
    <t>Annual</t>
  </si>
  <si>
    <t>Weekly</t>
  </si>
  <si>
    <t>Accounting Services</t>
  </si>
  <si>
    <t>% of</t>
  </si>
  <si>
    <t>Lookup comp rate online</t>
  </si>
  <si>
    <t>1. Product Pricing and Cost Assumptions</t>
  </si>
  <si>
    <t>2. Number of Sales Per Month</t>
  </si>
  <si>
    <t>Annual Cost of Goods Sold</t>
  </si>
  <si>
    <t>Total COGS</t>
  </si>
  <si>
    <t>Funding Plan - Cash Requirements and Funding Strategy</t>
  </si>
  <si>
    <t>Loan Ammortization</t>
  </si>
  <si>
    <t>Starting Year</t>
  </si>
  <si>
    <t>Starting Month</t>
  </si>
  <si>
    <t>Balance</t>
  </si>
  <si>
    <t>Payment</t>
  </si>
  <si>
    <t>Principal</t>
  </si>
  <si>
    <t>Ending</t>
  </si>
  <si>
    <t>Line of Credit or Credit</t>
  </si>
  <si>
    <t>Cards</t>
  </si>
  <si>
    <t>Charges</t>
  </si>
  <si>
    <t>Start</t>
  </si>
  <si>
    <t>Description</t>
  </si>
  <si>
    <t>Vendor</t>
  </si>
  <si>
    <t>P&amp;L Income Statement</t>
  </si>
  <si>
    <t>Expenses</t>
  </si>
  <si>
    <t>Profit Before Interest and Taxes</t>
  </si>
  <si>
    <t>Total Funding Amounts</t>
  </si>
  <si>
    <t>Interest Paid</t>
  </si>
  <si>
    <t>How many months before sales will be</t>
  </si>
  <si>
    <t>per month.?</t>
  </si>
  <si>
    <t xml:space="preserve">Or how many months before doing </t>
  </si>
  <si>
    <t>transactions per month</t>
  </si>
  <si>
    <t>Enter the number of months until sales reach expected levels</t>
  </si>
  <si>
    <t>Net Cash Flow</t>
  </si>
  <si>
    <t>Cash added from line</t>
  </si>
  <si>
    <t>Ending Cash Balance</t>
  </si>
  <si>
    <t>Cash from Operations</t>
  </si>
  <si>
    <t>Cash from owners</t>
  </si>
  <si>
    <t>Cash from Investors</t>
  </si>
  <si>
    <t>Owner Draws</t>
  </si>
  <si>
    <t>Repay Investors</t>
  </si>
  <si>
    <t>Y</t>
  </si>
  <si>
    <t>Borrowed</t>
  </si>
  <si>
    <t>Repaid</t>
  </si>
  <si>
    <t>Ending Balance Owed</t>
  </si>
  <si>
    <t>Startup Expenses and Investment</t>
  </si>
  <si>
    <t>Section</t>
  </si>
  <si>
    <t>num</t>
  </si>
  <si>
    <t>question</t>
  </si>
  <si>
    <t>answer 1</t>
  </si>
  <si>
    <t>answer 2</t>
  </si>
  <si>
    <t>answer 3</t>
  </si>
  <si>
    <t>Name of Business</t>
  </si>
  <si>
    <t>Type</t>
  </si>
  <si>
    <t>checked if available</t>
  </si>
  <si>
    <t>action</t>
  </si>
  <si>
    <t>Worker Wages</t>
  </si>
  <si>
    <t>Owner Pay</t>
  </si>
  <si>
    <t>Total Operating Expenses</t>
  </si>
  <si>
    <t>Useful Life of Facility</t>
  </si>
  <si>
    <t>Total Facility Investment</t>
  </si>
  <si>
    <t>Total Cash Added</t>
  </si>
  <si>
    <t>Total Cash Used</t>
  </si>
  <si>
    <t xml:space="preserve">Starting Cash </t>
  </si>
  <si>
    <t>Your Business Name</t>
  </si>
  <si>
    <t>Owner
 Purchased</t>
  </si>
  <si>
    <t>Taxes on Profit After Interest</t>
  </si>
  <si>
    <t>Average Monthly Budget</t>
  </si>
  <si>
    <t>For Reference, this is summary based</t>
  </si>
  <si>
    <t xml:space="preserve">on these sales assumptions on this sheet </t>
  </si>
  <si>
    <t>Total Sales</t>
  </si>
  <si>
    <t>Break-Even</t>
  </si>
  <si>
    <t>Enter expense estimate in ONE</t>
  </si>
  <si>
    <t>column Weekly/Monthly/Annual</t>
  </si>
  <si>
    <r>
      <rPr>
        <b/>
        <u/>
        <sz val="9"/>
        <color rgb="FFC00000"/>
        <rFont val="Arial"/>
        <family val="2"/>
      </rPr>
      <t>Or</t>
    </r>
    <r>
      <rPr>
        <sz val="9"/>
        <rFont val="Arial"/>
        <family val="2"/>
      </rPr>
      <t xml:space="preserve"> as a</t>
    </r>
  </si>
  <si>
    <t>STARTING CASH BALANCE</t>
  </si>
  <si>
    <t>CASH SPENT</t>
  </si>
  <si>
    <t>CASH ADDED</t>
  </si>
  <si>
    <t>Repay long-term loans</t>
  </si>
  <si>
    <t>N/A</t>
  </si>
  <si>
    <t>2. Seasonality</t>
  </si>
  <si>
    <t>1. Startup Phase - How long for sales to ramp up to expected normal levels?</t>
  </si>
  <si>
    <t xml:space="preserve">If your business is a startup or expanding, it usually takes months and possibly a year before your sales </t>
  </si>
  <si>
    <t>volume increases to the level expected in your business plan. This is a normal situation, and to help</t>
  </si>
  <si>
    <t>forecast how much extra cash you will need to survive those start-up months until things start picking up, this Rapid Business</t>
  </si>
  <si>
    <t>Plan financial template allows you to estimate the number of months needed to reach full sales revenues.</t>
  </si>
  <si>
    <t>Just enter the number of months you think it will take to get up and running with customers buying your product or service.</t>
  </si>
  <si>
    <t>For reference, the sales levels below are from Tab 1 Sales Forecast showing the 'average' typical month.</t>
  </si>
  <si>
    <t>EXPENSES</t>
  </si>
  <si>
    <t>SALES</t>
  </si>
  <si>
    <t>SNAPSHOT</t>
  </si>
  <si>
    <t>Seasonality and Initial Startup Delay in Reaching Sales Goals</t>
  </si>
  <si>
    <t>Most businesses have some seasonality impacting their sales volumes. A snow plow company sees higher sales in the winter</t>
  </si>
  <si>
    <t>for example.</t>
  </si>
  <si>
    <t>The table below is designed to help you easily adjust your monthly sales estimates by entering a multiplier for each month to</t>
  </si>
  <si>
    <t>indicate how busy that month is for sales.</t>
  </si>
  <si>
    <t>A '1' indicates it is a 'typical' run of the mill month. Not high or low - just average. If you enter a '2' for a month, that means that</t>
  </si>
  <si>
    <t xml:space="preserve">month is double what a 'typical' or average month will generate in terms of sales. You can enter any multiplier you want using </t>
  </si>
  <si>
    <t>this logic. For example, a retailer might enter a '9' for December to reflect the peak holiday sales 9 times higher than 'average'.</t>
  </si>
  <si>
    <t>You can also enter a '0' for a month if you think your business will not sell anything during that month.</t>
  </si>
  <si>
    <t>Basic Information Sheet</t>
  </si>
  <si>
    <t>This sheet is for entering basic information about your company that is then used on other sheets in the workbook.</t>
  </si>
  <si>
    <t xml:space="preserve">       Black and other font color cells are calculated automatically and should not be manually adjusted.</t>
  </si>
  <si>
    <t>1. Let's start off by entering the name of your company below:</t>
  </si>
  <si>
    <t>2. When do you plan to start your business? (If already in business, enter when you want the plan to start)</t>
  </si>
  <si>
    <t>3. Optional. What do you estimate your income tax rate will be?</t>
  </si>
  <si>
    <r>
      <t xml:space="preserve">TIP: On this sheet and alll other worksheets, be sure to ONLY change values with </t>
    </r>
    <r>
      <rPr>
        <b/>
        <sz val="10"/>
        <color rgb="FF0000FF"/>
        <rFont val="Arial"/>
        <family val="2"/>
      </rPr>
      <t>BLUE</t>
    </r>
    <r>
      <rPr>
        <sz val="10"/>
        <rFont val="Arial"/>
        <family val="2"/>
      </rPr>
      <t xml:space="preserve"> font color.</t>
    </r>
  </si>
  <si>
    <t>4. Below is a brief description of the workbook tabs and recommended order of completion.</t>
  </si>
  <si>
    <t>and operating expenses estimated on Tab 2.</t>
  </si>
  <si>
    <t>On this sheet, you can estimate your operating expenses like rent, utilities, marketing, cell phone and other recurring expenses.</t>
  </si>
  <si>
    <t>IMPORTANT: This is for expenses that repeat! One-time startup expenses are estimated on Tab 3, Tab 4 and Tab 5.</t>
  </si>
  <si>
    <t>This sheet allows you to estimate your operating expenses in one of four ways.</t>
  </si>
  <si>
    <t>1. Column C - how much something costs per week.</t>
  </si>
  <si>
    <t>2. Column D - how much something costs per month</t>
  </si>
  <si>
    <t>3. Column E - how much something costs per year.</t>
  </si>
  <si>
    <t>4. Column F - something that is estimated as a percentage of total annual sales.</t>
  </si>
  <si>
    <t>add more rows. This sheet links to Tab 6 P&amp;L and will become corrupted if you delet or add rows here!</t>
  </si>
  <si>
    <t>For each expense line, only enter a value in ONE of the columns C, D, E, and F for each expense row.</t>
  </si>
  <si>
    <t>You do NOT have to use all the lines available! Leave blank if they are not needed, but do NOT delete any rows or</t>
  </si>
  <si>
    <r>
      <t xml:space="preserve">You can edit the names of expenses if they are in </t>
    </r>
    <r>
      <rPr>
        <b/>
        <sz val="10"/>
        <color rgb="FF0000FF"/>
        <rFont val="Arial"/>
        <family val="2"/>
      </rPr>
      <t>BLUE</t>
    </r>
    <r>
      <rPr>
        <sz val="10"/>
        <rFont val="Arial"/>
        <family val="2"/>
      </rPr>
      <t xml:space="preserve"> text. Only change </t>
    </r>
    <r>
      <rPr>
        <b/>
        <sz val="10"/>
        <color rgb="FF0000FF"/>
        <rFont val="Arial"/>
        <family val="2"/>
      </rPr>
      <t>BLUE</t>
    </r>
    <r>
      <rPr>
        <sz val="10"/>
        <rFont val="Arial"/>
        <family val="2"/>
      </rPr>
      <t xml:space="preserve"> text!</t>
    </r>
  </si>
  <si>
    <t>Totals</t>
  </si>
  <si>
    <t>Expense Category</t>
  </si>
  <si>
    <t>INSTRUCTIONS</t>
  </si>
  <si>
    <t>of sales</t>
  </si>
  <si>
    <t>Tab #</t>
  </si>
  <si>
    <t>Name</t>
  </si>
  <si>
    <t>Basic Info</t>
  </si>
  <si>
    <t>Company name, starting year and month, tax rates</t>
  </si>
  <si>
    <t>Sales Forecast</t>
  </si>
  <si>
    <t>Estimate pricing, units sold/month and cost of goods sold</t>
  </si>
  <si>
    <t>Operating Budget</t>
  </si>
  <si>
    <t>Monthly expenses - rent, insurance, utilities, marketing, phone, etc</t>
  </si>
  <si>
    <t>Startup Costs</t>
  </si>
  <si>
    <t>One-time startup expenses like incorporation costs, legal, etc.</t>
  </si>
  <si>
    <t>Equipment &amp; Vehicle</t>
  </si>
  <si>
    <t>One-time purchase of equipment like office equip, truck, tools</t>
  </si>
  <si>
    <t>Facility Costs</t>
  </si>
  <si>
    <t>One-time cost to purchase building, redecorate, expand, signage</t>
  </si>
  <si>
    <t>Seasonality</t>
  </si>
  <si>
    <t>Adjust monthly sales for seasonality and initial startup ramp up time</t>
  </si>
  <si>
    <t>Funding Plan</t>
  </si>
  <si>
    <t>Describe where you will get funding and how it will be spent.</t>
  </si>
  <si>
    <t>Sales Summary Tables</t>
  </si>
  <si>
    <t>Financial Summary Tables</t>
  </si>
  <si>
    <t>Graphs &amp; tables P&amp;L, expenses - for copy/paste into Word plan</t>
  </si>
  <si>
    <t>Graphs &amp; tables summaries of revenues - copy/paste into Word plan</t>
  </si>
  <si>
    <t>Loan Detail</t>
  </si>
  <si>
    <t>Monthly ammortization of loans shown in Funding Plan</t>
  </si>
  <si>
    <t>OPERATING BUDGET ESTIMATES</t>
  </si>
  <si>
    <t>Business</t>
  </si>
  <si>
    <t>Repay Line</t>
  </si>
  <si>
    <t>Dwelling:</t>
  </si>
  <si>
    <t>Rent Payment</t>
  </si>
  <si>
    <t>House Payment</t>
  </si>
  <si>
    <t>Property Tax</t>
  </si>
  <si>
    <t>House Repair</t>
  </si>
  <si>
    <t>Miscellaneous Expenses (lawn mowing, cleaning, snow shoveling)</t>
  </si>
  <si>
    <t>Homeowner’s  Association Dues</t>
  </si>
  <si>
    <t>Insurance</t>
  </si>
  <si>
    <t>Furniture/Appliance Payments</t>
  </si>
  <si>
    <t>Transportation</t>
  </si>
  <si>
    <t>Car Payment(s)</t>
  </si>
  <si>
    <t>Other Vehicle Payment(s)</t>
  </si>
  <si>
    <t>Vehicle Upkeep/Repair</t>
  </si>
  <si>
    <t>Fuel</t>
  </si>
  <si>
    <t>License(s)</t>
  </si>
  <si>
    <t>Public Transportation</t>
  </si>
  <si>
    <t>Telephone</t>
  </si>
  <si>
    <t>Gas</t>
  </si>
  <si>
    <t>Electricity</t>
  </si>
  <si>
    <t>Water</t>
  </si>
  <si>
    <t>Trash</t>
  </si>
  <si>
    <t>Personal</t>
  </si>
  <si>
    <t>Groceries</t>
  </si>
  <si>
    <t>Dining Out</t>
  </si>
  <si>
    <t>Entertainment</t>
  </si>
  <si>
    <t>Tobacco Products</t>
  </si>
  <si>
    <t>Medical/Dental/Vision Insurance</t>
  </si>
  <si>
    <t>Clothing</t>
  </si>
  <si>
    <t>Laundry/Dry Cleaning</t>
  </si>
  <si>
    <t>Medical/Dental/Vision/Hospital Exp</t>
  </si>
  <si>
    <t>Prescriptions</t>
  </si>
  <si>
    <t>Education</t>
  </si>
  <si>
    <t>Credit Card Payments</t>
  </si>
  <si>
    <t>Loan Payments</t>
  </si>
  <si>
    <t>Pets</t>
  </si>
  <si>
    <t>Dues &amp; Subscriptions</t>
  </si>
  <si>
    <t>Gifts</t>
  </si>
  <si>
    <t>Donations</t>
  </si>
  <si>
    <t>Travel</t>
  </si>
  <si>
    <t>Cable TV</t>
  </si>
  <si>
    <t>Hobbies/Crafts</t>
  </si>
  <si>
    <t>Music</t>
  </si>
  <si>
    <t>Personal Assistant</t>
  </si>
  <si>
    <t>Assistive technology purchase, payments &amp; maintenance</t>
  </si>
  <si>
    <t>Internet Access</t>
  </si>
  <si>
    <t>Other:</t>
  </si>
  <si>
    <t>Rent</t>
  </si>
  <si>
    <t>Liability Insurance</t>
  </si>
  <si>
    <t>Printer</t>
  </si>
  <si>
    <t>Phone/Internet/Cell</t>
  </si>
  <si>
    <t>Dumpster/Waste</t>
  </si>
  <si>
    <t>Banking Fees</t>
  </si>
  <si>
    <t>INCOME</t>
  </si>
  <si>
    <t>Enter value in only one column!</t>
  </si>
  <si>
    <t>Source</t>
  </si>
  <si>
    <t>Wage Income</t>
  </si>
  <si>
    <t>As a percentage, estimate your growth in each sales category.</t>
  </si>
  <si>
    <t>Ending Line Balance</t>
  </si>
  <si>
    <t>Number of Sales Per month</t>
  </si>
  <si>
    <t>Price Each</t>
  </si>
  <si>
    <t>Office</t>
  </si>
  <si>
    <t>Pro Forma Balance Sheet</t>
  </si>
  <si>
    <t>Current Assets</t>
  </si>
  <si>
    <t>Cash</t>
  </si>
  <si>
    <t>Accounts Receivable</t>
  </si>
  <si>
    <t>Inventory</t>
  </si>
  <si>
    <t>Other Current Assets</t>
  </si>
  <si>
    <t>Total Current Assets</t>
  </si>
  <si>
    <t>Long-term Assets</t>
  </si>
  <si>
    <t>Accumulated Depreciation</t>
  </si>
  <si>
    <t>Total Long-term Assets</t>
  </si>
  <si>
    <t>Total Assets</t>
  </si>
  <si>
    <t>Accounts Payable</t>
  </si>
  <si>
    <t>Current Borrowing</t>
  </si>
  <si>
    <t>Other Current Liabilities</t>
  </si>
  <si>
    <t>Subtotal Current Liabilities</t>
  </si>
  <si>
    <t>Long-term Liabilities</t>
  </si>
  <si>
    <t>Total Liabilities</t>
  </si>
  <si>
    <t>Paid-in Capital</t>
  </si>
  <si>
    <t>Total Capital</t>
  </si>
  <si>
    <t>Total Liabilities and Capital</t>
  </si>
  <si>
    <t>Net Worth</t>
  </si>
  <si>
    <t>Starting Balance</t>
  </si>
  <si>
    <t>Ending Line of Credit Balance</t>
  </si>
  <si>
    <t>Outstanding Principal</t>
  </si>
  <si>
    <t>Retained Earnings</t>
  </si>
  <si>
    <t>Earnings</t>
  </si>
  <si>
    <t>ASSETS</t>
  </si>
  <si>
    <t>LIABILITIES AND CAPITAL</t>
  </si>
  <si>
    <t>Liabilities</t>
  </si>
  <si>
    <t>Capital</t>
  </si>
  <si>
    <t>3. Projected Sales Growth</t>
  </si>
  <si>
    <t>Investor/Other Owner</t>
  </si>
  <si>
    <t>Owner Paid</t>
  </si>
  <si>
    <t>Needed</t>
  </si>
  <si>
    <t>Loan Interest</t>
  </si>
  <si>
    <t>Working Capital Reserve</t>
  </si>
  <si>
    <t>Customer Type</t>
  </si>
  <si>
    <t>My Household Budget Needs</t>
  </si>
  <si>
    <t>New Line or CC Limit</t>
  </si>
  <si>
    <t>Term Loan 1</t>
  </si>
  <si>
    <t>Term Loan 2</t>
  </si>
  <si>
    <t>Starting Cash Balance</t>
  </si>
  <si>
    <t>Balance Sheet</t>
  </si>
  <si>
    <t>Annual Balance Sheet</t>
  </si>
  <si>
    <t>Personal Budget</t>
  </si>
  <si>
    <t>Useful for estimating how much owner must make to live on</t>
  </si>
  <si>
    <t>P&amp;L and Cashflow</t>
  </si>
  <si>
    <t>Profit and Loss (Income Statement) with Cashflow at bottom</t>
  </si>
  <si>
    <t>Cash from Term Loans</t>
  </si>
  <si>
    <t>Purchases</t>
  </si>
  <si>
    <t>an</t>
  </si>
  <si>
    <t>List non-asset startup items here</t>
  </si>
  <si>
    <t>Ex: Website, LLC costs, office supply</t>
  </si>
  <si>
    <t xml:space="preserve">      marketing materials, deposits,</t>
  </si>
  <si>
    <t xml:space="preserve">      startup professional services,</t>
  </si>
  <si>
    <t xml:space="preserve">      initial inventory purchases</t>
  </si>
  <si>
    <t>First Year Average Monthly Budget</t>
  </si>
  <si>
    <t>My Business</t>
  </si>
  <si>
    <t>TOTALS</t>
  </si>
  <si>
    <t>Household Income</t>
  </si>
  <si>
    <t>Customer 1</t>
  </si>
  <si>
    <t>Customer 2</t>
  </si>
  <si>
    <t>Customer 3</t>
  </si>
  <si>
    <t>Customer 4</t>
  </si>
  <si>
    <t>Customer 5</t>
  </si>
  <si>
    <t>Customer 6</t>
  </si>
  <si>
    <t>Office Supplies</t>
  </si>
  <si>
    <t>Electricity/Heat/Water</t>
  </si>
  <si>
    <t>Website Hosting/Updates</t>
  </si>
  <si>
    <t>Free Samples</t>
  </si>
  <si>
    <t>Legal Services</t>
  </si>
  <si>
    <t>Meals and Entertainment</t>
  </si>
  <si>
    <t>Merchant Account Fees</t>
  </si>
  <si>
    <t>GoogleAd Words</t>
  </si>
  <si>
    <t>Amazon Seller Fees</t>
  </si>
  <si>
    <t>Graphic Design for Flyers</t>
  </si>
  <si>
    <t>Misc Advertising Expenses</t>
  </si>
  <si>
    <t>Tradeshows</t>
  </si>
  <si>
    <t>Software/Online Subscriptions</t>
  </si>
  <si>
    <t>Bad Debt</t>
  </si>
  <si>
    <t>Professional Development</t>
  </si>
  <si>
    <t>Networking Events</t>
  </si>
  <si>
    <t>Gross Sales</t>
  </si>
  <si>
    <t>Expenses as Percentage of Sales</t>
  </si>
  <si>
    <t>Employee Estimate</t>
  </si>
  <si>
    <t>Average Hourly Wage</t>
  </si>
  <si>
    <t>Full-time-Equivalent (FTE)</t>
  </si>
  <si>
    <t>FTE Employees</t>
  </si>
  <si>
    <t>List assets like PCs, printers, vehicles</t>
  </si>
  <si>
    <t>furnishings, buildings, equipment</t>
  </si>
  <si>
    <t>List things already purchases too! Out 'Y' in</t>
  </si>
  <si>
    <t>the Have column</t>
  </si>
  <si>
    <t>IMPORTANT, put QTY in 1st column</t>
  </si>
  <si>
    <t>Laptop</t>
  </si>
  <si>
    <t>Desk</t>
  </si>
  <si>
    <t>Locking File Cabinet</t>
  </si>
  <si>
    <t>Examples Below</t>
  </si>
  <si>
    <t>New Equipmwent</t>
  </si>
  <si>
    <t>Production</t>
  </si>
  <si>
    <t>Website</t>
  </si>
  <si>
    <t>Marketing</t>
  </si>
  <si>
    <t>Business Cards</t>
  </si>
  <si>
    <t>Logo Design</t>
  </si>
  <si>
    <t>If need to buy building, or improve a space</t>
  </si>
  <si>
    <t>List costs here</t>
  </si>
  <si>
    <t>Signs are Us</t>
  </si>
  <si>
    <t>Outdoor Sign</t>
  </si>
  <si>
    <t>Painters R Us</t>
  </si>
  <si>
    <t>Paint interior offices</t>
  </si>
  <si>
    <t>Carpet is Us</t>
  </si>
  <si>
    <t>New Carpet/Flooring</t>
  </si>
  <si>
    <t>Total Available Funding</t>
  </si>
  <si>
    <t>Total Funding Required</t>
  </si>
  <si>
    <t>Total New Cash</t>
  </si>
  <si>
    <t>Total New Spend</t>
  </si>
  <si>
    <t>Starting Cash Overview</t>
  </si>
  <si>
    <t>This excludes any New Line of Credit</t>
  </si>
  <si>
    <t>needed.</t>
  </si>
  <si>
    <t>that is available since not drawn until</t>
  </si>
  <si>
    <t>List up to six types of customers or sales transactions you have; the 'typical' price for each; and 'typical' cost</t>
  </si>
  <si>
    <t>for you to produce/deliver the product or services sold (i.e. Cost of Goods Sold COGS)</t>
  </si>
  <si>
    <t>Sales Revenue</t>
  </si>
  <si>
    <t>Estimate how many of each category of transactions above you will have in a 'typical' or 'average' month.</t>
  </si>
  <si>
    <t>Total Transactions per Month</t>
  </si>
  <si>
    <t>% 
of total</t>
  </si>
  <si>
    <r>
      <t>4. Number of Annual Sales</t>
    </r>
    <r>
      <rPr>
        <u/>
        <sz val="10"/>
        <rFont val="Arial"/>
        <family val="2"/>
      </rPr>
      <t xml:space="preserve"> (This table calculates Automatically - do not enter values here)</t>
    </r>
  </si>
  <si>
    <r>
      <t xml:space="preserve">5. Annual Sales </t>
    </r>
    <r>
      <rPr>
        <u/>
        <sz val="10"/>
        <rFont val="Arial"/>
        <family val="2"/>
      </rPr>
      <t xml:space="preserve"> (This table calculates Automatically - do not enter values here)</t>
    </r>
  </si>
  <si>
    <r>
      <t xml:space="preserve">6. Cost of Goods Sold  </t>
    </r>
    <r>
      <rPr>
        <u/>
        <sz val="10"/>
        <rFont val="Arial"/>
        <family val="2"/>
      </rPr>
      <t>(This table calculates Automatically - do not enter values here)</t>
    </r>
  </si>
  <si>
    <t>Total per YEAR</t>
  </si>
  <si>
    <t>Payoff Existing Credit Card Debt</t>
  </si>
  <si>
    <t>Line of Credit Activity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</si>
</sst>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5" formatCode="&quot;$&quot;#,##0_);\(&quot;$&quot;#,##0\)"/>
    <numFmt numFmtId="6" formatCode="&quot;$&quot;#,##0_);[Red]\(&quot;$&quot;#,##0\)"/>
    <numFmt numFmtId="7" formatCode="&quot;$&quot;#,##0.00_);\(&quot;$&quot;#,##0.00\)"/>
    <numFmt numFmtId="42" formatCode="_(&quot;$&quot;* #,##0_);_(&quot;$&quot;* \(#,##0\);_(&quot;$&quot;* &quot;-&quot;_);_(@_)"/>
    <numFmt numFmtId="44" formatCode="_(&quot;$&quot;* #,##0.00_);_(&quot;$&quot;* \(#,##0.00\);_(&quot;$&quot;* &quot;-&quot;??_);_(@_)"/>
    <numFmt numFmtId="43" formatCode="_(* #,##0.00_);_(* \(#,##0.00\);_(* &quot;-&quot;??_);_(@_)"/>
    <numFmt numFmtId="164" formatCode="_(&quot;$&quot;* #,##0_);_(&quot;$&quot;* \(#,##0\);_(&quot;$&quot;* &quot;-&quot;??_);_(@_)"/>
    <numFmt numFmtId="165" formatCode="0.0%"/>
    <numFmt numFmtId="166" formatCode="0.0"/>
    <numFmt numFmtId="167" formatCode="_(* #,##0_);_(* \(#,##0\);_(* &quot;-&quot;??_);_(@_)"/>
    <numFmt numFmtId="168" formatCode="0.00&quot;/$100&quot;"/>
    <numFmt numFmtId="169" formatCode="0&quot; months&quot;"/>
    <numFmt numFmtId="170" formatCode="General&quot; years&quot;"/>
    <numFmt numFmtId="171" formatCode="0&quot; yrs&quot;"/>
    <numFmt numFmtId="172" formatCode="0%&quot; Payroll Taxes&quot;"/>
    <numFmt numFmtId="173" formatCode="mmm"/>
    <numFmt numFmtId="174" formatCode="_(&quot;$&quot;* #,##0_);_(&quot;$&quot;* \(#,##0\);_(&quot;$&quot;* &quot;-&quot;?_);_(@_)"/>
    <numFmt numFmtId="175" formatCode="&quot;Line Bal &quot;&quot;$&quot;#,##0_)"/>
    <numFmt numFmtId="176" formatCode="0&quot; /week&quot;"/>
    <numFmt numFmtId="177" formatCode="&quot;Other &quot;0.0%&quot; of sales&quot;"/>
    <numFmt numFmtId="178" formatCode="&quot; First Year Snapshot with 1st year &quot;General&quot; month ramp-up&quot;"/>
  </numFmts>
  <fonts count="46" x14ac:knownFonts="1">
    <font>
      <sz val="10"/>
      <name val="Arial"/>
    </font>
    <font>
      <sz val="10"/>
      <name val="Arial"/>
      <family val="2"/>
    </font>
    <font>
      <sz val="8"/>
      <name val="Arial"/>
      <family val="2"/>
    </font>
    <font>
      <b/>
      <sz val="10"/>
      <name val="Arial"/>
      <family val="2"/>
    </font>
    <font>
      <b/>
      <u/>
      <sz val="10"/>
      <name val="Arial"/>
      <family val="2"/>
    </font>
    <font>
      <sz val="10"/>
      <color indexed="12"/>
      <name val="Arial"/>
      <family val="2"/>
    </font>
    <font>
      <sz val="10"/>
      <name val="Arial"/>
      <family val="2"/>
    </font>
    <font>
      <sz val="8.5"/>
      <name val="Arial"/>
      <family val="2"/>
    </font>
    <font>
      <sz val="10"/>
      <color indexed="30"/>
      <name val="Arial"/>
      <family val="2"/>
    </font>
    <font>
      <sz val="10"/>
      <color indexed="12"/>
      <name val="Arial"/>
      <family val="2"/>
    </font>
    <font>
      <sz val="8"/>
      <name val="Arial"/>
      <family val="2"/>
    </font>
    <font>
      <u/>
      <sz val="10"/>
      <color theme="10"/>
      <name val="Arial"/>
      <family val="2"/>
    </font>
    <font>
      <sz val="10"/>
      <color theme="0"/>
      <name val="Arial"/>
      <family val="2"/>
    </font>
    <font>
      <sz val="10"/>
      <color rgb="FF0000FF"/>
      <name val="Arial"/>
      <family val="2"/>
    </font>
    <font>
      <sz val="8.5"/>
      <color rgb="FF0000FF"/>
      <name val="Arial"/>
      <family val="2"/>
    </font>
    <font>
      <sz val="9"/>
      <name val="Arial"/>
      <family val="2"/>
    </font>
    <font>
      <sz val="9"/>
      <color indexed="81"/>
      <name val="Tahoma"/>
      <family val="2"/>
    </font>
    <font>
      <b/>
      <sz val="9"/>
      <color indexed="81"/>
      <name val="Tahoma"/>
      <family val="2"/>
    </font>
    <font>
      <sz val="10"/>
      <color rgb="FF000000"/>
      <name val="Arial"/>
      <family val="2"/>
    </font>
    <font>
      <sz val="10"/>
      <color theme="1"/>
      <name val="Arial"/>
      <family val="2"/>
    </font>
    <font>
      <b/>
      <u/>
      <sz val="9"/>
      <name val="Arial"/>
      <family val="2"/>
    </font>
    <font>
      <b/>
      <sz val="9"/>
      <name val="Arial"/>
      <family val="2"/>
    </font>
    <font>
      <b/>
      <u/>
      <sz val="9"/>
      <color rgb="FFC00000"/>
      <name val="Arial"/>
      <family val="2"/>
    </font>
    <font>
      <i/>
      <sz val="8"/>
      <name val="Arial"/>
      <family val="2"/>
    </font>
    <font>
      <b/>
      <sz val="9"/>
      <color indexed="12"/>
      <name val="Arial"/>
      <family val="2"/>
    </font>
    <font>
      <sz val="11"/>
      <name val="Arial"/>
      <family val="2"/>
    </font>
    <font>
      <b/>
      <sz val="10"/>
      <color rgb="FF0000FF"/>
      <name val="Arial"/>
      <family val="2"/>
    </font>
    <font>
      <i/>
      <sz val="9"/>
      <name val="Arial"/>
      <family val="2"/>
    </font>
    <font>
      <b/>
      <sz val="8"/>
      <color indexed="12"/>
      <name val="Arial"/>
      <family val="2"/>
    </font>
    <font>
      <b/>
      <sz val="12"/>
      <name val="Arial"/>
      <family val="2"/>
    </font>
    <font>
      <b/>
      <sz val="10"/>
      <color theme="0"/>
      <name val="Arial"/>
      <family val="2"/>
    </font>
    <font>
      <b/>
      <sz val="13"/>
      <color theme="1"/>
      <name val="Times New Roman"/>
      <family val="1"/>
    </font>
    <font>
      <b/>
      <sz val="13"/>
      <color theme="1"/>
      <name val="Cambria"/>
      <family val="1"/>
    </font>
    <font>
      <sz val="13"/>
      <color theme="1"/>
      <name val="Cambria"/>
      <family val="1"/>
    </font>
    <font>
      <i/>
      <sz val="12"/>
      <name val="Arial"/>
      <family val="2"/>
    </font>
    <font>
      <b/>
      <sz val="12"/>
      <color theme="1"/>
      <name val="Cambria"/>
      <family val="1"/>
    </font>
    <font>
      <sz val="12"/>
      <name val="Arial"/>
      <family val="2"/>
    </font>
    <font>
      <sz val="12"/>
      <color theme="1"/>
      <name val="Cambria"/>
      <family val="1"/>
    </font>
    <font>
      <b/>
      <i/>
      <sz val="10"/>
      <color theme="1"/>
      <name val="Arial"/>
      <family val="2"/>
    </font>
    <font>
      <i/>
      <sz val="10"/>
      <color theme="5" tint="-0.249977111117893"/>
      <name val="Arial"/>
      <family val="2"/>
    </font>
    <font>
      <sz val="10"/>
      <color indexed="8"/>
      <name val="Arial"/>
      <family val="2"/>
    </font>
    <font>
      <sz val="9"/>
      <color rgb="FF0000FF"/>
      <name val="Arial"/>
      <family val="2"/>
    </font>
    <font>
      <b/>
      <i/>
      <sz val="10"/>
      <name val="Arial"/>
      <family val="2"/>
    </font>
    <font>
      <sz val="10"/>
      <name val="Arial Unicode MS"/>
      <family val="2"/>
    </font>
    <font>
      <b/>
      <sz val="10"/>
      <color rgb="FFFF0000"/>
      <name val="Arial"/>
      <family val="2"/>
    </font>
    <font>
      <u/>
      <sz val="10"/>
      <name val="Arial"/>
      <family val="2"/>
    </font>
  </fonts>
  <fills count="26">
    <fill>
      <patternFill patternType="none"/>
    </fill>
    <fill>
      <patternFill patternType="gray125"/>
    </fill>
    <fill>
      <patternFill patternType="solid">
        <fgColor indexed="55"/>
        <bgColor indexed="64"/>
      </patternFill>
    </fill>
    <fill>
      <patternFill patternType="solid">
        <fgColor indexed="11"/>
        <bgColor indexed="64"/>
      </patternFill>
    </fill>
    <fill>
      <patternFill patternType="solid">
        <fgColor theme="3" tint="0.79998168889431442"/>
        <bgColor indexed="64"/>
      </patternFill>
    </fill>
    <fill>
      <patternFill patternType="solid">
        <fgColor theme="6" tint="0.79998168889431442"/>
        <bgColor indexed="64"/>
      </patternFill>
    </fill>
    <fill>
      <patternFill patternType="solid">
        <fgColor theme="9" tint="0.59999389629810485"/>
        <bgColor indexed="64"/>
      </patternFill>
    </fill>
    <fill>
      <patternFill patternType="solid">
        <fgColor rgb="FF92D050"/>
        <bgColor indexed="64"/>
      </patternFill>
    </fill>
    <fill>
      <patternFill patternType="solid">
        <fgColor theme="5" tint="0.79998168889431442"/>
        <bgColor indexed="64"/>
      </patternFill>
    </fill>
    <fill>
      <patternFill patternType="solid">
        <fgColor rgb="FFFFFFCC"/>
        <bgColor indexed="64"/>
      </patternFill>
    </fill>
    <fill>
      <patternFill patternType="solid">
        <fgColor rgb="FF00B05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rgb="FFFFFF99"/>
        <bgColor indexed="64"/>
      </patternFill>
    </fill>
    <fill>
      <patternFill patternType="solid">
        <fgColor rgb="FFFFC000"/>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bgColor indexed="64"/>
      </patternFill>
    </fill>
    <fill>
      <patternFill patternType="solid">
        <fgColor theme="6" tint="0.59999389629810485"/>
        <bgColor indexed="64"/>
      </patternFill>
    </fill>
    <fill>
      <patternFill patternType="solid">
        <fgColor theme="2" tint="-0.249977111117893"/>
        <bgColor indexed="64"/>
      </patternFill>
    </fill>
    <fill>
      <patternFill patternType="solid">
        <fgColor theme="0" tint="-0.34998626667073579"/>
        <bgColor indexed="64"/>
      </patternFill>
    </fill>
    <fill>
      <patternFill patternType="solid">
        <fgColor theme="2" tint="-9.9978637043366805E-2"/>
        <bgColor indexed="64"/>
      </patternFill>
    </fill>
    <fill>
      <patternFill patternType="solid">
        <fgColor theme="9" tint="0.79998168889431442"/>
        <bgColor indexed="64"/>
      </patternFill>
    </fill>
  </fills>
  <borders count="12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right/>
      <top/>
      <bottom style="medium">
        <color indexed="64"/>
      </bottom>
      <diagonal/>
    </border>
    <border>
      <left style="thin">
        <color indexed="64"/>
      </left>
      <right style="medium">
        <color indexed="64"/>
      </right>
      <top/>
      <bottom style="medium">
        <color indexed="64"/>
      </bottom>
      <diagonal/>
    </border>
    <border>
      <left/>
      <right style="thin">
        <color indexed="64"/>
      </right>
      <top style="thin">
        <color indexed="64"/>
      </top>
      <bottom/>
      <diagonal/>
    </border>
    <border>
      <left/>
      <right/>
      <top style="medium">
        <color indexed="64"/>
      </top>
      <bottom style="medium">
        <color indexed="64"/>
      </bottom>
      <diagonal/>
    </border>
    <border>
      <left/>
      <right/>
      <top style="thin">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diagonal/>
    </border>
    <border>
      <left/>
      <right/>
      <top style="medium">
        <color indexed="64"/>
      </top>
      <bottom/>
      <diagonal/>
    </border>
    <border diagonalUp="1" diagonalDown="1">
      <left style="medium">
        <color indexed="64"/>
      </left>
      <right style="thin">
        <color indexed="64"/>
      </right>
      <top style="medium">
        <color indexed="64"/>
      </top>
      <bottom style="medium">
        <color indexed="64"/>
      </bottom>
      <diagonal style="medium">
        <color indexed="64"/>
      </diagonal>
    </border>
    <border diagonalUp="1" diagonalDown="1">
      <left style="thin">
        <color indexed="64"/>
      </left>
      <right style="thin">
        <color indexed="64"/>
      </right>
      <top style="medium">
        <color indexed="64"/>
      </top>
      <bottom style="medium">
        <color indexed="64"/>
      </bottom>
      <diagonal style="medium">
        <color indexed="64"/>
      </diagonal>
    </border>
    <border diagonalUp="1" diagonalDown="1">
      <left style="thin">
        <color indexed="64"/>
      </left>
      <right style="medium">
        <color indexed="64"/>
      </right>
      <top style="medium">
        <color indexed="64"/>
      </top>
      <bottom style="medium">
        <color indexed="64"/>
      </bottom>
      <diagonal style="medium">
        <color indexed="64"/>
      </diagonal>
    </border>
    <border>
      <left style="thin">
        <color indexed="64"/>
      </left>
      <right style="thin">
        <color indexed="64"/>
      </right>
      <top style="thin">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style="thin">
        <color auto="1"/>
      </left>
      <right style="thin">
        <color auto="1"/>
      </right>
      <top/>
      <bottom/>
      <diagonal/>
    </border>
    <border>
      <left style="thin">
        <color auto="1"/>
      </left>
      <right style="thin">
        <color auto="1"/>
      </right>
      <top/>
      <bottom style="medium">
        <color indexed="64"/>
      </bottom>
      <diagonal/>
    </border>
    <border>
      <left style="medium">
        <color indexed="64"/>
      </left>
      <right style="thin">
        <color auto="1"/>
      </right>
      <top/>
      <bottom style="thin">
        <color indexed="64"/>
      </bottom>
      <diagonal/>
    </border>
    <border>
      <left style="medium">
        <color indexed="64"/>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style="thin">
        <color auto="1"/>
      </right>
      <top/>
      <bottom/>
      <diagonal/>
    </border>
    <border>
      <left/>
      <right/>
      <top style="thin">
        <color theme="0"/>
      </top>
      <bottom style="thin">
        <color theme="0"/>
      </bottom>
      <diagonal/>
    </border>
    <border>
      <left style="thin">
        <color theme="0"/>
      </left>
      <right style="thin">
        <color theme="0"/>
      </right>
      <top style="thin">
        <color indexed="64"/>
      </top>
      <bottom style="thin">
        <color theme="0"/>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style="thin">
        <color theme="0"/>
      </left>
      <right/>
      <top style="thin">
        <color indexed="64"/>
      </top>
      <bottom style="thin">
        <color theme="0"/>
      </bottom>
      <diagonal/>
    </border>
    <border>
      <left/>
      <right/>
      <top style="thin">
        <color theme="0"/>
      </top>
      <bottom/>
      <diagonal/>
    </border>
    <border>
      <left style="thin">
        <color indexed="64"/>
      </left>
      <right style="thin">
        <color indexed="64"/>
      </right>
      <top style="medium">
        <color indexed="64"/>
      </top>
      <bottom/>
      <diagonal/>
    </border>
    <border>
      <left style="thin">
        <color auto="1"/>
      </left>
      <right/>
      <top/>
      <bottom style="medium">
        <color indexed="64"/>
      </bottom>
      <diagonal/>
    </border>
    <border>
      <left/>
      <right style="thin">
        <color indexed="64"/>
      </right>
      <top/>
      <bottom style="medium">
        <color indexed="64"/>
      </bottom>
      <diagonal/>
    </border>
    <border>
      <left/>
      <right style="thin">
        <color theme="0"/>
      </right>
      <top style="thin">
        <color theme="0"/>
      </top>
      <bottom style="thin">
        <color theme="0"/>
      </bottom>
      <diagonal/>
    </border>
    <border>
      <left style="thin">
        <color theme="0"/>
      </left>
      <right/>
      <top/>
      <bottom/>
      <diagonal/>
    </border>
    <border>
      <left style="thin">
        <color auto="1"/>
      </left>
      <right style="medium">
        <color indexed="64"/>
      </right>
      <top style="medium">
        <color indexed="64"/>
      </top>
      <bottom/>
      <diagonal/>
    </border>
    <border>
      <left/>
      <right style="thin">
        <color indexed="64"/>
      </right>
      <top style="medium">
        <color indexed="64"/>
      </top>
      <bottom/>
      <diagonal/>
    </border>
    <border>
      <left style="medium">
        <color indexed="64"/>
      </left>
      <right/>
      <top/>
      <bottom style="thin">
        <color indexed="64"/>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auto="1"/>
      </left>
      <right style="medium">
        <color indexed="64"/>
      </right>
      <top style="thin">
        <color indexed="64"/>
      </top>
      <bottom/>
      <diagonal/>
    </border>
    <border>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diagonal/>
    </border>
    <border>
      <left style="thin">
        <color rgb="FF000000"/>
      </left>
      <right style="thin">
        <color rgb="FF000000"/>
      </right>
      <top style="thin">
        <color rgb="FF000000"/>
      </top>
      <bottom/>
      <diagonal/>
    </border>
    <border>
      <left style="medium">
        <color indexed="64"/>
      </left>
      <right style="thin">
        <color indexed="64"/>
      </right>
      <top style="thin">
        <color indexed="64"/>
      </top>
      <bottom/>
      <diagonal/>
    </border>
    <border>
      <left/>
      <right style="thick">
        <color indexed="64"/>
      </right>
      <top/>
      <bottom/>
      <diagonal/>
    </border>
    <border>
      <left style="thin">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n">
        <color indexed="64"/>
      </bottom>
      <diagonal/>
    </border>
    <border>
      <left style="thin">
        <color auto="1"/>
      </left>
      <right style="thick">
        <color indexed="64"/>
      </right>
      <top/>
      <bottom style="medium">
        <color indexed="64"/>
      </bottom>
      <diagonal/>
    </border>
    <border>
      <left style="thin">
        <color auto="1"/>
      </left>
      <right style="thick">
        <color indexed="64"/>
      </right>
      <top style="medium">
        <color indexed="64"/>
      </top>
      <bottom style="thin">
        <color indexed="64"/>
      </bottom>
      <diagonal/>
    </border>
    <border>
      <left style="thin">
        <color indexed="64"/>
      </left>
      <right style="thick">
        <color indexed="64"/>
      </right>
      <top style="thin">
        <color indexed="64"/>
      </top>
      <bottom style="medium">
        <color indexed="64"/>
      </bottom>
      <diagonal/>
    </border>
    <border>
      <left style="thin">
        <color indexed="64"/>
      </left>
      <right style="thick">
        <color indexed="64"/>
      </right>
      <top style="medium">
        <color indexed="64"/>
      </top>
      <bottom style="medium">
        <color indexed="64"/>
      </bottom>
      <diagonal/>
    </border>
    <border>
      <left style="thin">
        <color indexed="64"/>
      </left>
      <right style="thick">
        <color indexed="64"/>
      </right>
      <top/>
      <bottom style="thin">
        <color indexed="64"/>
      </bottom>
      <diagonal/>
    </border>
    <border>
      <left/>
      <right style="thick">
        <color indexed="64"/>
      </right>
      <top style="thin">
        <color indexed="64"/>
      </top>
      <bottom style="thin">
        <color indexed="64"/>
      </bottom>
      <diagonal/>
    </border>
    <border>
      <left/>
      <right style="thick">
        <color indexed="64"/>
      </right>
      <top/>
      <bottom style="medium">
        <color indexed="64"/>
      </bottom>
      <diagonal/>
    </border>
    <border>
      <left style="thick">
        <color indexed="64"/>
      </left>
      <right style="thick">
        <color indexed="64"/>
      </right>
      <top style="medium">
        <color indexed="64"/>
      </top>
      <bottom style="thin">
        <color indexed="64"/>
      </bottom>
      <diagonal/>
    </border>
    <border>
      <left style="thick">
        <color indexed="64"/>
      </left>
      <right style="thick">
        <color indexed="64"/>
      </right>
      <top style="thin">
        <color indexed="64"/>
      </top>
      <bottom style="medium">
        <color indexed="64"/>
      </bottom>
      <diagonal/>
    </border>
    <border>
      <left style="thin">
        <color indexed="64"/>
      </left>
      <right style="thick">
        <color auto="1"/>
      </right>
      <top style="medium">
        <color indexed="64"/>
      </top>
      <bottom/>
      <diagonal/>
    </border>
    <border>
      <left style="thick">
        <color indexed="64"/>
      </left>
      <right style="thick">
        <color indexed="64"/>
      </right>
      <top style="medium">
        <color indexed="64"/>
      </top>
      <bottom style="medium">
        <color indexed="64"/>
      </bottom>
      <diagonal/>
    </border>
    <border>
      <left/>
      <right style="thick">
        <color indexed="64"/>
      </right>
      <top style="medium">
        <color indexed="64"/>
      </top>
      <bottom style="medium">
        <color indexed="64"/>
      </bottom>
      <diagonal/>
    </border>
    <border>
      <left style="thin">
        <color indexed="64"/>
      </left>
      <right/>
      <top style="medium">
        <color indexed="64"/>
      </top>
      <bottom/>
      <diagonal/>
    </border>
    <border>
      <left style="thin">
        <color auto="1"/>
      </left>
      <right/>
      <top style="medium">
        <color auto="1"/>
      </top>
      <bottom style="medium">
        <color auto="1"/>
      </bottom>
      <diagonal/>
    </border>
    <border>
      <left style="thin">
        <color indexed="64"/>
      </left>
      <right style="thick">
        <color indexed="64"/>
      </right>
      <top/>
      <bottom/>
      <diagonal/>
    </border>
    <border>
      <left style="thick">
        <color indexed="64"/>
      </left>
      <right style="thick">
        <color indexed="64"/>
      </right>
      <top/>
      <bottom style="thin">
        <color indexed="64"/>
      </bottom>
      <diagonal/>
    </border>
    <border>
      <left style="thick">
        <color indexed="64"/>
      </left>
      <right style="thick">
        <color indexed="64"/>
      </right>
      <top/>
      <bottom/>
      <diagonal/>
    </border>
    <border>
      <left style="thick">
        <color indexed="64"/>
      </left>
      <right style="thick">
        <color indexed="64"/>
      </right>
      <top/>
      <bottom style="medium">
        <color indexed="64"/>
      </bottom>
      <diagonal/>
    </border>
    <border>
      <left/>
      <right style="thin">
        <color auto="1"/>
      </right>
      <top/>
      <bottom/>
      <diagonal/>
    </border>
    <border>
      <left style="thick">
        <color indexed="64"/>
      </left>
      <right style="thin">
        <color indexed="64"/>
      </right>
      <top style="medium">
        <color indexed="64"/>
      </top>
      <bottom style="thin">
        <color indexed="64"/>
      </bottom>
      <diagonal/>
    </border>
    <border>
      <left style="thick">
        <color indexed="64"/>
      </left>
      <right style="thin">
        <color indexed="64"/>
      </right>
      <top style="medium">
        <color indexed="64"/>
      </top>
      <bottom style="medium">
        <color indexed="64"/>
      </bottom>
      <diagonal/>
    </border>
    <border>
      <left style="thick">
        <color indexed="64"/>
      </left>
      <right style="thin">
        <color indexed="64"/>
      </right>
      <top/>
      <bottom style="thin">
        <color indexed="64"/>
      </bottom>
      <diagonal/>
    </border>
    <border>
      <left style="thick">
        <color indexed="64"/>
      </left>
      <right style="thin">
        <color indexed="64"/>
      </right>
      <top/>
      <bottom/>
      <diagonal/>
    </border>
    <border>
      <left style="thick">
        <color indexed="64"/>
      </left>
      <right style="thin">
        <color indexed="64"/>
      </right>
      <top style="medium">
        <color indexed="64"/>
      </top>
      <bottom/>
      <diagonal/>
    </border>
    <border>
      <left style="thick">
        <color indexed="64"/>
      </left>
      <right style="thin">
        <color indexed="64"/>
      </right>
      <top/>
      <bottom style="medium">
        <color indexed="64"/>
      </bottom>
      <diagonal/>
    </border>
    <border>
      <left style="thick">
        <color indexed="64"/>
      </left>
      <right style="thin">
        <color indexed="64"/>
      </right>
      <top style="thin">
        <color indexed="64"/>
      </top>
      <bottom style="medium">
        <color indexed="64"/>
      </bottom>
      <diagonal/>
    </border>
    <border>
      <left style="thick">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ck">
        <color indexed="64"/>
      </left>
      <right style="thick">
        <color indexed="64"/>
      </right>
      <top style="medium">
        <color indexed="64"/>
      </top>
      <bottom/>
      <diagonal/>
    </border>
    <border>
      <left style="medium">
        <color indexed="64"/>
      </left>
      <right/>
      <top style="medium">
        <color indexed="64"/>
      </top>
      <bottom style="thin">
        <color theme="0"/>
      </bottom>
      <diagonal/>
    </border>
    <border>
      <left/>
      <right/>
      <top style="medium">
        <color indexed="64"/>
      </top>
      <bottom style="thin">
        <color theme="0"/>
      </bottom>
      <diagonal/>
    </border>
    <border>
      <left/>
      <right style="medium">
        <color indexed="64"/>
      </right>
      <top style="medium">
        <color indexed="64"/>
      </top>
      <bottom style="thin">
        <color theme="0"/>
      </bottom>
      <diagonal/>
    </border>
    <border>
      <left style="medium">
        <color indexed="64"/>
      </left>
      <right/>
      <top style="thin">
        <color theme="0"/>
      </top>
      <bottom style="thin">
        <color theme="0"/>
      </bottom>
      <diagonal/>
    </border>
    <border>
      <left/>
      <right style="medium">
        <color indexed="64"/>
      </right>
      <top style="thin">
        <color theme="0"/>
      </top>
      <bottom style="thin">
        <color theme="0"/>
      </bottom>
      <diagonal/>
    </border>
    <border>
      <left style="medium">
        <color indexed="64"/>
      </left>
      <right/>
      <top style="thin">
        <color theme="0"/>
      </top>
      <bottom/>
      <diagonal/>
    </border>
    <border>
      <left/>
      <right style="medium">
        <color indexed="64"/>
      </right>
      <top style="thin">
        <color theme="0"/>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diagonal/>
    </border>
    <border>
      <left style="thin">
        <color indexed="64"/>
      </left>
      <right style="thick">
        <color indexed="64"/>
      </right>
      <top style="thin">
        <color indexed="64"/>
      </top>
      <bottom/>
      <diagonal/>
    </border>
    <border>
      <left style="thick">
        <color indexed="64"/>
      </left>
      <right style="thick">
        <color indexed="64"/>
      </right>
      <top style="thin">
        <color indexed="64"/>
      </top>
      <bottom/>
      <diagonal/>
    </border>
    <border>
      <left/>
      <right style="thick">
        <color indexed="64"/>
      </right>
      <top style="thin">
        <color indexed="64"/>
      </top>
      <bottom/>
      <diagonal/>
    </border>
    <border>
      <left/>
      <right/>
      <top style="thin">
        <color theme="0"/>
      </top>
      <bottom style="medium">
        <color indexed="64"/>
      </bottom>
      <diagonal/>
    </border>
  </borders>
  <cellStyleXfs count="7">
    <xf numFmtId="0" fontId="0" fillId="0" borderId="0"/>
    <xf numFmtId="43" fontId="1" fillId="0" borderId="0" applyFont="0" applyFill="0" applyBorder="0" applyAlignment="0" applyProtection="0"/>
    <xf numFmtId="44" fontId="1" fillId="0" borderId="0" applyFont="0" applyFill="0" applyBorder="0" applyAlignment="0" applyProtection="0"/>
    <xf numFmtId="0" fontId="11" fillId="0" borderId="0" applyNumberFormat="0" applyFill="0" applyBorder="0" applyAlignment="0" applyProtection="0"/>
    <xf numFmtId="0" fontId="6" fillId="0" borderId="0"/>
    <xf numFmtId="9" fontId="1" fillId="0" borderId="0" applyFont="0" applyFill="0" applyBorder="0" applyAlignment="0" applyProtection="0"/>
    <xf numFmtId="0" fontId="1" fillId="0" borderId="0"/>
  </cellStyleXfs>
  <cellXfs count="735">
    <xf numFmtId="0" fontId="0" fillId="0" borderId="0" xfId="0"/>
    <xf numFmtId="0" fontId="0" fillId="0" borderId="0" xfId="0" applyAlignment="1">
      <alignment horizontal="center"/>
    </xf>
    <xf numFmtId="0" fontId="4" fillId="0" borderId="0" xfId="0" applyFont="1"/>
    <xf numFmtId="0" fontId="0" fillId="0" borderId="1" xfId="0" applyBorder="1"/>
    <xf numFmtId="0" fontId="0" fillId="0" borderId="1" xfId="0" applyBorder="1" applyAlignment="1">
      <alignment horizontal="center"/>
    </xf>
    <xf numFmtId="164" fontId="0" fillId="0" borderId="1" xfId="2" applyNumberFormat="1" applyFont="1" applyBorder="1"/>
    <xf numFmtId="0" fontId="0" fillId="0" borderId="2" xfId="0" applyBorder="1"/>
    <xf numFmtId="0" fontId="0" fillId="0" borderId="3" xfId="0" applyBorder="1"/>
    <xf numFmtId="164" fontId="0" fillId="0" borderId="3" xfId="2" applyNumberFormat="1" applyFont="1" applyBorder="1"/>
    <xf numFmtId="0" fontId="1" fillId="0" borderId="0" xfId="0" applyFont="1"/>
    <xf numFmtId="0" fontId="6" fillId="0" borderId="0" xfId="0" applyFont="1" applyAlignment="1">
      <alignment horizontal="center"/>
    </xf>
    <xf numFmtId="0" fontId="6" fillId="0" borderId="0" xfId="0" applyFont="1"/>
    <xf numFmtId="0" fontId="6" fillId="0" borderId="2" xfId="0" applyFont="1" applyBorder="1"/>
    <xf numFmtId="1" fontId="0" fillId="0" borderId="2" xfId="0" applyNumberFormat="1" applyBorder="1" applyAlignment="1">
      <alignment horizontal="center"/>
    </xf>
    <xf numFmtId="44" fontId="0" fillId="0" borderId="0" xfId="0" applyNumberFormat="1"/>
    <xf numFmtId="0" fontId="0" fillId="0" borderId="5" xfId="0" applyBorder="1"/>
    <xf numFmtId="0" fontId="0" fillId="0" borderId="6" xfId="0" applyBorder="1"/>
    <xf numFmtId="0" fontId="0" fillId="0" borderId="7" xfId="0" applyBorder="1"/>
    <xf numFmtId="164" fontId="0" fillId="0" borderId="0" xfId="2" applyNumberFormat="1" applyFont="1"/>
    <xf numFmtId="1" fontId="0" fillId="0" borderId="1" xfId="0" applyNumberFormat="1" applyBorder="1" applyAlignment="1">
      <alignment horizontal="center"/>
    </xf>
    <xf numFmtId="1" fontId="6" fillId="0" borderId="3" xfId="0" applyNumberFormat="1" applyFont="1" applyBorder="1" applyAlignment="1">
      <alignment horizontal="center"/>
    </xf>
    <xf numFmtId="1" fontId="6" fillId="0" borderId="2" xfId="0" applyNumberFormat="1" applyFont="1" applyBorder="1" applyAlignment="1">
      <alignment horizontal="center"/>
    </xf>
    <xf numFmtId="0" fontId="0" fillId="0" borderId="3" xfId="0" applyBorder="1" applyAlignment="1">
      <alignment horizontal="center"/>
    </xf>
    <xf numFmtId="165" fontId="0" fillId="0" borderId="0" xfId="5" applyNumberFormat="1" applyFont="1"/>
    <xf numFmtId="9" fontId="0" fillId="0" borderId="0" xfId="5" applyFont="1"/>
    <xf numFmtId="0" fontId="6" fillId="0" borderId="5" xfId="0" applyFont="1" applyBorder="1"/>
    <xf numFmtId="1" fontId="7" fillId="0" borderId="2" xfId="4" applyNumberFormat="1" applyFont="1" applyBorder="1" applyAlignment="1">
      <alignment horizontal="right"/>
    </xf>
    <xf numFmtId="164" fontId="6" fillId="0" borderId="0" xfId="2" applyNumberFormat="1" applyFont="1"/>
    <xf numFmtId="164" fontId="6" fillId="0" borderId="0" xfId="0" applyNumberFormat="1" applyFont="1"/>
    <xf numFmtId="0" fontId="6" fillId="0" borderId="0" xfId="0" applyFont="1" applyAlignment="1">
      <alignment horizontal="left"/>
    </xf>
    <xf numFmtId="164" fontId="0" fillId="0" borderId="0" xfId="0" applyNumberFormat="1" applyAlignment="1">
      <alignment horizontal="center"/>
    </xf>
    <xf numFmtId="164" fontId="0" fillId="0" borderId="0" xfId="5" applyNumberFormat="1" applyFont="1"/>
    <xf numFmtId="9" fontId="6" fillId="0" borderId="0" xfId="5" applyFont="1" applyAlignment="1">
      <alignment horizontal="center" shrinkToFit="1"/>
    </xf>
    <xf numFmtId="164" fontId="0" fillId="0" borderId="1" xfId="0" applyNumberFormat="1" applyBorder="1"/>
    <xf numFmtId="0" fontId="0" fillId="0" borderId="20" xfId="0" applyBorder="1"/>
    <xf numFmtId="0" fontId="1" fillId="0" borderId="5" xfId="0" applyFont="1" applyBorder="1"/>
    <xf numFmtId="172" fontId="1" fillId="0" borderId="5" xfId="5" applyNumberFormat="1" applyBorder="1" applyAlignment="1">
      <alignment horizontal="left"/>
    </xf>
    <xf numFmtId="0" fontId="1" fillId="0" borderId="2" xfId="0" applyFont="1" applyBorder="1"/>
    <xf numFmtId="44" fontId="1" fillId="0" borderId="2" xfId="2" applyBorder="1" applyAlignment="1">
      <alignment horizontal="center"/>
    </xf>
    <xf numFmtId="0" fontId="1" fillId="0" borderId="3" xfId="0" applyFont="1" applyBorder="1" applyAlignment="1">
      <alignment shrinkToFit="1"/>
    </xf>
    <xf numFmtId="0" fontId="1" fillId="0" borderId="3" xfId="0" applyFont="1" applyBorder="1" applyAlignment="1">
      <alignment horizontal="center" shrinkToFit="1"/>
    </xf>
    <xf numFmtId="9" fontId="0" fillId="0" borderId="1" xfId="5" applyFont="1" applyBorder="1" applyAlignment="1">
      <alignment horizontal="center"/>
    </xf>
    <xf numFmtId="9" fontId="0" fillId="0" borderId="3" xfId="5" applyFont="1" applyBorder="1" applyAlignment="1">
      <alignment horizontal="center"/>
    </xf>
    <xf numFmtId="9" fontId="0" fillId="0" borderId="0" xfId="5" applyFont="1" applyAlignment="1">
      <alignment horizontal="center"/>
    </xf>
    <xf numFmtId="0" fontId="0" fillId="3" borderId="2" xfId="0" applyFill="1" applyBorder="1"/>
    <xf numFmtId="9" fontId="0" fillId="3" borderId="2" xfId="5" applyFont="1" applyFill="1" applyBorder="1" applyAlignment="1">
      <alignment horizontal="center"/>
    </xf>
    <xf numFmtId="164" fontId="0" fillId="3" borderId="2" xfId="2" applyNumberFormat="1" applyFont="1" applyFill="1" applyBorder="1"/>
    <xf numFmtId="165" fontId="0" fillId="0" borderId="0" xfId="5" applyNumberFormat="1" applyFont="1" applyAlignment="1">
      <alignment horizontal="center"/>
    </xf>
    <xf numFmtId="171" fontId="1" fillId="0" borderId="0" xfId="5" applyNumberFormat="1" applyAlignment="1">
      <alignment horizontal="center"/>
    </xf>
    <xf numFmtId="173" fontId="0" fillId="0" borderId="0" xfId="0" applyNumberFormat="1" applyAlignment="1">
      <alignment horizontal="center"/>
    </xf>
    <xf numFmtId="164" fontId="0" fillId="0" borderId="27" xfId="2" applyNumberFormat="1" applyFont="1" applyBorder="1"/>
    <xf numFmtId="0" fontId="1" fillId="0" borderId="28" xfId="0" applyFont="1" applyBorder="1"/>
    <xf numFmtId="165" fontId="0" fillId="0" borderId="29" xfId="5" applyNumberFormat="1" applyFont="1" applyBorder="1" applyAlignment="1">
      <alignment horizontal="center"/>
    </xf>
    <xf numFmtId="0" fontId="1" fillId="0" borderId="30" xfId="0" applyFont="1" applyBorder="1"/>
    <xf numFmtId="171" fontId="1" fillId="0" borderId="31" xfId="5" applyNumberFormat="1" applyBorder="1" applyAlignment="1">
      <alignment horizontal="center"/>
    </xf>
    <xf numFmtId="0" fontId="1" fillId="0" borderId="32" xfId="0" applyFont="1" applyBorder="1"/>
    <xf numFmtId="164" fontId="0" fillId="0" borderId="0" xfId="0" applyNumberFormat="1"/>
    <xf numFmtId="6" fontId="0" fillId="0" borderId="0" xfId="5" applyNumberFormat="1" applyFont="1"/>
    <xf numFmtId="6" fontId="0" fillId="0" borderId="0" xfId="0" applyNumberFormat="1"/>
    <xf numFmtId="0" fontId="1" fillId="0" borderId="0" xfId="0" applyFont="1" applyAlignment="1">
      <alignment horizontal="right"/>
    </xf>
    <xf numFmtId="165" fontId="0" fillId="0" borderId="31" xfId="5" applyNumberFormat="1" applyFont="1" applyBorder="1" applyAlignment="1">
      <alignment horizontal="center"/>
    </xf>
    <xf numFmtId="0" fontId="1" fillId="0" borderId="0" xfId="0" applyFont="1" applyAlignment="1">
      <alignment horizontal="center"/>
    </xf>
    <xf numFmtId="0" fontId="1" fillId="0" borderId="33" xfId="0" applyFont="1" applyBorder="1"/>
    <xf numFmtId="1" fontId="0" fillId="0" borderId="0" xfId="0" applyNumberFormat="1"/>
    <xf numFmtId="165" fontId="0" fillId="0" borderId="0" xfId="0" applyNumberFormat="1"/>
    <xf numFmtId="0" fontId="0" fillId="0" borderId="0" xfId="0" applyAlignment="1">
      <alignment vertical="top" wrapText="1"/>
    </xf>
    <xf numFmtId="165" fontId="0" fillId="0" borderId="1" xfId="5" applyNumberFormat="1" applyFont="1" applyBorder="1" applyAlignment="1">
      <alignment horizontal="center"/>
    </xf>
    <xf numFmtId="42" fontId="0" fillId="0" borderId="1" xfId="0" applyNumberFormat="1" applyBorder="1" applyAlignment="1">
      <alignment horizontal="center" shrinkToFit="1"/>
    </xf>
    <xf numFmtId="173" fontId="3" fillId="0" borderId="1" xfId="0" applyNumberFormat="1" applyFont="1" applyBorder="1" applyAlignment="1">
      <alignment horizontal="center"/>
    </xf>
    <xf numFmtId="6" fontId="0" fillId="0" borderId="1" xfId="5" applyNumberFormat="1" applyFont="1" applyBorder="1"/>
    <xf numFmtId="1" fontId="0" fillId="0" borderId="0" xfId="1" applyNumberFormat="1" applyFont="1"/>
    <xf numFmtId="42" fontId="0" fillId="0" borderId="0" xfId="0" applyNumberFormat="1" applyAlignment="1">
      <alignment vertical="top" wrapText="1"/>
    </xf>
    <xf numFmtId="174" fontId="0" fillId="0" borderId="0" xfId="0" applyNumberFormat="1" applyAlignment="1">
      <alignment shrinkToFit="1"/>
    </xf>
    <xf numFmtId="0" fontId="0" fillId="0" borderId="0" xfId="0" applyAlignment="1">
      <alignment shrinkToFit="1"/>
    </xf>
    <xf numFmtId="0" fontId="0" fillId="0" borderId="1" xfId="0" applyBorder="1" applyAlignment="1">
      <alignment horizontal="right"/>
    </xf>
    <xf numFmtId="0" fontId="0" fillId="0" borderId="2" xfId="0" applyBorder="1" applyAlignment="1">
      <alignment horizontal="right"/>
    </xf>
    <xf numFmtId="164" fontId="0" fillId="0" borderId="2" xfId="2" applyNumberFormat="1" applyFont="1" applyBorder="1"/>
    <xf numFmtId="0" fontId="4" fillId="0" borderId="1" xfId="0" applyFont="1" applyBorder="1"/>
    <xf numFmtId="0" fontId="3" fillId="0" borderId="0" xfId="0" applyFont="1"/>
    <xf numFmtId="0" fontId="5" fillId="0" borderId="36" xfId="0" applyFont="1" applyBorder="1"/>
    <xf numFmtId="164" fontId="9" fillId="0" borderId="35" xfId="2" applyNumberFormat="1" applyFont="1" applyBorder="1"/>
    <xf numFmtId="165" fontId="6" fillId="0" borderId="37" xfId="5" applyNumberFormat="1" applyFont="1" applyBorder="1" applyAlignment="1">
      <alignment horizontal="center"/>
    </xf>
    <xf numFmtId="167" fontId="5" fillId="4" borderId="1" xfId="1" applyNumberFormat="1" applyFont="1" applyFill="1" applyBorder="1"/>
    <xf numFmtId="0" fontId="5" fillId="4" borderId="1" xfId="0" applyFont="1" applyFill="1" applyBorder="1"/>
    <xf numFmtId="165" fontId="5" fillId="4" borderId="17" xfId="5" applyNumberFormat="1" applyFont="1" applyFill="1" applyBorder="1" applyAlignment="1">
      <alignment horizontal="center"/>
    </xf>
    <xf numFmtId="0" fontId="13" fillId="4" borderId="5" xfId="0" applyFont="1" applyFill="1" applyBorder="1"/>
    <xf numFmtId="164" fontId="0" fillId="0" borderId="3" xfId="0" applyNumberFormat="1" applyBorder="1"/>
    <xf numFmtId="0" fontId="0" fillId="0" borderId="39" xfId="0" applyBorder="1"/>
    <xf numFmtId="0" fontId="1" fillId="0" borderId="11" xfId="0" applyFont="1" applyBorder="1"/>
    <xf numFmtId="164" fontId="0" fillId="7" borderId="1" xfId="0" applyNumberFormat="1" applyFill="1" applyBorder="1"/>
    <xf numFmtId="0" fontId="12" fillId="0" borderId="0" xfId="0" applyFont="1" applyAlignment="1">
      <alignment horizontal="center"/>
    </xf>
    <xf numFmtId="0" fontId="5" fillId="4" borderId="2" xfId="0" applyFont="1" applyFill="1" applyBorder="1"/>
    <xf numFmtId="9" fontId="5" fillId="4" borderId="1" xfId="5" applyFont="1" applyFill="1" applyBorder="1" applyAlignment="1">
      <alignment horizontal="center"/>
    </xf>
    <xf numFmtId="164" fontId="9" fillId="4" borderId="1" xfId="2" applyNumberFormat="1" applyFont="1" applyFill="1" applyBorder="1"/>
    <xf numFmtId="164" fontId="9" fillId="4" borderId="3" xfId="2" applyNumberFormat="1" applyFont="1" applyFill="1" applyBorder="1"/>
    <xf numFmtId="0" fontId="14" fillId="4" borderId="1" xfId="4" applyFont="1" applyFill="1" applyBorder="1" applyAlignment="1">
      <alignment horizontal="center" wrapText="1"/>
    </xf>
    <xf numFmtId="0" fontId="14" fillId="4" borderId="1" xfId="4" applyFont="1" applyFill="1" applyBorder="1" applyAlignment="1">
      <alignment horizontal="left" vertical="center" wrapText="1"/>
    </xf>
    <xf numFmtId="0" fontId="14" fillId="4" borderId="1" xfId="4" applyFont="1" applyFill="1" applyBorder="1" applyAlignment="1">
      <alignment vertical="center" wrapText="1"/>
    </xf>
    <xf numFmtId="170" fontId="8" fillId="4" borderId="0" xfId="0" applyNumberFormat="1" applyFont="1" applyFill="1" applyAlignment="1">
      <alignment horizontal="center"/>
    </xf>
    <xf numFmtId="0" fontId="13" fillId="4" borderId="1" xfId="0" applyFont="1" applyFill="1" applyBorder="1"/>
    <xf numFmtId="2" fontId="14" fillId="4" borderId="2" xfId="4" applyNumberFormat="1" applyFont="1" applyFill="1" applyBorder="1" applyAlignment="1">
      <alignment horizontal="right"/>
    </xf>
    <xf numFmtId="164" fontId="12" fillId="0" borderId="33" xfId="2" applyNumberFormat="1" applyFont="1" applyBorder="1"/>
    <xf numFmtId="164" fontId="12" fillId="0" borderId="0" xfId="2" applyNumberFormat="1" applyFont="1"/>
    <xf numFmtId="0" fontId="12" fillId="0" borderId="33" xfId="0" applyFont="1" applyBorder="1" applyAlignment="1">
      <alignment horizontal="center"/>
    </xf>
    <xf numFmtId="0" fontId="1" fillId="0" borderId="0" xfId="0" applyFont="1" applyAlignment="1">
      <alignment horizontal="left"/>
    </xf>
    <xf numFmtId="0" fontId="3" fillId="0" borderId="4" xfId="0" applyFont="1" applyBorder="1" applyAlignment="1">
      <alignment horizontal="right"/>
    </xf>
    <xf numFmtId="164" fontId="3" fillId="0" borderId="8" xfId="0" applyNumberFormat="1" applyFont="1" applyBorder="1"/>
    <xf numFmtId="0" fontId="3" fillId="0" borderId="20" xfId="0" applyFont="1" applyBorder="1"/>
    <xf numFmtId="0" fontId="3" fillId="0" borderId="20" xfId="0" applyFont="1" applyBorder="1" applyAlignment="1">
      <alignment horizontal="center"/>
    </xf>
    <xf numFmtId="0" fontId="14" fillId="4" borderId="1" xfId="4" applyFont="1" applyFill="1" applyBorder="1" applyAlignment="1">
      <alignment horizontal="center" vertical="center" wrapText="1"/>
    </xf>
    <xf numFmtId="0" fontId="6" fillId="0" borderId="0" xfId="0" applyFont="1" applyAlignment="1">
      <alignment horizontal="right"/>
    </xf>
    <xf numFmtId="0" fontId="0" fillId="12" borderId="0" xfId="0" applyFill="1"/>
    <xf numFmtId="0" fontId="12" fillId="0" borderId="11" xfId="0" applyFont="1" applyBorder="1"/>
    <xf numFmtId="0" fontId="5" fillId="4" borderId="14" xfId="0" applyFont="1" applyFill="1" applyBorder="1"/>
    <xf numFmtId="164" fontId="5" fillId="0" borderId="36" xfId="2" applyNumberFormat="1" applyFont="1" applyBorder="1"/>
    <xf numFmtId="164" fontId="15" fillId="0" borderId="20" xfId="0" applyNumberFormat="1" applyFont="1" applyBorder="1"/>
    <xf numFmtId="164" fontId="15" fillId="0" borderId="0" xfId="0" applyNumberFormat="1" applyFont="1"/>
    <xf numFmtId="164" fontId="0" fillId="5" borderId="2" xfId="0" applyNumberFormat="1" applyFill="1" applyBorder="1"/>
    <xf numFmtId="164" fontId="13" fillId="13" borderId="1" xfId="2" applyNumberFormat="1" applyFont="1" applyFill="1" applyBorder="1"/>
    <xf numFmtId="0" fontId="0" fillId="7" borderId="42" xfId="0" applyFill="1" applyBorder="1" applyAlignment="1">
      <alignment horizontal="right"/>
    </xf>
    <xf numFmtId="0" fontId="0" fillId="7" borderId="7" xfId="0" applyFill="1" applyBorder="1" applyAlignment="1">
      <alignment horizontal="right"/>
    </xf>
    <xf numFmtId="164" fontId="13" fillId="8" borderId="1" xfId="2" applyNumberFormat="1" applyFont="1" applyFill="1" applyBorder="1"/>
    <xf numFmtId="0" fontId="1" fillId="7" borderId="12" xfId="0" applyFont="1" applyFill="1" applyBorder="1" applyAlignment="1">
      <alignment horizontal="right"/>
    </xf>
    <xf numFmtId="164" fontId="0" fillId="7" borderId="2" xfId="0" applyNumberFormat="1" applyFill="1" applyBorder="1"/>
    <xf numFmtId="0" fontId="0" fillId="7" borderId="13" xfId="0" applyFill="1" applyBorder="1" applyAlignment="1">
      <alignment horizontal="right"/>
    </xf>
    <xf numFmtId="164" fontId="13" fillId="13" borderId="3" xfId="2" applyNumberFormat="1" applyFont="1" applyFill="1" applyBorder="1"/>
    <xf numFmtId="164" fontId="0" fillId="7" borderId="3" xfId="0" applyNumberFormat="1" applyFill="1" applyBorder="1"/>
    <xf numFmtId="164" fontId="0" fillId="14" borderId="2" xfId="2" applyNumberFormat="1" applyFont="1" applyFill="1" applyBorder="1"/>
    <xf numFmtId="164" fontId="0" fillId="8" borderId="3" xfId="2" applyNumberFormat="1" applyFont="1" applyFill="1" applyBorder="1"/>
    <xf numFmtId="0" fontId="0" fillId="9" borderId="13" xfId="0" applyFill="1" applyBorder="1"/>
    <xf numFmtId="164" fontId="0" fillId="9" borderId="3" xfId="0" applyNumberFormat="1" applyFill="1" applyBorder="1"/>
    <xf numFmtId="164" fontId="1" fillId="9" borderId="1" xfId="2" applyNumberFormat="1" applyFill="1" applyBorder="1"/>
    <xf numFmtId="165" fontId="1" fillId="9" borderId="1" xfId="5" applyNumberFormat="1" applyFill="1" applyBorder="1" applyAlignment="1">
      <alignment horizontal="right"/>
    </xf>
    <xf numFmtId="9" fontId="1" fillId="0" borderId="0" xfId="5" applyAlignment="1">
      <alignment horizontal="center"/>
    </xf>
    <xf numFmtId="9" fontId="1" fillId="0" borderId="22" xfId="5" applyBorder="1" applyAlignment="1">
      <alignment horizontal="center"/>
    </xf>
    <xf numFmtId="9" fontId="1" fillId="0" borderId="12" xfId="5" applyBorder="1" applyAlignment="1">
      <alignment horizontal="center" shrinkToFit="1"/>
    </xf>
    <xf numFmtId="9" fontId="1" fillId="0" borderId="38" xfId="5" applyBorder="1" applyAlignment="1">
      <alignment horizontal="center"/>
    </xf>
    <xf numFmtId="9" fontId="1" fillId="0" borderId="2" xfId="5" applyBorder="1" applyAlignment="1">
      <alignment horizontal="center" shrinkToFit="1"/>
    </xf>
    <xf numFmtId="0" fontId="15" fillId="0" borderId="1" xfId="0" applyFont="1" applyBorder="1"/>
    <xf numFmtId="0" fontId="15" fillId="0" borderId="5" xfId="0" applyFont="1" applyBorder="1"/>
    <xf numFmtId="0" fontId="15" fillId="0" borderId="6" xfId="0" applyFont="1" applyBorder="1"/>
    <xf numFmtId="0" fontId="0" fillId="0" borderId="50" xfId="0" applyBorder="1"/>
    <xf numFmtId="9" fontId="5" fillId="0" borderId="50" xfId="5" applyFont="1" applyBorder="1" applyAlignment="1">
      <alignment horizontal="center"/>
    </xf>
    <xf numFmtId="0" fontId="4" fillId="0" borderId="51" xfId="0" applyFont="1" applyBorder="1"/>
    <xf numFmtId="0" fontId="0" fillId="0" borderId="51" xfId="0" applyBorder="1"/>
    <xf numFmtId="9" fontId="5" fillId="0" borderId="51" xfId="5" applyFont="1" applyBorder="1" applyAlignment="1">
      <alignment horizontal="center"/>
    </xf>
    <xf numFmtId="0" fontId="1" fillId="0" borderId="51" xfId="0" applyFont="1" applyBorder="1"/>
    <xf numFmtId="0" fontId="6" fillId="0" borderId="51" xfId="0" applyFont="1" applyBorder="1"/>
    <xf numFmtId="0" fontId="12" fillId="0" borderId="51" xfId="0" applyFont="1" applyBorder="1" applyAlignment="1">
      <alignment horizontal="center"/>
    </xf>
    <xf numFmtId="0" fontId="0" fillId="0" borderId="49" xfId="0" applyBorder="1"/>
    <xf numFmtId="1" fontId="12" fillId="0" borderId="49" xfId="0" applyNumberFormat="1" applyFont="1" applyBorder="1" applyAlignment="1">
      <alignment horizontal="center"/>
    </xf>
    <xf numFmtId="0" fontId="12" fillId="0" borderId="49" xfId="0" applyFont="1" applyBorder="1" applyAlignment="1">
      <alignment horizontal="center"/>
    </xf>
    <xf numFmtId="0" fontId="0" fillId="9" borderId="0" xfId="0" applyFill="1"/>
    <xf numFmtId="0" fontId="1" fillId="9" borderId="0" xfId="0" applyFont="1" applyFill="1" applyAlignment="1">
      <alignment horizontal="right"/>
    </xf>
    <xf numFmtId="0" fontId="0" fillId="9" borderId="0" xfId="0" applyFill="1" applyAlignment="1">
      <alignment horizontal="right"/>
    </xf>
    <xf numFmtId="169" fontId="24" fillId="4" borderId="1" xfId="2" applyNumberFormat="1" applyFont="1" applyFill="1" applyBorder="1" applyAlignment="1">
      <alignment horizontal="center"/>
    </xf>
    <xf numFmtId="0" fontId="0" fillId="0" borderId="52" xfId="0" applyBorder="1"/>
    <xf numFmtId="0" fontId="0" fillId="0" borderId="53" xfId="0" applyBorder="1"/>
    <xf numFmtId="0" fontId="6" fillId="0" borderId="52" xfId="0" applyFont="1" applyBorder="1"/>
    <xf numFmtId="0" fontId="12" fillId="0" borderId="52" xfId="0" applyFont="1" applyBorder="1" applyAlignment="1">
      <alignment horizontal="center"/>
    </xf>
    <xf numFmtId="0" fontId="15" fillId="0" borderId="0" xfId="0" applyFont="1"/>
    <xf numFmtId="164" fontId="0" fillId="0" borderId="41" xfId="0" applyNumberFormat="1" applyBorder="1"/>
    <xf numFmtId="165" fontId="15" fillId="0" borderId="1" xfId="5" applyNumberFormat="1" applyFont="1" applyBorder="1"/>
    <xf numFmtId="172" fontId="1" fillId="0" borderId="1" xfId="5" applyNumberFormat="1" applyBorder="1" applyAlignment="1">
      <alignment horizontal="left"/>
    </xf>
    <xf numFmtId="164" fontId="21" fillId="0" borderId="55" xfId="0" applyNumberFormat="1" applyFont="1" applyBorder="1"/>
    <xf numFmtId="0" fontId="2" fillId="14" borderId="16" xfId="0" applyFont="1" applyFill="1" applyBorder="1" applyAlignment="1">
      <alignment horizontal="center"/>
    </xf>
    <xf numFmtId="0" fontId="2" fillId="14" borderId="3" xfId="0" applyFont="1" applyFill="1" applyBorder="1" applyAlignment="1">
      <alignment horizontal="center"/>
    </xf>
    <xf numFmtId="0" fontId="15" fillId="14" borderId="21" xfId="0" applyFont="1" applyFill="1" applyBorder="1" applyAlignment="1">
      <alignment horizontal="center" wrapText="1"/>
    </xf>
    <xf numFmtId="0" fontId="15" fillId="14" borderId="15" xfId="0" applyFont="1" applyFill="1" applyBorder="1" applyAlignment="1">
      <alignment horizontal="center" wrapText="1"/>
    </xf>
    <xf numFmtId="0" fontId="1" fillId="0" borderId="56" xfId="0" applyFont="1" applyBorder="1"/>
    <xf numFmtId="0" fontId="0" fillId="7" borderId="6" xfId="0" applyFill="1" applyBorder="1"/>
    <xf numFmtId="0" fontId="0" fillId="0" borderId="10" xfId="0" applyBorder="1"/>
    <xf numFmtId="0" fontId="0" fillId="0" borderId="33" xfId="0" applyBorder="1"/>
    <xf numFmtId="164" fontId="0" fillId="6" borderId="3" xfId="0" applyNumberFormat="1" applyFill="1" applyBorder="1"/>
    <xf numFmtId="0" fontId="1" fillId="0" borderId="10" xfId="0" applyFont="1" applyBorder="1"/>
    <xf numFmtId="0" fontId="0" fillId="0" borderId="12" xfId="0" applyBorder="1"/>
    <xf numFmtId="173" fontId="0" fillId="14" borderId="44" xfId="0" applyNumberFormat="1" applyFill="1" applyBorder="1" applyAlignment="1">
      <alignment horizontal="center"/>
    </xf>
    <xf numFmtId="164" fontId="0" fillId="5" borderId="26" xfId="0" applyNumberFormat="1" applyFill="1" applyBorder="1"/>
    <xf numFmtId="0" fontId="0" fillId="12" borderId="34" xfId="0" applyFill="1" applyBorder="1"/>
    <xf numFmtId="0" fontId="0" fillId="15" borderId="1" xfId="0" applyFill="1" applyBorder="1" applyAlignment="1">
      <alignment horizontal="center"/>
    </xf>
    <xf numFmtId="173" fontId="0" fillId="15" borderId="1" xfId="0" applyNumberFormat="1" applyFill="1" applyBorder="1" applyAlignment="1">
      <alignment horizontal="center"/>
    </xf>
    <xf numFmtId="164" fontId="15" fillId="15" borderId="1" xfId="0" applyNumberFormat="1" applyFont="1" applyFill="1" applyBorder="1"/>
    <xf numFmtId="0" fontId="15" fillId="15" borderId="10" xfId="0" applyFont="1" applyFill="1" applyBorder="1"/>
    <xf numFmtId="0" fontId="15" fillId="15" borderId="12" xfId="0" applyFont="1" applyFill="1" applyBorder="1" applyAlignment="1">
      <alignment horizontal="right"/>
    </xf>
    <xf numFmtId="0" fontId="20" fillId="15" borderId="5" xfId="0" applyFont="1" applyFill="1" applyBorder="1"/>
    <xf numFmtId="0" fontId="15" fillId="15" borderId="7" xfId="0" applyFont="1" applyFill="1" applyBorder="1" applyAlignment="1">
      <alignment horizontal="right"/>
    </xf>
    <xf numFmtId="0" fontId="1" fillId="5" borderId="47" xfId="0" applyFont="1" applyFill="1" applyBorder="1"/>
    <xf numFmtId="0" fontId="1" fillId="5" borderId="19" xfId="0" applyFont="1" applyFill="1" applyBorder="1"/>
    <xf numFmtId="0" fontId="1" fillId="5" borderId="18" xfId="0" applyFont="1" applyFill="1" applyBorder="1"/>
    <xf numFmtId="0" fontId="3" fillId="14" borderId="18" xfId="0" applyFont="1" applyFill="1" applyBorder="1"/>
    <xf numFmtId="165" fontId="13" fillId="4" borderId="0" xfId="5" applyNumberFormat="1" applyFont="1" applyFill="1"/>
    <xf numFmtId="0" fontId="13" fillId="4" borderId="1" xfId="0" applyFont="1" applyFill="1" applyBorder="1" applyAlignment="1">
      <alignment horizontal="center"/>
    </xf>
    <xf numFmtId="0" fontId="0" fillId="16" borderId="0" xfId="0" applyFill="1"/>
    <xf numFmtId="164" fontId="0" fillId="16" borderId="0" xfId="2" applyNumberFormat="1" applyFont="1" applyFill="1"/>
    <xf numFmtId="42" fontId="0" fillId="16" borderId="0" xfId="0" applyNumberFormat="1" applyFill="1"/>
    <xf numFmtId="0" fontId="0" fillId="16" borderId="0" xfId="0" applyFill="1" applyAlignment="1">
      <alignment horizontal="center"/>
    </xf>
    <xf numFmtId="165" fontId="0" fillId="16" borderId="0" xfId="0" applyNumberFormat="1" applyFill="1"/>
    <xf numFmtId="0" fontId="3" fillId="0" borderId="0" xfId="0" applyFont="1" applyAlignment="1">
      <alignment horizontal="right"/>
    </xf>
    <xf numFmtId="0" fontId="25" fillId="0" borderId="0" xfId="0" applyFont="1"/>
    <xf numFmtId="1" fontId="0" fillId="9" borderId="0" xfId="0" applyNumberFormat="1" applyFill="1"/>
    <xf numFmtId="42" fontId="0" fillId="9" borderId="0" xfId="0" applyNumberFormat="1" applyFill="1"/>
    <xf numFmtId="1" fontId="0" fillId="9" borderId="0" xfId="0" applyNumberFormat="1" applyFill="1" applyAlignment="1">
      <alignment horizontal="right"/>
    </xf>
    <xf numFmtId="164" fontId="0" fillId="9" borderId="0" xfId="2" applyNumberFormat="1" applyFont="1" applyFill="1" applyAlignment="1">
      <alignment horizontal="right" shrinkToFit="1"/>
    </xf>
    <xf numFmtId="0" fontId="0" fillId="16" borderId="0" xfId="0" applyFill="1" applyAlignment="1">
      <alignment horizontal="left"/>
    </xf>
    <xf numFmtId="0" fontId="0" fillId="17" borderId="0" xfId="0" applyFill="1"/>
    <xf numFmtId="0" fontId="0" fillId="0" borderId="0" xfId="0" applyAlignment="1">
      <alignment horizontal="right"/>
    </xf>
    <xf numFmtId="1" fontId="0" fillId="0" borderId="0" xfId="0" applyNumberFormat="1" applyAlignment="1">
      <alignment horizontal="right"/>
    </xf>
    <xf numFmtId="42" fontId="0" fillId="0" borderId="0" xfId="0" applyNumberFormat="1"/>
    <xf numFmtId="0" fontId="0" fillId="0" borderId="11" xfId="0" applyBorder="1"/>
    <xf numFmtId="0" fontId="1" fillId="0" borderId="12" xfId="0" applyFont="1" applyBorder="1" applyAlignment="1">
      <alignment horizontal="center"/>
    </xf>
    <xf numFmtId="0" fontId="1" fillId="11" borderId="0" xfId="0" applyFont="1" applyFill="1"/>
    <xf numFmtId="0" fontId="0" fillId="11" borderId="0" xfId="0" applyFill="1"/>
    <xf numFmtId="0" fontId="1" fillId="0" borderId="1" xfId="0" applyFont="1" applyBorder="1" applyAlignment="1">
      <alignment horizontal="right"/>
    </xf>
    <xf numFmtId="0" fontId="9" fillId="4" borderId="1" xfId="0" applyFont="1" applyFill="1" applyBorder="1" applyAlignment="1">
      <alignment horizontal="center"/>
    </xf>
    <xf numFmtId="0" fontId="1" fillId="0" borderId="1" xfId="0" applyFont="1" applyBorder="1" applyAlignment="1">
      <alignment horizontal="center"/>
    </xf>
    <xf numFmtId="165" fontId="13" fillId="4" borderId="1" xfId="5" applyNumberFormat="1" applyFont="1" applyFill="1" applyBorder="1" applyAlignment="1">
      <alignment horizontal="center"/>
    </xf>
    <xf numFmtId="0" fontId="6" fillId="0" borderId="1" xfId="0" applyFont="1" applyBorder="1" applyAlignment="1">
      <alignment horizontal="right"/>
    </xf>
    <xf numFmtId="0" fontId="1" fillId="12" borderId="0" xfId="0" applyFont="1" applyFill="1"/>
    <xf numFmtId="0" fontId="1" fillId="12" borderId="0" xfId="0" applyFont="1" applyFill="1" applyAlignment="1">
      <alignment horizontal="right"/>
    </xf>
    <xf numFmtId="0" fontId="1" fillId="12" borderId="0" xfId="0" applyFont="1" applyFill="1" applyAlignment="1">
      <alignment horizontal="center"/>
    </xf>
    <xf numFmtId="0" fontId="1" fillId="11" borderId="27" xfId="0" applyFont="1" applyFill="1" applyBorder="1"/>
    <xf numFmtId="0" fontId="0" fillId="11" borderId="34" xfId="0" applyFill="1" applyBorder="1"/>
    <xf numFmtId="0" fontId="0" fillId="11" borderId="28" xfId="0" applyFill="1" applyBorder="1"/>
    <xf numFmtId="0" fontId="1" fillId="11" borderId="31" xfId="0" applyFont="1" applyFill="1" applyBorder="1"/>
    <xf numFmtId="0" fontId="0" fillId="11" borderId="20" xfId="0" applyFill="1" applyBorder="1"/>
    <xf numFmtId="0" fontId="0" fillId="11" borderId="32" xfId="0" applyFill="1" applyBorder="1"/>
    <xf numFmtId="0" fontId="3" fillId="0" borderId="0" xfId="0" applyFont="1" applyAlignment="1">
      <alignment horizontal="left"/>
    </xf>
    <xf numFmtId="0" fontId="3" fillId="0" borderId="49" xfId="0" applyFont="1" applyBorder="1" applyAlignment="1">
      <alignment horizontal="left"/>
    </xf>
    <xf numFmtId="0" fontId="3" fillId="0" borderId="52" xfId="0" applyFont="1" applyBorder="1" applyAlignment="1">
      <alignment horizontal="left"/>
    </xf>
    <xf numFmtId="0" fontId="15" fillId="0" borderId="1" xfId="0" applyFont="1" applyBorder="1" applyAlignment="1">
      <alignment horizontal="center" wrapText="1"/>
    </xf>
    <xf numFmtId="0" fontId="0" fillId="0" borderId="6" xfId="0" applyBorder="1" applyAlignment="1">
      <alignment horizontal="center"/>
    </xf>
    <xf numFmtId="166" fontId="5" fillId="4" borderId="6" xfId="0" applyNumberFormat="1" applyFont="1" applyFill="1" applyBorder="1" applyAlignment="1">
      <alignment horizontal="center"/>
    </xf>
    <xf numFmtId="1" fontId="0" fillId="0" borderId="10" xfId="0" applyNumberFormat="1" applyBorder="1" applyAlignment="1">
      <alignment horizontal="center"/>
    </xf>
    <xf numFmtId="0" fontId="1" fillId="5" borderId="47" xfId="0" applyFont="1" applyFill="1" applyBorder="1" applyAlignment="1">
      <alignment horizontal="right"/>
    </xf>
    <xf numFmtId="0" fontId="0" fillId="18" borderId="0" xfId="0" applyFill="1"/>
    <xf numFmtId="0" fontId="1" fillId="18" borderId="0" xfId="0" applyFont="1" applyFill="1"/>
    <xf numFmtId="0" fontId="15" fillId="14" borderId="60" xfId="0" applyFont="1" applyFill="1" applyBorder="1" applyAlignment="1">
      <alignment horizontal="center"/>
    </xf>
    <xf numFmtId="0" fontId="0" fillId="0" borderId="59" xfId="0" applyBorder="1" applyAlignment="1">
      <alignment horizontal="left"/>
    </xf>
    <xf numFmtId="164" fontId="12" fillId="0" borderId="0" xfId="2" applyNumberFormat="1" applyFont="1" applyAlignment="1">
      <alignment horizontal="center"/>
    </xf>
    <xf numFmtId="0" fontId="0" fillId="0" borderId="0" xfId="0" applyAlignment="1">
      <alignment horizontal="left"/>
    </xf>
    <xf numFmtId="0" fontId="4" fillId="18" borderId="0" xfId="0" applyFont="1" applyFill="1"/>
    <xf numFmtId="165" fontId="13" fillId="4" borderId="19" xfId="5" applyNumberFormat="1" applyFont="1" applyFill="1" applyBorder="1" applyAlignment="1">
      <alignment horizontal="center"/>
    </xf>
    <xf numFmtId="0" fontId="13" fillId="4" borderId="45" xfId="0" applyFont="1" applyFill="1" applyBorder="1"/>
    <xf numFmtId="164" fontId="13" fillId="4" borderId="2" xfId="2" applyNumberFormat="1" applyFont="1" applyFill="1" applyBorder="1"/>
    <xf numFmtId="167" fontId="13" fillId="4" borderId="2" xfId="1" applyNumberFormat="1" applyFont="1" applyFill="1" applyBorder="1"/>
    <xf numFmtId="0" fontId="13" fillId="4" borderId="16" xfId="0" applyFont="1" applyFill="1" applyBorder="1"/>
    <xf numFmtId="164" fontId="13" fillId="4" borderId="3" xfId="2" applyNumberFormat="1" applyFont="1" applyFill="1" applyBorder="1"/>
    <xf numFmtId="0" fontId="13" fillId="4" borderId="3" xfId="0" applyFont="1" applyFill="1" applyBorder="1"/>
    <xf numFmtId="165" fontId="13" fillId="4" borderId="18" xfId="5" applyNumberFormat="1" applyFont="1" applyFill="1" applyBorder="1" applyAlignment="1">
      <alignment horizontal="center"/>
    </xf>
    <xf numFmtId="168" fontId="28" fillId="4" borderId="19" xfId="5" applyNumberFormat="1" applyFont="1" applyFill="1" applyBorder="1" applyAlignment="1">
      <alignment horizontal="center"/>
    </xf>
    <xf numFmtId="0" fontId="13" fillId="4" borderId="6" xfId="0" applyFont="1" applyFill="1" applyBorder="1"/>
    <xf numFmtId="0" fontId="5" fillId="4" borderId="16" xfId="0" applyFont="1" applyFill="1" applyBorder="1"/>
    <xf numFmtId="165" fontId="5" fillId="4" borderId="18" xfId="5" applyNumberFormat="1" applyFont="1" applyFill="1" applyBorder="1" applyAlignment="1">
      <alignment horizontal="center"/>
    </xf>
    <xf numFmtId="0" fontId="3" fillId="15" borderId="33" xfId="0" applyFont="1" applyFill="1" applyBorder="1"/>
    <xf numFmtId="164" fontId="0" fillId="5" borderId="12" xfId="0" applyNumberFormat="1" applyFill="1" applyBorder="1"/>
    <xf numFmtId="164" fontId="0" fillId="5" borderId="72" xfId="0" applyNumberFormat="1" applyFill="1" applyBorder="1"/>
    <xf numFmtId="164" fontId="0" fillId="5" borderId="73" xfId="2" applyNumberFormat="1" applyFont="1" applyFill="1" applyBorder="1"/>
    <xf numFmtId="164" fontId="0" fillId="5" borderId="69" xfId="2" applyNumberFormat="1" applyFont="1" applyFill="1" applyBorder="1"/>
    <xf numFmtId="164" fontId="0" fillId="5" borderId="41" xfId="2" applyNumberFormat="1" applyFont="1" applyFill="1" applyBorder="1"/>
    <xf numFmtId="0" fontId="3" fillId="14" borderId="6" xfId="0" applyFont="1" applyFill="1" applyBorder="1"/>
    <xf numFmtId="173" fontId="0" fillId="14" borderId="57" xfId="0" applyNumberFormat="1" applyFill="1" applyBorder="1" applyAlignment="1">
      <alignment horizontal="center"/>
    </xf>
    <xf numFmtId="164" fontId="0" fillId="0" borderId="12" xfId="2" applyNumberFormat="1" applyFont="1" applyBorder="1"/>
    <xf numFmtId="164" fontId="0" fillId="0" borderId="7" xfId="2" applyNumberFormat="1" applyFont="1" applyBorder="1"/>
    <xf numFmtId="164" fontId="0" fillId="0" borderId="13" xfId="2" applyNumberFormat="1" applyFont="1" applyBorder="1"/>
    <xf numFmtId="164" fontId="0" fillId="6" borderId="13" xfId="0" applyNumberFormat="1" applyFill="1" applyBorder="1"/>
    <xf numFmtId="173" fontId="0" fillId="14" borderId="41" xfId="0" applyNumberFormat="1" applyFill="1" applyBorder="1" applyAlignment="1">
      <alignment horizontal="center"/>
    </xf>
    <xf numFmtId="164" fontId="0" fillId="0" borderId="73" xfId="2" applyNumberFormat="1" applyFont="1" applyBorder="1"/>
    <xf numFmtId="164" fontId="0" fillId="0" borderId="74" xfId="2" applyNumberFormat="1" applyFont="1" applyBorder="1"/>
    <xf numFmtId="164" fontId="0" fillId="0" borderId="69" xfId="2" applyNumberFormat="1" applyFont="1" applyBorder="1"/>
    <xf numFmtId="0" fontId="0" fillId="0" borderId="73" xfId="0" applyBorder="1"/>
    <xf numFmtId="164" fontId="0" fillId="6" borderId="69" xfId="0" applyNumberFormat="1" applyFill="1" applyBorder="1"/>
    <xf numFmtId="164" fontId="0" fillId="0" borderId="7" xfId="0" applyNumberFormat="1" applyBorder="1"/>
    <xf numFmtId="164" fontId="0" fillId="7" borderId="13" xfId="0" applyNumberFormat="1" applyFill="1" applyBorder="1"/>
    <xf numFmtId="0" fontId="12" fillId="0" borderId="0" xfId="0" applyFont="1"/>
    <xf numFmtId="164" fontId="0" fillId="0" borderId="75" xfId="0" applyNumberFormat="1" applyBorder="1"/>
    <xf numFmtId="164" fontId="0" fillId="0" borderId="74" xfId="0" applyNumberFormat="1" applyBorder="1"/>
    <xf numFmtId="9" fontId="0" fillId="0" borderId="69" xfId="5" applyFont="1" applyBorder="1"/>
    <xf numFmtId="164" fontId="0" fillId="7" borderId="69" xfId="0" applyNumberFormat="1" applyFill="1" applyBorder="1"/>
    <xf numFmtId="0" fontId="2" fillId="0" borderId="6" xfId="0" applyFont="1" applyBorder="1" applyAlignment="1">
      <alignment horizontal="right"/>
    </xf>
    <xf numFmtId="0" fontId="1" fillId="5" borderId="41" xfId="0" applyFont="1" applyFill="1" applyBorder="1" applyAlignment="1">
      <alignment horizontal="center"/>
    </xf>
    <xf numFmtId="173" fontId="0" fillId="9" borderId="1" xfId="0" applyNumberFormat="1" applyFill="1" applyBorder="1" applyAlignment="1">
      <alignment horizontal="center"/>
    </xf>
    <xf numFmtId="0" fontId="1" fillId="0" borderId="9" xfId="0" applyFont="1" applyBorder="1"/>
    <xf numFmtId="0" fontId="0" fillId="0" borderId="9" xfId="0" applyBorder="1"/>
    <xf numFmtId="0" fontId="0" fillId="0" borderId="9" xfId="0" applyBorder="1" applyAlignment="1">
      <alignment horizontal="center"/>
    </xf>
    <xf numFmtId="0" fontId="0" fillId="0" borderId="11" xfId="0" applyBorder="1" applyAlignment="1">
      <alignment horizontal="center"/>
    </xf>
    <xf numFmtId="0" fontId="1" fillId="0" borderId="20" xfId="0" applyFont="1" applyBorder="1"/>
    <xf numFmtId="0" fontId="0" fillId="18" borderId="9" xfId="0" applyFill="1" applyBorder="1" applyAlignment="1">
      <alignment horizontal="center"/>
    </xf>
    <xf numFmtId="0" fontId="1" fillId="18" borderId="9" xfId="0" applyFont="1" applyFill="1" applyBorder="1"/>
    <xf numFmtId="0" fontId="0" fillId="18" borderId="9" xfId="0" applyFill="1" applyBorder="1"/>
    <xf numFmtId="0" fontId="3" fillId="18" borderId="0" xfId="0" applyFont="1" applyFill="1" applyAlignment="1">
      <alignment horizontal="left"/>
    </xf>
    <xf numFmtId="0" fontId="1" fillId="18" borderId="0" xfId="0" applyFont="1" applyFill="1" applyAlignment="1">
      <alignment horizontal="center"/>
    </xf>
    <xf numFmtId="0" fontId="3" fillId="15" borderId="33" xfId="0" applyFont="1" applyFill="1" applyBorder="1" applyAlignment="1">
      <alignment horizontal="right"/>
    </xf>
    <xf numFmtId="0" fontId="21" fillId="6" borderId="6" xfId="0" applyFont="1" applyFill="1" applyBorder="1"/>
    <xf numFmtId="0" fontId="1" fillId="18" borderId="10" xfId="0" applyFont="1" applyFill="1" applyBorder="1"/>
    <xf numFmtId="164" fontId="0" fillId="18" borderId="74" xfId="2" applyNumberFormat="1" applyFont="1" applyFill="1" applyBorder="1"/>
    <xf numFmtId="164" fontId="0" fillId="18" borderId="12" xfId="2" applyNumberFormat="1" applyFont="1" applyFill="1" applyBorder="1"/>
    <xf numFmtId="164" fontId="0" fillId="18" borderId="2" xfId="2" applyNumberFormat="1" applyFont="1" applyFill="1" applyBorder="1"/>
    <xf numFmtId="0" fontId="13" fillId="4" borderId="2" xfId="4" applyFont="1" applyFill="1" applyBorder="1" applyAlignment="1">
      <alignment horizontal="left" wrapText="1"/>
    </xf>
    <xf numFmtId="0" fontId="13" fillId="4" borderId="2" xfId="4" applyFont="1" applyFill="1" applyBorder="1" applyAlignment="1">
      <alignment horizontal="center" wrapText="1"/>
    </xf>
    <xf numFmtId="0" fontId="13" fillId="4" borderId="2" xfId="4" applyFont="1" applyFill="1" applyBorder="1" applyAlignment="1">
      <alignment wrapText="1"/>
    </xf>
    <xf numFmtId="167" fontId="13" fillId="4" borderId="2" xfId="1" applyNumberFormat="1" applyFont="1" applyFill="1" applyBorder="1" applyAlignment="1">
      <alignment horizontal="right"/>
    </xf>
    <xf numFmtId="1" fontId="1" fillId="0" borderId="2" xfId="4" applyNumberFormat="1" applyFont="1" applyBorder="1" applyAlignment="1">
      <alignment horizontal="right"/>
    </xf>
    <xf numFmtId="0" fontId="13" fillId="4" borderId="1" xfId="4" applyFont="1" applyFill="1" applyBorder="1" applyAlignment="1">
      <alignment horizontal="center" wrapText="1"/>
    </xf>
    <xf numFmtId="0" fontId="13" fillId="4" borderId="1" xfId="4" applyFont="1" applyFill="1" applyBorder="1" applyAlignment="1">
      <alignment horizontal="left" vertical="center" wrapText="1"/>
    </xf>
    <xf numFmtId="0" fontId="13" fillId="4" borderId="1" xfId="4" applyFont="1" applyFill="1" applyBorder="1" applyAlignment="1">
      <alignment horizontal="center" vertical="center" wrapText="1"/>
    </xf>
    <xf numFmtId="0" fontId="13" fillId="4" borderId="1" xfId="4" applyFont="1" applyFill="1" applyBorder="1" applyAlignment="1">
      <alignment vertical="center" wrapText="1"/>
    </xf>
    <xf numFmtId="167" fontId="13" fillId="4" borderId="2" xfId="4" applyNumberFormat="1" applyFont="1" applyFill="1" applyBorder="1" applyAlignment="1">
      <alignment horizontal="right"/>
    </xf>
    <xf numFmtId="0" fontId="13" fillId="4" borderId="1" xfId="4" applyFont="1" applyFill="1" applyBorder="1" applyAlignment="1">
      <alignment horizontal="left" wrapText="1"/>
    </xf>
    <xf numFmtId="0" fontId="13" fillId="4" borderId="1" xfId="4" applyFont="1" applyFill="1" applyBorder="1" applyAlignment="1">
      <alignment wrapText="1"/>
    </xf>
    <xf numFmtId="2" fontId="13" fillId="4" borderId="2" xfId="4" applyNumberFormat="1" applyFont="1" applyFill="1" applyBorder="1" applyAlignment="1">
      <alignment horizontal="right"/>
    </xf>
    <xf numFmtId="1" fontId="13" fillId="4" borderId="1" xfId="4" applyNumberFormat="1" applyFont="1" applyFill="1" applyBorder="1" applyAlignment="1">
      <alignment horizontal="left" vertical="center"/>
    </xf>
    <xf numFmtId="1" fontId="13" fillId="4" borderId="1" xfId="4" applyNumberFormat="1" applyFont="1" applyFill="1" applyBorder="1" applyAlignment="1">
      <alignment horizontal="center" vertical="center"/>
    </xf>
    <xf numFmtId="0" fontId="32" fillId="19" borderId="76" xfId="0" applyFont="1" applyFill="1" applyBorder="1" applyAlignment="1">
      <alignment vertical="center" wrapText="1"/>
    </xf>
    <xf numFmtId="0" fontId="33" fillId="19" borderId="76" xfId="0" applyFont="1" applyFill="1" applyBorder="1" applyAlignment="1">
      <alignment vertical="center" wrapText="1"/>
    </xf>
    <xf numFmtId="0" fontId="35" fillId="19" borderId="76" xfId="0" applyFont="1" applyFill="1" applyBorder="1" applyAlignment="1">
      <alignment vertical="center" wrapText="1"/>
    </xf>
    <xf numFmtId="0" fontId="36" fillId="14" borderId="16" xfId="0" applyFont="1" applyFill="1" applyBorder="1" applyAlignment="1">
      <alignment horizontal="center"/>
    </xf>
    <xf numFmtId="0" fontId="36" fillId="14" borderId="3" xfId="0" applyFont="1" applyFill="1" applyBorder="1" applyAlignment="1">
      <alignment horizontal="center"/>
    </xf>
    <xf numFmtId="0" fontId="37" fillId="19" borderId="76" xfId="0" applyFont="1" applyFill="1" applyBorder="1" applyAlignment="1">
      <alignment vertical="center" wrapText="1"/>
    </xf>
    <xf numFmtId="164" fontId="5" fillId="4" borderId="14" xfId="2" applyNumberFormat="1" applyFont="1" applyFill="1" applyBorder="1"/>
    <xf numFmtId="1" fontId="13" fillId="4" borderId="2" xfId="4" applyNumberFormat="1" applyFont="1" applyFill="1" applyBorder="1" applyAlignment="1">
      <alignment horizontal="right"/>
    </xf>
    <xf numFmtId="0" fontId="36" fillId="9" borderId="16" xfId="0" applyFont="1" applyFill="1" applyBorder="1" applyAlignment="1">
      <alignment horizontal="center"/>
    </xf>
    <xf numFmtId="0" fontId="36" fillId="9" borderId="3" xfId="0" applyFont="1" applyFill="1" applyBorder="1" applyAlignment="1">
      <alignment horizontal="center"/>
    </xf>
    <xf numFmtId="44" fontId="1" fillId="9" borderId="1" xfId="2" applyFill="1" applyBorder="1"/>
    <xf numFmtId="44" fontId="1" fillId="9" borderId="7" xfId="2" applyFill="1" applyBorder="1"/>
    <xf numFmtId="0" fontId="33" fillId="19" borderId="78" xfId="0" applyFont="1" applyFill="1" applyBorder="1" applyAlignment="1">
      <alignment vertical="center" wrapText="1"/>
    </xf>
    <xf numFmtId="164" fontId="9" fillId="4" borderId="38" xfId="2" applyNumberFormat="1" applyFont="1" applyFill="1" applyBorder="1"/>
    <xf numFmtId="0" fontId="32" fillId="0" borderId="0" xfId="0" applyFont="1" applyAlignment="1">
      <alignment vertical="center" wrapText="1"/>
    </xf>
    <xf numFmtId="164" fontId="9" fillId="0" borderId="0" xfId="2" applyNumberFormat="1" applyFont="1"/>
    <xf numFmtId="0" fontId="1" fillId="0" borderId="49" xfId="0" applyFont="1" applyBorder="1"/>
    <xf numFmtId="0" fontId="1" fillId="0" borderId="52" xfId="0" applyFont="1" applyBorder="1"/>
    <xf numFmtId="44" fontId="1" fillId="0" borderId="1" xfId="2" applyBorder="1" applyAlignment="1">
      <alignment horizontal="center"/>
    </xf>
    <xf numFmtId="0" fontId="1" fillId="0" borderId="3" xfId="0" applyFont="1" applyBorder="1" applyAlignment="1">
      <alignment horizontal="center"/>
    </xf>
    <xf numFmtId="0" fontId="0" fillId="0" borderId="2" xfId="0" applyBorder="1" applyAlignment="1">
      <alignment horizontal="center"/>
    </xf>
    <xf numFmtId="164" fontId="3" fillId="20" borderId="8" xfId="6" applyNumberFormat="1" applyFont="1" applyFill="1" applyBorder="1" applyAlignment="1">
      <alignment horizontal="left"/>
    </xf>
    <xf numFmtId="0" fontId="1" fillId="0" borderId="0" xfId="6"/>
    <xf numFmtId="0" fontId="1" fillId="21" borderId="79" xfId="6" applyFill="1" applyBorder="1" applyAlignment="1">
      <alignment horizontal="center"/>
    </xf>
    <xf numFmtId="0" fontId="1" fillId="21" borderId="38" xfId="6" applyFill="1" applyBorder="1" applyAlignment="1">
      <alignment horizontal="center"/>
    </xf>
    <xf numFmtId="0" fontId="1" fillId="21" borderId="67" xfId="6" applyFill="1" applyBorder="1" applyAlignment="1">
      <alignment horizontal="center"/>
    </xf>
    <xf numFmtId="164" fontId="13" fillId="4" borderId="1" xfId="2" applyNumberFormat="1" applyFont="1" applyFill="1" applyBorder="1"/>
    <xf numFmtId="164" fontId="5" fillId="4" borderId="17" xfId="2" applyNumberFormat="1" applyFont="1" applyFill="1" applyBorder="1"/>
    <xf numFmtId="164" fontId="5" fillId="4" borderId="16" xfId="2" applyNumberFormat="1" applyFont="1" applyFill="1" applyBorder="1"/>
    <xf numFmtId="164" fontId="5" fillId="4" borderId="18" xfId="2" applyNumberFormat="1" applyFont="1" applyFill="1" applyBorder="1"/>
    <xf numFmtId="0" fontId="0" fillId="0" borderId="80" xfId="0" applyBorder="1"/>
    <xf numFmtId="173" fontId="0" fillId="15" borderId="7" xfId="0" applyNumberFormat="1" applyFill="1" applyBorder="1" applyAlignment="1">
      <alignment horizontal="center"/>
    </xf>
    <xf numFmtId="0" fontId="0" fillId="15" borderId="81" xfId="0" applyFill="1" applyBorder="1" applyAlignment="1">
      <alignment horizontal="center"/>
    </xf>
    <xf numFmtId="164" fontId="15" fillId="15" borderId="7" xfId="0" applyNumberFormat="1" applyFont="1" applyFill="1" applyBorder="1"/>
    <xf numFmtId="164" fontId="15" fillId="15" borderId="81" xfId="0" applyNumberFormat="1" applyFont="1" applyFill="1" applyBorder="1"/>
    <xf numFmtId="164" fontId="15" fillId="15" borderId="82" xfId="0" applyNumberFormat="1" applyFont="1" applyFill="1" applyBorder="1"/>
    <xf numFmtId="164" fontId="15" fillId="0" borderId="80" xfId="0" applyNumberFormat="1" applyFont="1" applyBorder="1"/>
    <xf numFmtId="6" fontId="0" fillId="5" borderId="84" xfId="0" applyNumberFormat="1" applyFill="1" applyBorder="1"/>
    <xf numFmtId="6" fontId="0" fillId="5" borderId="85" xfId="0" applyNumberFormat="1" applyFill="1" applyBorder="1"/>
    <xf numFmtId="164" fontId="0" fillId="5" borderId="86" xfId="0" applyNumberFormat="1" applyFill="1" applyBorder="1"/>
    <xf numFmtId="164" fontId="0" fillId="0" borderId="80" xfId="0" applyNumberFormat="1" applyBorder="1"/>
    <xf numFmtId="6" fontId="0" fillId="0" borderId="80" xfId="0" applyNumberFormat="1" applyBorder="1"/>
    <xf numFmtId="0" fontId="0" fillId="14" borderId="83" xfId="0" applyFill="1" applyBorder="1" applyAlignment="1">
      <alignment horizontal="center"/>
    </xf>
    <xf numFmtId="6" fontId="0" fillId="0" borderId="87" xfId="0" applyNumberFormat="1" applyBorder="1"/>
    <xf numFmtId="6" fontId="0" fillId="18" borderId="81" xfId="0" applyNumberFormat="1" applyFill="1" applyBorder="1"/>
    <xf numFmtId="6" fontId="0" fillId="0" borderId="81" xfId="0" applyNumberFormat="1" applyBorder="1"/>
    <xf numFmtId="6" fontId="0" fillId="0" borderId="85" xfId="0" applyNumberFormat="1" applyBorder="1"/>
    <xf numFmtId="164" fontId="0" fillId="6" borderId="85" xfId="0" applyNumberFormat="1" applyFill="1" applyBorder="1"/>
    <xf numFmtId="164" fontId="12" fillId="0" borderId="88" xfId="0" applyNumberFormat="1" applyFont="1" applyBorder="1"/>
    <xf numFmtId="164" fontId="0" fillId="0" borderId="81" xfId="0" applyNumberFormat="1" applyBorder="1"/>
    <xf numFmtId="164" fontId="0" fillId="0" borderId="81" xfId="2" applyNumberFormat="1" applyFont="1" applyBorder="1"/>
    <xf numFmtId="164" fontId="0" fillId="0" borderId="85" xfId="2" applyNumberFormat="1" applyFont="1" applyBorder="1"/>
    <xf numFmtId="0" fontId="0" fillId="0" borderId="87" xfId="0" applyBorder="1"/>
    <xf numFmtId="164" fontId="0" fillId="7" borderId="85" xfId="0" applyNumberFormat="1" applyFill="1" applyBorder="1"/>
    <xf numFmtId="0" fontId="0" fillId="12" borderId="80" xfId="0" applyFill="1" applyBorder="1"/>
    <xf numFmtId="173" fontId="0" fillId="9" borderId="7" xfId="0" applyNumberFormat="1" applyFill="1" applyBorder="1" applyAlignment="1">
      <alignment horizontal="center"/>
    </xf>
    <xf numFmtId="0" fontId="0" fillId="9" borderId="81" xfId="0" applyFill="1" applyBorder="1" applyAlignment="1">
      <alignment horizontal="center"/>
    </xf>
    <xf numFmtId="164" fontId="15" fillId="0" borderId="89" xfId="0" applyNumberFormat="1" applyFont="1" applyBorder="1"/>
    <xf numFmtId="164" fontId="15" fillId="10" borderId="89" xfId="0" applyNumberFormat="1" applyFont="1" applyFill="1" applyBorder="1"/>
    <xf numFmtId="164" fontId="0" fillId="7" borderId="7" xfId="0" applyNumberFormat="1" applyFill="1" applyBorder="1"/>
    <xf numFmtId="164" fontId="0" fillId="7" borderId="81" xfId="0" applyNumberFormat="1" applyFill="1" applyBorder="1"/>
    <xf numFmtId="164" fontId="0" fillId="7" borderId="90" xfId="0" applyNumberFormat="1" applyFill="1" applyBorder="1"/>
    <xf numFmtId="164" fontId="0" fillId="7" borderId="88" xfId="0" applyNumberFormat="1" applyFill="1" applyBorder="1"/>
    <xf numFmtId="164" fontId="13" fillId="13" borderId="7" xfId="2" applyNumberFormat="1" applyFont="1" applyFill="1" applyBorder="1"/>
    <xf numFmtId="164" fontId="13" fillId="13" borderId="82" xfId="2" applyNumberFormat="1" applyFont="1" applyFill="1" applyBorder="1"/>
    <xf numFmtId="164" fontId="13" fillId="13" borderId="81" xfId="2" applyNumberFormat="1" applyFont="1" applyFill="1" applyBorder="1"/>
    <xf numFmtId="164" fontId="13" fillId="13" borderId="13" xfId="2" applyNumberFormat="1" applyFont="1" applyFill="1" applyBorder="1"/>
    <xf numFmtId="164" fontId="13" fillId="13" borderId="91" xfId="2" applyNumberFormat="1" applyFont="1" applyFill="1" applyBorder="1"/>
    <xf numFmtId="164" fontId="0" fillId="7" borderId="12" xfId="0" applyNumberFormat="1" applyFill="1" applyBorder="1"/>
    <xf numFmtId="164" fontId="0" fillId="7" borderId="87" xfId="0" applyNumberFormat="1" applyFill="1" applyBorder="1"/>
    <xf numFmtId="164" fontId="13" fillId="8" borderId="7" xfId="2" applyNumberFormat="1" applyFont="1" applyFill="1" applyBorder="1"/>
    <xf numFmtId="164" fontId="1" fillId="14" borderId="81" xfId="2" applyNumberFormat="1" applyFill="1" applyBorder="1"/>
    <xf numFmtId="164" fontId="13" fillId="8" borderId="82" xfId="2" applyNumberFormat="1" applyFont="1" applyFill="1" applyBorder="1"/>
    <xf numFmtId="164" fontId="0" fillId="8" borderId="13" xfId="2" applyNumberFormat="1" applyFont="1" applyFill="1" applyBorder="1"/>
    <xf numFmtId="164" fontId="1" fillId="14" borderId="85" xfId="2" applyNumberFormat="1" applyFill="1" applyBorder="1"/>
    <xf numFmtId="164" fontId="0" fillId="14" borderId="12" xfId="2" applyNumberFormat="1" applyFont="1" applyFill="1" applyBorder="1"/>
    <xf numFmtId="164" fontId="1" fillId="14" borderId="87" xfId="2" applyNumberFormat="1" applyFill="1" applyBorder="1"/>
    <xf numFmtId="164" fontId="0" fillId="9" borderId="13" xfId="0" applyNumberFormat="1" applyFill="1" applyBorder="1"/>
    <xf numFmtId="164" fontId="0" fillId="9" borderId="85" xfId="0" applyNumberFormat="1" applyFill="1" applyBorder="1"/>
    <xf numFmtId="164" fontId="21" fillId="0" borderId="92" xfId="0" applyNumberFormat="1" applyFont="1" applyBorder="1"/>
    <xf numFmtId="164" fontId="21" fillId="10" borderId="92" xfId="0" applyNumberFormat="1" applyFont="1" applyFill="1" applyBorder="1"/>
    <xf numFmtId="0" fontId="1" fillId="4" borderId="1" xfId="0" applyFont="1" applyFill="1" applyBorder="1" applyAlignment="1">
      <alignment horizontal="center"/>
    </xf>
    <xf numFmtId="9" fontId="13" fillId="0" borderId="2" xfId="5" applyFont="1" applyBorder="1" applyAlignment="1">
      <alignment horizontal="center"/>
    </xf>
    <xf numFmtId="9" fontId="13" fillId="4" borderId="2" xfId="5" applyFont="1" applyFill="1" applyBorder="1" applyAlignment="1">
      <alignment horizontal="center"/>
    </xf>
    <xf numFmtId="9" fontId="13" fillId="4" borderId="1" xfId="5" applyFont="1" applyFill="1" applyBorder="1" applyAlignment="1">
      <alignment horizontal="center"/>
    </xf>
    <xf numFmtId="9" fontId="13" fillId="0" borderId="3" xfId="5" applyFont="1" applyBorder="1" applyAlignment="1">
      <alignment horizontal="center"/>
    </xf>
    <xf numFmtId="9" fontId="13" fillId="4" borderId="3" xfId="5" applyFont="1" applyFill="1" applyBorder="1" applyAlignment="1">
      <alignment horizontal="center"/>
    </xf>
    <xf numFmtId="6" fontId="0" fillId="5" borderId="90" xfId="0" applyNumberFormat="1" applyFill="1" applyBorder="1"/>
    <xf numFmtId="6" fontId="0" fillId="5" borderId="91" xfId="0" applyNumberFormat="1" applyFill="1" applyBorder="1"/>
    <xf numFmtId="164" fontId="0" fillId="5" borderId="94" xfId="0" applyNumberFormat="1" applyFill="1" applyBorder="1"/>
    <xf numFmtId="164" fontId="0" fillId="5" borderId="93" xfId="0" applyNumberFormat="1" applyFill="1" applyBorder="1"/>
    <xf numFmtId="0" fontId="0" fillId="20" borderId="0" xfId="0" applyFill="1"/>
    <xf numFmtId="0" fontId="1" fillId="20" borderId="29" xfId="0" applyFont="1" applyFill="1" applyBorder="1"/>
    <xf numFmtId="164" fontId="3" fillId="20" borderId="38" xfId="0" applyNumberFormat="1" applyFont="1" applyFill="1" applyBorder="1" applyAlignment="1">
      <alignment horizontal="center"/>
    </xf>
    <xf numFmtId="165" fontId="3" fillId="20" borderId="67" xfId="5" applyNumberFormat="1" applyFont="1" applyFill="1" applyBorder="1" applyAlignment="1">
      <alignment horizontal="center"/>
    </xf>
    <xf numFmtId="0" fontId="3" fillId="20" borderId="31" xfId="0" applyFont="1" applyFill="1" applyBorder="1" applyAlignment="1">
      <alignment horizontal="left" vertical="center"/>
    </xf>
    <xf numFmtId="0" fontId="0" fillId="20" borderId="20" xfId="0" applyFill="1" applyBorder="1" applyAlignment="1">
      <alignment horizontal="left" vertical="center"/>
    </xf>
    <xf numFmtId="0" fontId="15" fillId="20" borderId="44" xfId="0" applyFont="1" applyFill="1" applyBorder="1" applyAlignment="1">
      <alignment horizontal="center"/>
    </xf>
    <xf numFmtId="0" fontId="15" fillId="20" borderId="21" xfId="0" applyFont="1" applyFill="1" applyBorder="1" applyAlignment="1">
      <alignment horizontal="center"/>
    </xf>
    <xf numFmtId="0" fontId="0" fillId="20" borderId="62" xfId="0" applyFill="1" applyBorder="1" applyAlignment="1">
      <alignment horizontal="left" vertical="center"/>
    </xf>
    <xf numFmtId="0" fontId="0" fillId="20" borderId="12" xfId="0" applyFill="1" applyBorder="1" applyAlignment="1">
      <alignment horizontal="left" vertical="center"/>
    </xf>
    <xf numFmtId="164" fontId="0" fillId="20" borderId="2" xfId="2" applyNumberFormat="1" applyFont="1" applyFill="1" applyBorder="1"/>
    <xf numFmtId="165" fontId="0" fillId="20" borderId="19" xfId="5" applyNumberFormat="1" applyFont="1" applyFill="1" applyBorder="1"/>
    <xf numFmtId="0" fontId="0" fillId="20" borderId="65" xfId="0" applyFill="1" applyBorder="1" applyAlignment="1">
      <alignment horizontal="left" vertical="center"/>
    </xf>
    <xf numFmtId="0" fontId="0" fillId="20" borderId="7" xfId="0" applyFill="1" applyBorder="1" applyAlignment="1">
      <alignment horizontal="left" vertical="center"/>
    </xf>
    <xf numFmtId="164" fontId="0" fillId="20" borderId="1" xfId="2" applyNumberFormat="1" applyFont="1" applyFill="1" applyBorder="1"/>
    <xf numFmtId="0" fontId="0" fillId="20" borderId="66" xfId="0" applyFill="1" applyBorder="1" applyAlignment="1">
      <alignment horizontal="left" vertical="center"/>
    </xf>
    <xf numFmtId="0" fontId="0" fillId="20" borderId="13" xfId="0" applyFill="1" applyBorder="1" applyAlignment="1">
      <alignment horizontal="left" vertical="center"/>
    </xf>
    <xf numFmtId="164" fontId="0" fillId="20" borderId="3" xfId="2" applyNumberFormat="1" applyFont="1" applyFill="1" applyBorder="1"/>
    <xf numFmtId="165" fontId="0" fillId="20" borderId="21" xfId="5" applyNumberFormat="1" applyFont="1" applyFill="1" applyBorder="1"/>
    <xf numFmtId="0" fontId="6" fillId="20" borderId="0" xfId="0" applyFont="1" applyFill="1"/>
    <xf numFmtId="0" fontId="6" fillId="20" borderId="0" xfId="0" applyFont="1" applyFill="1" applyAlignment="1">
      <alignment horizontal="center"/>
    </xf>
    <xf numFmtId="0" fontId="6" fillId="20" borderId="0" xfId="0" applyFont="1" applyFill="1" applyAlignment="1">
      <alignment horizontal="right"/>
    </xf>
    <xf numFmtId="165" fontId="13" fillId="20" borderId="0" xfId="5" applyNumberFormat="1" applyFont="1" applyFill="1"/>
    <xf numFmtId="164" fontId="6" fillId="20" borderId="0" xfId="0" applyNumberFormat="1" applyFont="1" applyFill="1"/>
    <xf numFmtId="1" fontId="7" fillId="20" borderId="2" xfId="4" applyNumberFormat="1" applyFont="1" applyFill="1" applyBorder="1" applyAlignment="1">
      <alignment horizontal="right"/>
    </xf>
    <xf numFmtId="165" fontId="1" fillId="0" borderId="0" xfId="5" applyNumberFormat="1"/>
    <xf numFmtId="9" fontId="1" fillId="0" borderId="0" xfId="5"/>
    <xf numFmtId="165" fontId="1" fillId="0" borderId="1" xfId="5" applyNumberFormat="1" applyBorder="1" applyAlignment="1">
      <alignment horizontal="center"/>
    </xf>
    <xf numFmtId="164" fontId="1" fillId="0" borderId="1" xfId="5" applyNumberFormat="1" applyBorder="1" applyAlignment="1">
      <alignment horizontal="center"/>
    </xf>
    <xf numFmtId="165" fontId="0" fillId="0" borderId="9" xfId="5" applyNumberFormat="1" applyFont="1" applyBorder="1"/>
    <xf numFmtId="164" fontId="0" fillId="0" borderId="7" xfId="5" applyNumberFormat="1" applyFont="1" applyBorder="1"/>
    <xf numFmtId="169" fontId="5" fillId="4" borderId="24" xfId="2" applyNumberFormat="1" applyFont="1" applyFill="1" applyBorder="1"/>
    <xf numFmtId="167" fontId="0" fillId="0" borderId="13" xfId="5" applyNumberFormat="1" applyFont="1" applyBorder="1"/>
    <xf numFmtId="165" fontId="0" fillId="0" borderId="11" xfId="5" applyNumberFormat="1" applyFont="1" applyBorder="1"/>
    <xf numFmtId="164" fontId="0" fillId="0" borderId="12" xfId="5" applyNumberFormat="1" applyFont="1" applyBorder="1"/>
    <xf numFmtId="165" fontId="40" fillId="0" borderId="1" xfId="5" applyNumberFormat="1" applyFont="1" applyBorder="1"/>
    <xf numFmtId="164" fontId="5" fillId="4" borderId="1" xfId="2" applyNumberFormat="1" applyFont="1" applyFill="1" applyBorder="1"/>
    <xf numFmtId="164" fontId="40" fillId="0" borderId="1" xfId="2" applyNumberFormat="1" applyFont="1" applyBorder="1"/>
    <xf numFmtId="165" fontId="5" fillId="4" borderId="1" xfId="5" applyNumberFormat="1" applyFont="1" applyFill="1" applyBorder="1" applyAlignment="1">
      <alignment horizontal="center"/>
    </xf>
    <xf numFmtId="0" fontId="41" fillId="0" borderId="1" xfId="0" applyFont="1" applyBorder="1"/>
    <xf numFmtId="171" fontId="5" fillId="4" borderId="1" xfId="5" applyNumberFormat="1" applyFont="1" applyFill="1" applyBorder="1" applyAlignment="1">
      <alignment horizontal="center"/>
    </xf>
    <xf numFmtId="176" fontId="0" fillId="0" borderId="0" xfId="0" applyNumberFormat="1"/>
    <xf numFmtId="1" fontId="12" fillId="0" borderId="0" xfId="0" applyNumberFormat="1" applyFont="1"/>
    <xf numFmtId="164" fontId="5" fillId="4" borderId="2" xfId="2" applyNumberFormat="1" applyFont="1" applyFill="1" applyBorder="1" applyAlignment="1">
      <alignment horizontal="center"/>
    </xf>
    <xf numFmtId="9" fontId="5" fillId="4" borderId="2" xfId="5" applyFont="1" applyFill="1" applyBorder="1" applyAlignment="1">
      <alignment horizontal="center"/>
    </xf>
    <xf numFmtId="164" fontId="5" fillId="4" borderId="1" xfId="2" applyNumberFormat="1" applyFont="1" applyFill="1" applyBorder="1" applyAlignment="1">
      <alignment horizontal="center"/>
    </xf>
    <xf numFmtId="166" fontId="5" fillId="4" borderId="10" xfId="0" applyNumberFormat="1" applyFont="1" applyFill="1" applyBorder="1" applyAlignment="1">
      <alignment horizontal="center"/>
    </xf>
    <xf numFmtId="166" fontId="5" fillId="4" borderId="5" xfId="0" applyNumberFormat="1" applyFont="1" applyFill="1" applyBorder="1" applyAlignment="1">
      <alignment horizontal="center"/>
    </xf>
    <xf numFmtId="0" fontId="1" fillId="20" borderId="4" xfId="0" applyFont="1" applyFill="1" applyBorder="1" applyAlignment="1">
      <alignment horizontal="right"/>
    </xf>
    <xf numFmtId="164" fontId="1" fillId="20" borderId="72" xfId="0" applyNumberFormat="1" applyFont="1" applyFill="1" applyBorder="1"/>
    <xf numFmtId="164" fontId="1" fillId="20" borderId="23" xfId="0" applyNumberFormat="1" applyFont="1" applyFill="1" applyBorder="1"/>
    <xf numFmtId="0" fontId="13" fillId="4" borderId="0" xfId="4" applyFont="1" applyFill="1" applyAlignment="1">
      <alignment horizontal="center" vertical="center" wrapText="1"/>
    </xf>
    <xf numFmtId="0" fontId="13" fillId="4" borderId="1" xfId="4" quotePrefix="1" applyFont="1" applyFill="1" applyBorder="1" applyAlignment="1">
      <alignment vertical="center" wrapText="1"/>
    </xf>
    <xf numFmtId="7" fontId="1" fillId="0" borderId="0" xfId="0" applyNumberFormat="1" applyFont="1"/>
    <xf numFmtId="5" fontId="1" fillId="0" borderId="0" xfId="0" applyNumberFormat="1" applyFont="1"/>
    <xf numFmtId="164" fontId="15" fillId="0" borderId="1" xfId="0" applyNumberFormat="1" applyFont="1" applyBorder="1"/>
    <xf numFmtId="164" fontId="15" fillId="0" borderId="81" xfId="0" applyNumberFormat="1" applyFont="1" applyBorder="1"/>
    <xf numFmtId="164" fontId="15" fillId="0" borderId="82" xfId="0" applyNumberFormat="1" applyFont="1" applyBorder="1"/>
    <xf numFmtId="164" fontId="21" fillId="0" borderId="61" xfId="0" applyNumberFormat="1" applyFont="1" applyBorder="1"/>
    <xf numFmtId="164" fontId="15" fillId="0" borderId="7" xfId="0" applyNumberFormat="1" applyFont="1" applyBorder="1"/>
    <xf numFmtId="0" fontId="3" fillId="0" borderId="10" xfId="0" applyFont="1" applyBorder="1"/>
    <xf numFmtId="0" fontId="42" fillId="0" borderId="6" xfId="0" applyFont="1" applyBorder="1" applyAlignment="1">
      <alignment horizontal="right"/>
    </xf>
    <xf numFmtId="0" fontId="3" fillId="14" borderId="5" xfId="0" applyFont="1" applyFill="1" applyBorder="1" applyAlignment="1">
      <alignment horizontal="left"/>
    </xf>
    <xf numFmtId="0" fontId="3" fillId="7" borderId="39" xfId="0" applyFont="1" applyFill="1" applyBorder="1"/>
    <xf numFmtId="0" fontId="3" fillId="21" borderId="33" xfId="0" applyFont="1" applyFill="1" applyBorder="1"/>
    <xf numFmtId="0" fontId="1" fillId="23" borderId="4" xfId="0" applyFont="1" applyFill="1" applyBorder="1"/>
    <xf numFmtId="0" fontId="1" fillId="23" borderId="23" xfId="0" applyFont="1" applyFill="1" applyBorder="1"/>
    <xf numFmtId="0" fontId="1" fillId="23" borderId="23" xfId="0" applyFont="1" applyFill="1" applyBorder="1" applyAlignment="1">
      <alignment horizontal="right"/>
    </xf>
    <xf numFmtId="0" fontId="1" fillId="23" borderId="8" xfId="0" applyFont="1" applyFill="1" applyBorder="1"/>
    <xf numFmtId="0" fontId="1" fillId="0" borderId="33" xfId="0" applyFont="1" applyBorder="1" applyAlignment="1">
      <alignment horizontal="left"/>
    </xf>
    <xf numFmtId="0" fontId="1" fillId="0" borderId="95" xfId="0" applyFont="1" applyBorder="1" applyAlignment="1">
      <alignment horizontal="left"/>
    </xf>
    <xf numFmtId="0" fontId="1" fillId="0" borderId="56" xfId="0" applyFont="1" applyBorder="1" applyAlignment="1">
      <alignment horizontal="left"/>
    </xf>
    <xf numFmtId="0" fontId="43" fillId="24" borderId="0" xfId="0" applyFont="1" applyFill="1" applyAlignment="1">
      <alignment horizontal="center" vertical="center"/>
    </xf>
    <xf numFmtId="0" fontId="1" fillId="24" borderId="0" xfId="6" applyFill="1"/>
    <xf numFmtId="0" fontId="3" fillId="21" borderId="96" xfId="0" applyFont="1" applyFill="1" applyBorder="1"/>
    <xf numFmtId="173" fontId="0" fillId="21" borderId="26" xfId="0" applyNumberFormat="1" applyFill="1" applyBorder="1" applyAlignment="1">
      <alignment horizontal="center"/>
    </xf>
    <xf numFmtId="173" fontId="1" fillId="0" borderId="10" xfId="0" applyNumberFormat="1" applyFont="1" applyBorder="1" applyAlignment="1">
      <alignment horizontal="right"/>
    </xf>
    <xf numFmtId="6" fontId="1" fillId="0" borderId="33" xfId="0" applyNumberFormat="1" applyFont="1" applyBorder="1" applyAlignment="1">
      <alignment horizontal="right"/>
    </xf>
    <xf numFmtId="6" fontId="1" fillId="0" borderId="6" xfId="0" applyNumberFormat="1" applyFont="1" applyBorder="1" applyAlignment="1">
      <alignment horizontal="right"/>
    </xf>
    <xf numFmtId="6" fontId="1" fillId="21" borderId="56" xfId="0" applyNumberFormat="1" applyFont="1" applyFill="1" applyBorder="1" applyAlignment="1">
      <alignment horizontal="right"/>
    </xf>
    <xf numFmtId="173" fontId="0" fillId="21" borderId="72" xfId="0" applyNumberFormat="1" applyFill="1" applyBorder="1" applyAlignment="1">
      <alignment horizontal="center"/>
    </xf>
    <xf numFmtId="173" fontId="1" fillId="0" borderId="2" xfId="0" applyNumberFormat="1" applyFont="1" applyBorder="1" applyAlignment="1">
      <alignment horizontal="right"/>
    </xf>
    <xf numFmtId="6" fontId="1" fillId="0" borderId="43" xfId="0" applyNumberFormat="1" applyFont="1" applyBorder="1" applyAlignment="1">
      <alignment horizontal="right"/>
    </xf>
    <xf numFmtId="6" fontId="1" fillId="0" borderId="3" xfId="0" applyNumberFormat="1" applyFont="1" applyBorder="1" applyAlignment="1">
      <alignment horizontal="right"/>
    </xf>
    <xf numFmtId="6" fontId="1" fillId="21" borderId="44" xfId="0" applyNumberFormat="1" applyFont="1" applyFill="1" applyBorder="1" applyAlignment="1">
      <alignment horizontal="right"/>
    </xf>
    <xf numFmtId="6" fontId="1" fillId="0" borderId="97" xfId="0" applyNumberFormat="1" applyFont="1" applyBorder="1" applyAlignment="1">
      <alignment horizontal="right"/>
    </xf>
    <xf numFmtId="6" fontId="1" fillId="0" borderId="85" xfId="0" applyNumberFormat="1" applyFont="1" applyBorder="1" applyAlignment="1">
      <alignment horizontal="right"/>
    </xf>
    <xf numFmtId="173" fontId="0" fillId="21" borderId="96" xfId="0" applyNumberFormat="1" applyFill="1" applyBorder="1" applyAlignment="1">
      <alignment horizontal="center"/>
    </xf>
    <xf numFmtId="0" fontId="0" fillId="21" borderId="93" xfId="0" applyFill="1" applyBorder="1" applyAlignment="1">
      <alignment horizontal="center"/>
    </xf>
    <xf numFmtId="173" fontId="1" fillId="0" borderId="98" xfId="0" applyNumberFormat="1" applyFont="1" applyBorder="1" applyAlignment="1">
      <alignment horizontal="right"/>
    </xf>
    <xf numFmtId="6" fontId="1" fillId="0" borderId="99" xfId="0" applyNumberFormat="1" applyFont="1" applyBorder="1" applyAlignment="1">
      <alignment horizontal="right"/>
    </xf>
    <xf numFmtId="6" fontId="1" fillId="0" borderId="91" xfId="0" applyNumberFormat="1" applyFont="1" applyBorder="1" applyAlignment="1">
      <alignment horizontal="right"/>
    </xf>
    <xf numFmtId="6" fontId="1" fillId="21" borderId="100" xfId="0" applyNumberFormat="1" applyFont="1" applyFill="1" applyBorder="1" applyAlignment="1">
      <alignment horizontal="right"/>
    </xf>
    <xf numFmtId="173" fontId="1" fillId="0" borderId="12" xfId="0" applyNumberFormat="1" applyFont="1" applyBorder="1" applyAlignment="1">
      <alignment horizontal="right"/>
    </xf>
    <xf numFmtId="6" fontId="1" fillId="0" borderId="101" xfId="0" applyNumberFormat="1" applyFont="1" applyBorder="1" applyAlignment="1">
      <alignment horizontal="right"/>
    </xf>
    <xf numFmtId="6" fontId="1" fillId="0" borderId="13" xfId="0" applyNumberFormat="1" applyFont="1" applyBorder="1" applyAlignment="1">
      <alignment horizontal="right"/>
    </xf>
    <xf numFmtId="6" fontId="1" fillId="21" borderId="57" xfId="0" applyNumberFormat="1" applyFont="1" applyFill="1" applyBorder="1" applyAlignment="1">
      <alignment horizontal="right"/>
    </xf>
    <xf numFmtId="0" fontId="1" fillId="21" borderId="86" xfId="0" applyFont="1" applyFill="1" applyBorder="1" applyAlignment="1">
      <alignment horizontal="left"/>
    </xf>
    <xf numFmtId="0" fontId="1" fillId="0" borderId="87" xfId="0" applyFont="1" applyBorder="1" applyAlignment="1">
      <alignment horizontal="right"/>
    </xf>
    <xf numFmtId="6" fontId="1" fillId="21" borderId="83" xfId="0" applyNumberFormat="1" applyFont="1" applyFill="1" applyBorder="1" applyAlignment="1">
      <alignment horizontal="right"/>
    </xf>
    <xf numFmtId="0" fontId="1" fillId="14" borderId="86" xfId="0" applyFont="1" applyFill="1" applyBorder="1" applyAlignment="1">
      <alignment horizontal="right"/>
    </xf>
    <xf numFmtId="6" fontId="1" fillId="0" borderId="92" xfId="0" applyNumberFormat="1" applyFont="1" applyBorder="1" applyAlignment="1">
      <alignment horizontal="right"/>
    </xf>
    <xf numFmtId="0" fontId="1" fillId="0" borderId="97" xfId="0" applyFont="1" applyBorder="1"/>
    <xf numFmtId="6" fontId="1" fillId="0" borderId="83" xfId="0" applyNumberFormat="1" applyFont="1" applyBorder="1" applyAlignment="1">
      <alignment horizontal="right"/>
    </xf>
    <xf numFmtId="6" fontId="1" fillId="14" borderId="81" xfId="0" applyNumberFormat="1" applyFont="1" applyFill="1" applyBorder="1" applyAlignment="1">
      <alignment horizontal="right"/>
    </xf>
    <xf numFmtId="6" fontId="1" fillId="7" borderId="84" xfId="0" applyNumberFormat="1" applyFont="1" applyFill="1" applyBorder="1" applyAlignment="1">
      <alignment horizontal="right"/>
    </xf>
    <xf numFmtId="173" fontId="1" fillId="14" borderId="103" xfId="0" applyNumberFormat="1" applyFont="1" applyFill="1" applyBorder="1" applyAlignment="1">
      <alignment horizontal="center"/>
    </xf>
    <xf numFmtId="173" fontId="1" fillId="0" borderId="104" xfId="0" applyNumberFormat="1" applyFont="1" applyBorder="1" applyAlignment="1">
      <alignment horizontal="right"/>
    </xf>
    <xf numFmtId="6" fontId="1" fillId="0" borderId="105" xfId="0" applyNumberFormat="1" applyFont="1" applyBorder="1" applyAlignment="1">
      <alignment horizontal="right"/>
    </xf>
    <xf numFmtId="6" fontId="1" fillId="0" borderId="106" xfId="0" applyNumberFormat="1" applyFont="1" applyBorder="1" applyAlignment="1">
      <alignment horizontal="right"/>
    </xf>
    <xf numFmtId="0" fontId="1" fillId="0" borderId="105" xfId="0" applyFont="1" applyBorder="1" applyAlignment="1">
      <alignment horizontal="right"/>
    </xf>
    <xf numFmtId="6" fontId="1" fillId="0" borderId="107" xfId="0" applyNumberFormat="1" applyFont="1" applyBorder="1" applyAlignment="1">
      <alignment horizontal="right"/>
    </xf>
    <xf numFmtId="6" fontId="1" fillId="0" borderId="108" xfId="0" applyNumberFormat="1" applyFont="1" applyBorder="1" applyAlignment="1">
      <alignment horizontal="right"/>
    </xf>
    <xf numFmtId="6" fontId="1" fillId="14" borderId="109" xfId="0" applyNumberFormat="1" applyFont="1" applyFill="1" applyBorder="1" applyAlignment="1">
      <alignment horizontal="right"/>
    </xf>
    <xf numFmtId="6" fontId="1" fillId="7" borderId="102" xfId="0" applyNumberFormat="1" applyFont="1" applyFill="1" applyBorder="1" applyAlignment="1">
      <alignment horizontal="right"/>
    </xf>
    <xf numFmtId="173" fontId="1" fillId="14" borderId="26" xfId="0" applyNumberFormat="1" applyFont="1" applyFill="1" applyBorder="1" applyAlignment="1">
      <alignment horizontal="center"/>
    </xf>
    <xf numFmtId="6" fontId="1" fillId="0" borderId="55" xfId="0" applyNumberFormat="1" applyFont="1" applyBorder="1" applyAlignment="1">
      <alignment horizontal="right"/>
    </xf>
    <xf numFmtId="0" fontId="1" fillId="0" borderId="43" xfId="0" applyFont="1" applyBorder="1"/>
    <xf numFmtId="6" fontId="1" fillId="0" borderId="44" xfId="0" applyNumberFormat="1" applyFont="1" applyBorder="1" applyAlignment="1">
      <alignment horizontal="right"/>
    </xf>
    <xf numFmtId="6" fontId="1" fillId="14" borderId="1" xfId="0" applyNumberFormat="1" applyFont="1" applyFill="1" applyBorder="1" applyAlignment="1">
      <alignment horizontal="right"/>
    </xf>
    <xf numFmtId="6" fontId="1" fillId="7" borderId="110" xfId="0" applyNumberFormat="1" applyFont="1" applyFill="1" applyBorder="1" applyAlignment="1">
      <alignment horizontal="right"/>
    </xf>
    <xf numFmtId="173" fontId="1" fillId="14" borderId="96" xfId="0" applyNumberFormat="1" applyFont="1" applyFill="1" applyBorder="1" applyAlignment="1">
      <alignment horizontal="center"/>
    </xf>
    <xf numFmtId="6" fontId="1" fillId="0" borderId="95" xfId="0" applyNumberFormat="1" applyFont="1" applyBorder="1" applyAlignment="1">
      <alignment horizontal="right"/>
    </xf>
    <xf numFmtId="6" fontId="1" fillId="0" borderId="56" xfId="0" applyNumberFormat="1" applyFont="1" applyBorder="1" applyAlignment="1">
      <alignment horizontal="right"/>
    </xf>
    <xf numFmtId="6" fontId="1" fillId="14" borderId="5" xfId="0" applyNumberFormat="1" applyFont="1" applyFill="1" applyBorder="1" applyAlignment="1">
      <alignment horizontal="right"/>
    </xf>
    <xf numFmtId="6" fontId="1" fillId="7" borderId="39" xfId="0" applyNumberFormat="1" applyFont="1" applyFill="1" applyBorder="1" applyAlignment="1">
      <alignment horizontal="right"/>
    </xf>
    <xf numFmtId="6" fontId="1" fillId="0" borderId="111" xfId="0" applyNumberFormat="1" applyFont="1" applyBorder="1" applyAlignment="1">
      <alignment horizontal="right"/>
    </xf>
    <xf numFmtId="0" fontId="1" fillId="0" borderId="99" xfId="0" applyFont="1" applyBorder="1"/>
    <xf numFmtId="6" fontId="1" fillId="0" borderId="100" xfId="0" applyNumberFormat="1" applyFont="1" applyBorder="1" applyAlignment="1">
      <alignment horizontal="right"/>
    </xf>
    <xf numFmtId="6" fontId="1" fillId="14" borderId="82" xfId="0" applyNumberFormat="1" applyFont="1" applyFill="1" applyBorder="1" applyAlignment="1">
      <alignment horizontal="right"/>
    </xf>
    <xf numFmtId="6" fontId="1" fillId="7" borderId="90" xfId="0" applyNumberFormat="1" applyFont="1" applyFill="1" applyBorder="1" applyAlignment="1">
      <alignment horizontal="right"/>
    </xf>
    <xf numFmtId="173" fontId="0" fillId="5" borderId="16" xfId="0" applyNumberFormat="1" applyFill="1" applyBorder="1" applyAlignment="1">
      <alignment horizontal="center"/>
    </xf>
    <xf numFmtId="173" fontId="0" fillId="5" borderId="3" xfId="0" applyNumberFormat="1" applyFill="1" applyBorder="1" applyAlignment="1">
      <alignment horizontal="center"/>
    </xf>
    <xf numFmtId="173" fontId="0" fillId="5" borderId="13" xfId="0" applyNumberFormat="1" applyFill="1" applyBorder="1" applyAlignment="1">
      <alignment horizontal="center"/>
    </xf>
    <xf numFmtId="0" fontId="0" fillId="5" borderId="85" xfId="0" applyFill="1" applyBorder="1" applyAlignment="1">
      <alignment horizontal="center"/>
    </xf>
    <xf numFmtId="0" fontId="3" fillId="14" borderId="96" xfId="0" applyFont="1" applyFill="1" applyBorder="1"/>
    <xf numFmtId="0" fontId="0" fillId="14" borderId="93" xfId="0" applyFill="1" applyBorder="1" applyAlignment="1">
      <alignment horizontal="center"/>
    </xf>
    <xf numFmtId="0" fontId="1" fillId="0" borderId="3" xfId="0" applyFont="1" applyBorder="1"/>
    <xf numFmtId="9" fontId="13" fillId="0" borderId="0" xfId="5" applyFont="1" applyAlignment="1">
      <alignment horizontal="center"/>
    </xf>
    <xf numFmtId="0" fontId="3" fillId="0" borderId="0" xfId="0" applyFont="1" applyAlignment="1">
      <alignment horizontal="center"/>
    </xf>
    <xf numFmtId="44" fontId="1" fillId="0" borderId="0" xfId="2"/>
    <xf numFmtId="164" fontId="1" fillId="0" borderId="0" xfId="2" applyNumberFormat="1"/>
    <xf numFmtId="164" fontId="1" fillId="0" borderId="0" xfId="0" applyNumberFormat="1" applyFont="1"/>
    <xf numFmtId="0" fontId="0" fillId="9" borderId="25" xfId="0" applyFill="1" applyBorder="1"/>
    <xf numFmtId="0" fontId="15" fillId="9" borderId="46" xfId="0" applyFont="1" applyFill="1" applyBorder="1" applyAlignment="1">
      <alignment horizontal="center"/>
    </xf>
    <xf numFmtId="0" fontId="2" fillId="9" borderId="26" xfId="0" applyFont="1" applyFill="1" applyBorder="1" applyAlignment="1">
      <alignment horizontal="center"/>
    </xf>
    <xf numFmtId="0" fontId="2" fillId="9" borderId="47" xfId="0" applyFont="1" applyFill="1" applyBorder="1" applyAlignment="1">
      <alignment horizontal="center"/>
    </xf>
    <xf numFmtId="166" fontId="19" fillId="9" borderId="62" xfId="0" applyNumberFormat="1" applyFont="1" applyFill="1" applyBorder="1" applyAlignment="1">
      <alignment horizontal="left"/>
    </xf>
    <xf numFmtId="164" fontId="19" fillId="9" borderId="45" xfId="2" applyNumberFormat="1" applyFont="1" applyFill="1" applyBorder="1" applyAlignment="1">
      <alignment horizontal="center"/>
    </xf>
    <xf numFmtId="164" fontId="19" fillId="9" borderId="1" xfId="2" applyNumberFormat="1" applyFont="1" applyFill="1" applyBorder="1" applyAlignment="1">
      <alignment horizontal="center"/>
    </xf>
    <xf numFmtId="164" fontId="19" fillId="9" borderId="17" xfId="2" applyNumberFormat="1" applyFont="1" applyFill="1" applyBorder="1" applyAlignment="1">
      <alignment horizontal="center"/>
    </xf>
    <xf numFmtId="166" fontId="19" fillId="9" borderId="65" xfId="0" applyNumberFormat="1" applyFont="1" applyFill="1" applyBorder="1" applyAlignment="1">
      <alignment horizontal="right"/>
    </xf>
    <xf numFmtId="164" fontId="19" fillId="9" borderId="14" xfId="2" applyNumberFormat="1" applyFont="1" applyFill="1" applyBorder="1" applyAlignment="1">
      <alignment horizontal="center"/>
    </xf>
    <xf numFmtId="166" fontId="19" fillId="9" borderId="66" xfId="0" applyNumberFormat="1" applyFont="1" applyFill="1" applyBorder="1" applyAlignment="1">
      <alignment horizontal="right"/>
    </xf>
    <xf numFmtId="164" fontId="19" fillId="9" borderId="16" xfId="2" applyNumberFormat="1" applyFont="1" applyFill="1" applyBorder="1" applyAlignment="1">
      <alignment horizontal="center"/>
    </xf>
    <xf numFmtId="164" fontId="19" fillId="9" borderId="3" xfId="2" applyNumberFormat="1" applyFont="1" applyFill="1" applyBorder="1" applyAlignment="1">
      <alignment horizontal="center"/>
    </xf>
    <xf numFmtId="164" fontId="19" fillId="9" borderId="18" xfId="2" applyNumberFormat="1" applyFont="1" applyFill="1" applyBorder="1" applyAlignment="1">
      <alignment horizontal="center"/>
    </xf>
    <xf numFmtId="166" fontId="19" fillId="7" borderId="29" xfId="0" applyNumberFormat="1" applyFont="1" applyFill="1" applyBorder="1" applyAlignment="1">
      <alignment horizontal="left"/>
    </xf>
    <xf numFmtId="164" fontId="19" fillId="7" borderId="48" xfId="2" applyNumberFormat="1" applyFont="1" applyFill="1" applyBorder="1" applyAlignment="1">
      <alignment horizontal="center"/>
    </xf>
    <xf numFmtId="164" fontId="19" fillId="7" borderId="43" xfId="2" applyNumberFormat="1" applyFont="1" applyFill="1" applyBorder="1" applyAlignment="1">
      <alignment horizontal="center"/>
    </xf>
    <xf numFmtId="164" fontId="19" fillId="7" borderId="15" xfId="2" applyNumberFormat="1" applyFont="1" applyFill="1" applyBorder="1" applyAlignment="1">
      <alignment horizontal="center"/>
    </xf>
    <xf numFmtId="1" fontId="19" fillId="25" borderId="4" xfId="0" applyNumberFormat="1" applyFont="1" applyFill="1" applyBorder="1" applyAlignment="1">
      <alignment horizontal="left"/>
    </xf>
    <xf numFmtId="164" fontId="19" fillId="25" borderId="46" xfId="2" applyNumberFormat="1" applyFont="1" applyFill="1" applyBorder="1" applyAlignment="1">
      <alignment horizontal="center"/>
    </xf>
    <xf numFmtId="164" fontId="19" fillId="25" borderId="26" xfId="2" applyNumberFormat="1" applyFont="1" applyFill="1" applyBorder="1" applyAlignment="1">
      <alignment horizontal="center"/>
    </xf>
    <xf numFmtId="164" fontId="19" fillId="25" borderId="47" xfId="2" applyNumberFormat="1" applyFont="1" applyFill="1" applyBorder="1" applyAlignment="1">
      <alignment horizontal="center"/>
    </xf>
    <xf numFmtId="165" fontId="1" fillId="0" borderId="0" xfId="5" applyNumberFormat="1" applyAlignment="1">
      <alignment horizontal="right"/>
    </xf>
    <xf numFmtId="164" fontId="1" fillId="0" borderId="0" xfId="5" applyNumberFormat="1"/>
    <xf numFmtId="0" fontId="41" fillId="0" borderId="38" xfId="0" applyFont="1" applyBorder="1"/>
    <xf numFmtId="165" fontId="40" fillId="0" borderId="38" xfId="5" applyNumberFormat="1" applyFont="1" applyBorder="1"/>
    <xf numFmtId="164" fontId="5" fillId="4" borderId="38" xfId="2" applyNumberFormat="1" applyFont="1" applyFill="1" applyBorder="1"/>
    <xf numFmtId="165" fontId="1" fillId="0" borderId="2" xfId="5" applyNumberFormat="1" applyBorder="1" applyAlignment="1">
      <alignment horizontal="right"/>
    </xf>
    <xf numFmtId="164" fontId="1" fillId="0" borderId="2" xfId="2" applyNumberFormat="1" applyBorder="1"/>
    <xf numFmtId="164" fontId="1" fillId="0" borderId="120" xfId="2" applyNumberFormat="1" applyBorder="1"/>
    <xf numFmtId="164" fontId="1" fillId="0" borderId="18" xfId="2" applyNumberFormat="1" applyBorder="1"/>
    <xf numFmtId="0" fontId="1" fillId="0" borderId="46" xfId="0" applyFont="1" applyBorder="1" applyAlignment="1">
      <alignment horizontal="left"/>
    </xf>
    <xf numFmtId="165" fontId="1" fillId="0" borderId="26" xfId="5" applyNumberFormat="1" applyBorder="1" applyAlignment="1">
      <alignment horizontal="right"/>
    </xf>
    <xf numFmtId="164" fontId="1" fillId="0" borderId="47" xfId="2" applyNumberFormat="1" applyBorder="1"/>
    <xf numFmtId="165" fontId="0" fillId="0" borderId="121" xfId="5" applyNumberFormat="1" applyFont="1" applyBorder="1"/>
    <xf numFmtId="164" fontId="0" fillId="12" borderId="22" xfId="5" applyNumberFormat="1" applyFont="1" applyFill="1" applyBorder="1"/>
    <xf numFmtId="164" fontId="13" fillId="13" borderId="38" xfId="2" applyNumberFormat="1" applyFont="1" applyFill="1" applyBorder="1"/>
    <xf numFmtId="164" fontId="0" fillId="7" borderId="122" xfId="0" applyNumberFormat="1" applyFill="1" applyBorder="1"/>
    <xf numFmtId="164" fontId="13" fillId="13" borderId="22" xfId="2" applyNumberFormat="1" applyFont="1" applyFill="1" applyBorder="1"/>
    <xf numFmtId="164" fontId="13" fillId="13" borderId="123" xfId="2" applyNumberFormat="1" applyFont="1" applyFill="1" applyBorder="1"/>
    <xf numFmtId="164" fontId="13" fillId="13" borderId="121" xfId="2" applyNumberFormat="1" applyFont="1" applyFill="1" applyBorder="1"/>
    <xf numFmtId="164" fontId="13" fillId="13" borderId="124" xfId="2" applyNumberFormat="1" applyFont="1" applyFill="1" applyBorder="1"/>
    <xf numFmtId="0" fontId="1" fillId="7" borderId="22" xfId="0" applyFont="1" applyFill="1" applyBorder="1" applyAlignment="1">
      <alignment horizontal="right"/>
    </xf>
    <xf numFmtId="164" fontId="1" fillId="13" borderId="38" xfId="2" applyNumberFormat="1" applyFill="1" applyBorder="1"/>
    <xf numFmtId="0" fontId="0" fillId="14" borderId="65" xfId="0" applyFill="1" applyBorder="1" applyAlignment="1">
      <alignment horizontal="right"/>
    </xf>
    <xf numFmtId="0" fontId="0" fillId="14" borderId="66" xfId="0" applyFill="1" applyBorder="1" applyAlignment="1">
      <alignment horizontal="right"/>
    </xf>
    <xf numFmtId="0" fontId="0" fillId="14" borderId="0" xfId="0" applyFill="1" applyAlignment="1">
      <alignment horizontal="right"/>
    </xf>
    <xf numFmtId="0" fontId="1" fillId="14" borderId="65" xfId="0" applyFont="1" applyFill="1" applyBorder="1" applyAlignment="1">
      <alignment horizontal="right"/>
    </xf>
    <xf numFmtId="164" fontId="1" fillId="8" borderId="1" xfId="2" applyNumberFormat="1" applyFill="1" applyBorder="1"/>
    <xf numFmtId="164" fontId="1" fillId="13" borderId="1" xfId="2" applyNumberFormat="1" applyFill="1" applyBorder="1"/>
    <xf numFmtId="164" fontId="1" fillId="13" borderId="3" xfId="2" applyNumberFormat="1" applyFill="1" applyBorder="1"/>
    <xf numFmtId="164" fontId="30" fillId="10" borderId="24" xfId="0" applyNumberFormat="1" applyFont="1" applyFill="1" applyBorder="1"/>
    <xf numFmtId="164" fontId="15" fillId="10" borderId="24" xfId="0" applyNumberFormat="1" applyFont="1" applyFill="1" applyBorder="1"/>
    <xf numFmtId="0" fontId="0" fillId="7" borderId="40" xfId="0" applyFill="1" applyBorder="1" applyAlignment="1">
      <alignment horizontal="right"/>
    </xf>
    <xf numFmtId="0" fontId="0" fillId="7" borderId="9" xfId="0" applyFill="1" applyBorder="1" applyAlignment="1">
      <alignment horizontal="right"/>
    </xf>
    <xf numFmtId="0" fontId="1" fillId="7" borderId="121" xfId="0" applyFont="1" applyFill="1" applyBorder="1" applyAlignment="1">
      <alignment horizontal="right"/>
    </xf>
    <xf numFmtId="0" fontId="0" fillId="7" borderId="24" xfId="0" applyFill="1" applyBorder="1" applyAlignment="1">
      <alignment horizontal="right"/>
    </xf>
    <xf numFmtId="0" fontId="1" fillId="7" borderId="11" xfId="0" applyFont="1" applyFill="1" applyBorder="1" applyAlignment="1">
      <alignment horizontal="right"/>
    </xf>
    <xf numFmtId="0" fontId="0" fillId="14" borderId="9" xfId="0" applyFill="1" applyBorder="1" applyAlignment="1">
      <alignment horizontal="right"/>
    </xf>
    <xf numFmtId="0" fontId="1" fillId="14" borderId="9" xfId="0" applyFont="1" applyFill="1" applyBorder="1" applyAlignment="1">
      <alignment horizontal="right"/>
    </xf>
    <xf numFmtId="175" fontId="27" fillId="14" borderId="9" xfId="0" applyNumberFormat="1" applyFont="1" applyFill="1" applyBorder="1" applyAlignment="1">
      <alignment horizontal="left" shrinkToFit="1"/>
    </xf>
    <xf numFmtId="0" fontId="0" fillId="14" borderId="24" xfId="0" applyFill="1" applyBorder="1" applyAlignment="1">
      <alignment horizontal="right"/>
    </xf>
    <xf numFmtId="0" fontId="0" fillId="9" borderId="6" xfId="0" applyFill="1" applyBorder="1"/>
    <xf numFmtId="0" fontId="3" fillId="10" borderId="33" xfId="0" applyFont="1" applyFill="1" applyBorder="1"/>
    <xf numFmtId="0" fontId="3" fillId="10" borderId="101" xfId="0" applyFont="1" applyFill="1" applyBorder="1"/>
    <xf numFmtId="0" fontId="1" fillId="0" borderId="7" xfId="0" applyFont="1" applyBorder="1"/>
    <xf numFmtId="0" fontId="0" fillId="0" borderId="20" xfId="0" applyBorder="1" applyAlignment="1">
      <alignment horizontal="left"/>
    </xf>
    <xf numFmtId="164" fontId="1" fillId="0" borderId="1" xfId="0" applyNumberFormat="1" applyFont="1" applyBorder="1"/>
    <xf numFmtId="44" fontId="1" fillId="0" borderId="2" xfId="0" applyNumberFormat="1" applyFont="1" applyBorder="1"/>
    <xf numFmtId="0" fontId="31" fillId="11" borderId="77" xfId="0" applyFont="1" applyFill="1" applyBorder="1" applyAlignment="1">
      <alignment vertical="center" wrapText="1"/>
    </xf>
    <xf numFmtId="164" fontId="3" fillId="0" borderId="16" xfId="0" applyNumberFormat="1" applyFont="1" applyBorder="1" applyAlignment="1">
      <alignment horizontal="center"/>
    </xf>
    <xf numFmtId="164" fontId="3" fillId="0" borderId="3" xfId="0" applyNumberFormat="1" applyFont="1" applyBorder="1" applyAlignment="1">
      <alignment horizontal="center"/>
    </xf>
    <xf numFmtId="164" fontId="3" fillId="0" borderId="18" xfId="0" applyNumberFormat="1" applyFont="1" applyBorder="1" applyAlignment="1">
      <alignment horizontal="center"/>
    </xf>
    <xf numFmtId="0" fontId="3" fillId="0" borderId="119" xfId="0" applyFont="1" applyBorder="1" applyAlignment="1">
      <alignment horizontal="center"/>
    </xf>
    <xf numFmtId="0" fontId="3" fillId="0" borderId="110" xfId="0" applyFont="1" applyBorder="1" applyAlignment="1">
      <alignment horizontal="center"/>
    </xf>
    <xf numFmtId="0" fontId="3" fillId="0" borderId="120" xfId="0" applyFont="1" applyBorder="1" applyAlignment="1">
      <alignment horizontal="center"/>
    </xf>
    <xf numFmtId="0" fontId="1" fillId="22" borderId="64" xfId="6" applyFill="1" applyBorder="1" applyAlignment="1">
      <alignment horizontal="center"/>
    </xf>
    <xf numFmtId="0" fontId="13" fillId="4" borderId="74" xfId="6" applyFont="1" applyFill="1" applyBorder="1" applyAlignment="1">
      <alignment vertical="center"/>
    </xf>
    <xf numFmtId="0" fontId="13" fillId="4" borderId="69" xfId="6" applyFont="1" applyFill="1" applyBorder="1" applyAlignment="1">
      <alignment vertical="center"/>
    </xf>
    <xf numFmtId="0" fontId="1" fillId="0" borderId="27" xfId="0" applyFont="1" applyBorder="1"/>
    <xf numFmtId="0" fontId="1" fillId="0" borderId="31" xfId="0" applyFont="1" applyBorder="1"/>
    <xf numFmtId="44" fontId="13" fillId="4" borderId="110" xfId="2" applyFont="1" applyFill="1" applyBorder="1"/>
    <xf numFmtId="0" fontId="1" fillId="0" borderId="110" xfId="0" applyFont="1" applyBorder="1"/>
    <xf numFmtId="0" fontId="0" fillId="0" borderId="120" xfId="0" applyBorder="1"/>
    <xf numFmtId="0" fontId="0" fillId="0" borderId="18" xfId="0" applyBorder="1"/>
    <xf numFmtId="166" fontId="0" fillId="0" borderId="3" xfId="0" applyNumberFormat="1" applyBorder="1" applyAlignment="1">
      <alignment horizontal="center"/>
    </xf>
    <xf numFmtId="164" fontId="44" fillId="0" borderId="33" xfId="2" applyNumberFormat="1" applyFont="1" applyBorder="1"/>
    <xf numFmtId="164" fontId="13" fillId="4" borderId="7" xfId="5" applyNumberFormat="1" applyFont="1" applyFill="1" applyBorder="1"/>
    <xf numFmtId="0" fontId="1" fillId="0" borderId="7" xfId="0" applyFont="1" applyBorder="1" applyAlignment="1">
      <alignment horizontal="center" wrapText="1"/>
    </xf>
    <xf numFmtId="177" fontId="1" fillId="0" borderId="3" xfId="0" applyNumberFormat="1" applyFont="1" applyBorder="1" applyAlignment="1">
      <alignment horizontal="left"/>
    </xf>
    <xf numFmtId="165" fontId="0" fillId="0" borderId="44" xfId="5" applyNumberFormat="1" applyFont="1" applyBorder="1" applyAlignment="1">
      <alignment horizontal="center"/>
    </xf>
    <xf numFmtId="1" fontId="1" fillId="0" borderId="2" xfId="0" applyNumberFormat="1" applyFont="1" applyBorder="1" applyAlignment="1">
      <alignment horizontal="center"/>
    </xf>
    <xf numFmtId="0" fontId="3" fillId="0" borderId="3" xfId="0" applyFont="1" applyBorder="1" applyAlignment="1">
      <alignment horizontal="center"/>
    </xf>
    <xf numFmtId="0" fontId="1" fillId="6" borderId="44" xfId="0" applyFont="1" applyFill="1" applyBorder="1"/>
    <xf numFmtId="9" fontId="0" fillId="6" borderId="44" xfId="5" applyFont="1" applyFill="1" applyBorder="1" applyAlignment="1">
      <alignment horizontal="center"/>
    </xf>
    <xf numFmtId="164" fontId="0" fillId="6" borderId="44" xfId="2" applyNumberFormat="1" applyFont="1" applyFill="1" applyBorder="1"/>
    <xf numFmtId="43" fontId="6" fillId="0" borderId="4" xfId="1" applyFont="1" applyBorder="1" applyAlignment="1">
      <alignment horizontal="right"/>
    </xf>
    <xf numFmtId="43" fontId="3" fillId="0" borderId="8" xfId="1" applyFont="1" applyBorder="1"/>
    <xf numFmtId="43" fontId="1" fillId="0" borderId="8" xfId="1" applyBorder="1"/>
    <xf numFmtId="43" fontId="13" fillId="4" borderId="2" xfId="1" applyFont="1" applyFill="1" applyBorder="1" applyAlignment="1">
      <alignment horizontal="right"/>
    </xf>
    <xf numFmtId="43" fontId="1" fillId="0" borderId="2" xfId="1" applyBorder="1" applyAlignment="1">
      <alignment horizontal="right"/>
    </xf>
    <xf numFmtId="43" fontId="1" fillId="20" borderId="2" xfId="1" applyFill="1" applyBorder="1" applyAlignment="1">
      <alignment horizontal="right"/>
    </xf>
    <xf numFmtId="9" fontId="12" fillId="0" borderId="0" xfId="5" applyFont="1"/>
    <xf numFmtId="164" fontId="12" fillId="0" borderId="119" xfId="5" applyNumberFormat="1" applyFont="1" applyBorder="1"/>
    <xf numFmtId="9" fontId="12" fillId="0" borderId="110" xfId="5" applyFont="1" applyBorder="1"/>
    <xf numFmtId="9" fontId="12" fillId="0" borderId="120" xfId="5" applyFont="1" applyBorder="1"/>
    <xf numFmtId="164" fontId="12" fillId="0" borderId="14" xfId="5" applyNumberFormat="1" applyFont="1" applyBorder="1"/>
    <xf numFmtId="9" fontId="12" fillId="0" borderId="1" xfId="5" applyFont="1" applyBorder="1"/>
    <xf numFmtId="9" fontId="12" fillId="0" borderId="17" xfId="5" applyFont="1" applyBorder="1"/>
    <xf numFmtId="164" fontId="12" fillId="0" borderId="16" xfId="0" applyNumberFormat="1" applyFont="1" applyBorder="1"/>
    <xf numFmtId="0" fontId="12" fillId="0" borderId="3" xfId="0" applyFont="1" applyBorder="1"/>
    <xf numFmtId="9" fontId="12" fillId="0" borderId="18" xfId="5" applyFont="1" applyBorder="1"/>
    <xf numFmtId="164" fontId="19" fillId="8" borderId="1" xfId="2" applyNumberFormat="1" applyFont="1" applyFill="1" applyBorder="1"/>
    <xf numFmtId="0" fontId="3" fillId="0" borderId="4" xfId="6" applyFont="1" applyBorder="1" applyAlignment="1">
      <alignment horizontal="right"/>
    </xf>
    <xf numFmtId="0" fontId="3" fillId="0" borderId="23" xfId="6" applyFont="1" applyBorder="1" applyAlignment="1">
      <alignment horizontal="right"/>
    </xf>
    <xf numFmtId="0" fontId="38" fillId="21" borderId="27" xfId="6" applyFont="1" applyFill="1" applyBorder="1" applyAlignment="1">
      <alignment horizontal="center" vertical="center"/>
    </xf>
    <xf numFmtId="0" fontId="38" fillId="21" borderId="34" xfId="6" applyFont="1" applyFill="1" applyBorder="1" applyAlignment="1">
      <alignment horizontal="center" vertical="center"/>
    </xf>
    <xf numFmtId="0" fontId="38" fillId="21" borderId="28" xfId="6" applyFont="1" applyFill="1" applyBorder="1" applyAlignment="1">
      <alignment horizontal="center" vertical="center"/>
    </xf>
    <xf numFmtId="0" fontId="39" fillId="21" borderId="62" xfId="6" applyFont="1" applyFill="1" applyBorder="1" applyAlignment="1">
      <alignment horizontal="center"/>
    </xf>
    <xf numFmtId="0" fontId="39" fillId="21" borderId="11" xfId="6" applyFont="1" applyFill="1" applyBorder="1" applyAlignment="1">
      <alignment horizontal="center"/>
    </xf>
    <xf numFmtId="0" fontId="39" fillId="21" borderId="68" xfId="6" applyFont="1" applyFill="1" applyBorder="1" applyAlignment="1">
      <alignment horizontal="center"/>
    </xf>
    <xf numFmtId="0" fontId="34" fillId="14" borderId="27" xfId="0" applyFont="1" applyFill="1" applyBorder="1" applyAlignment="1">
      <alignment horizontal="center"/>
    </xf>
    <xf numFmtId="0" fontId="34" fillId="14" borderId="34" xfId="0" applyFont="1" applyFill="1" applyBorder="1" applyAlignment="1">
      <alignment horizontal="center"/>
    </xf>
    <xf numFmtId="0" fontId="34" fillId="14" borderId="61" xfId="0" applyFont="1" applyFill="1" applyBorder="1" applyAlignment="1">
      <alignment horizontal="center"/>
    </xf>
    <xf numFmtId="0" fontId="34" fillId="14" borderId="62" xfId="0" applyFont="1" applyFill="1" applyBorder="1" applyAlignment="1">
      <alignment horizontal="center"/>
    </xf>
    <xf numFmtId="0" fontId="34" fillId="14" borderId="11" xfId="0" applyFont="1" applyFill="1" applyBorder="1" applyAlignment="1">
      <alignment horizontal="center"/>
    </xf>
    <xf numFmtId="0" fontId="34" fillId="14" borderId="12" xfId="0" applyFont="1" applyFill="1" applyBorder="1" applyAlignment="1">
      <alignment horizontal="center"/>
    </xf>
    <xf numFmtId="0" fontId="34" fillId="9" borderId="29" xfId="0" applyFont="1" applyFill="1" applyBorder="1" applyAlignment="1">
      <alignment horizontal="center"/>
    </xf>
    <xf numFmtId="0" fontId="34" fillId="9" borderId="0" xfId="0" applyFont="1" applyFill="1" applyAlignment="1">
      <alignment horizontal="center"/>
    </xf>
    <xf numFmtId="0" fontId="34" fillId="9" borderId="101" xfId="0" applyFont="1" applyFill="1" applyBorder="1" applyAlignment="1">
      <alignment horizontal="center"/>
    </xf>
    <xf numFmtId="0" fontId="34" fillId="9" borderId="62" xfId="0" applyFont="1" applyFill="1" applyBorder="1" applyAlignment="1">
      <alignment horizontal="center"/>
    </xf>
    <xf numFmtId="0" fontId="34" fillId="9" borderId="11" xfId="0" applyFont="1" applyFill="1" applyBorder="1" applyAlignment="1">
      <alignment horizontal="center"/>
    </xf>
    <xf numFmtId="0" fontId="34" fillId="9" borderId="12" xfId="0" applyFont="1" applyFill="1" applyBorder="1" applyAlignment="1">
      <alignment horizontal="center"/>
    </xf>
    <xf numFmtId="0" fontId="13" fillId="4" borderId="5" xfId="0" applyFont="1" applyFill="1" applyBorder="1" applyAlignment="1">
      <alignment horizontal="center"/>
    </xf>
    <xf numFmtId="0" fontId="13" fillId="4" borderId="7" xfId="0" applyFont="1" applyFill="1" applyBorder="1" applyAlignment="1">
      <alignment horizontal="center"/>
    </xf>
    <xf numFmtId="0" fontId="0" fillId="0" borderId="0" xfId="0" applyAlignment="1">
      <alignment horizontal="left"/>
    </xf>
    <xf numFmtId="0" fontId="21" fillId="0" borderId="6" xfId="0" applyFont="1" applyBorder="1" applyAlignment="1">
      <alignment horizontal="center" wrapText="1"/>
    </xf>
    <xf numFmtId="0" fontId="21" fillId="0" borderId="24" xfId="0" applyFont="1" applyBorder="1" applyAlignment="1">
      <alignment horizontal="center" wrapText="1"/>
    </xf>
    <xf numFmtId="0" fontId="21" fillId="0" borderId="13" xfId="0" applyFont="1" applyBorder="1" applyAlignment="1">
      <alignment horizontal="center" wrapText="1"/>
    </xf>
    <xf numFmtId="0" fontId="0" fillId="0" borderId="51" xfId="0" applyBorder="1" applyAlignment="1">
      <alignment horizontal="center"/>
    </xf>
    <xf numFmtId="0" fontId="0" fillId="0" borderId="52" xfId="0" applyBorder="1" applyAlignment="1">
      <alignment horizontal="center"/>
    </xf>
    <xf numFmtId="166" fontId="19" fillId="11" borderId="112" xfId="0" applyNumberFormat="1" applyFont="1" applyFill="1" applyBorder="1" applyAlignment="1">
      <alignment horizontal="center"/>
    </xf>
    <xf numFmtId="166" fontId="19" fillId="11" borderId="113" xfId="0" applyNumberFormat="1" applyFont="1" applyFill="1" applyBorder="1" applyAlignment="1">
      <alignment horizontal="center"/>
    </xf>
    <xf numFmtId="166" fontId="19" fillId="11" borderId="114" xfId="0" applyNumberFormat="1" applyFont="1" applyFill="1" applyBorder="1" applyAlignment="1">
      <alignment horizontal="center"/>
    </xf>
    <xf numFmtId="166" fontId="19" fillId="11" borderId="115" xfId="0" applyNumberFormat="1" applyFont="1" applyFill="1" applyBorder="1" applyAlignment="1">
      <alignment horizontal="center"/>
    </xf>
    <xf numFmtId="166" fontId="19" fillId="11" borderId="49" xfId="0" applyNumberFormat="1" applyFont="1" applyFill="1" applyBorder="1" applyAlignment="1">
      <alignment horizontal="center"/>
    </xf>
    <xf numFmtId="166" fontId="19" fillId="11" borderId="116" xfId="0" applyNumberFormat="1" applyFont="1" applyFill="1" applyBorder="1" applyAlignment="1">
      <alignment horizontal="center"/>
    </xf>
    <xf numFmtId="166" fontId="19" fillId="11" borderId="117" xfId="0" applyNumberFormat="1" applyFont="1" applyFill="1" applyBorder="1" applyAlignment="1">
      <alignment horizontal="center"/>
    </xf>
    <xf numFmtId="166" fontId="19" fillId="11" borderId="54" xfId="0" applyNumberFormat="1" applyFont="1" applyFill="1" applyBorder="1" applyAlignment="1">
      <alignment horizontal="center"/>
    </xf>
    <xf numFmtId="166" fontId="19" fillId="11" borderId="118" xfId="0" applyNumberFormat="1" applyFont="1" applyFill="1" applyBorder="1" applyAlignment="1">
      <alignment horizontal="center"/>
    </xf>
    <xf numFmtId="178" fontId="3" fillId="0" borderId="125" xfId="0" applyNumberFormat="1" applyFont="1" applyBorder="1" applyAlignment="1">
      <alignment horizontal="center"/>
    </xf>
    <xf numFmtId="164" fontId="11" fillId="2" borderId="63" xfId="3" applyNumberFormat="1" applyFill="1" applyBorder="1" applyAlignment="1">
      <alignment horizontal="center"/>
    </xf>
    <xf numFmtId="164" fontId="11" fillId="2" borderId="40" xfId="3" applyNumberFormat="1" applyFill="1" applyBorder="1" applyAlignment="1">
      <alignment horizontal="center"/>
    </xf>
    <xf numFmtId="164" fontId="11" fillId="2" borderId="42" xfId="3" applyNumberFormat="1" applyFill="1" applyBorder="1" applyAlignment="1">
      <alignment horizontal="center"/>
    </xf>
    <xf numFmtId="0" fontId="3" fillId="20" borderId="11" xfId="0" applyFont="1" applyFill="1" applyBorder="1" applyAlignment="1">
      <alignment horizontal="center"/>
    </xf>
    <xf numFmtId="0" fontId="3" fillId="20" borderId="68" xfId="0" applyFont="1" applyFill="1" applyBorder="1" applyAlignment="1">
      <alignment horizontal="center"/>
    </xf>
    <xf numFmtId="0" fontId="23" fillId="14" borderId="27" xfId="0" applyFont="1" applyFill="1" applyBorder="1" applyAlignment="1">
      <alignment horizontal="center"/>
    </xf>
    <xf numFmtId="0" fontId="23" fillId="14" borderId="34" xfId="0" applyFont="1" applyFill="1" applyBorder="1" applyAlignment="1">
      <alignment horizontal="center"/>
    </xf>
    <xf numFmtId="0" fontId="23" fillId="14" borderId="61" xfId="0" applyFont="1" applyFill="1" applyBorder="1" applyAlignment="1">
      <alignment horizontal="center"/>
    </xf>
    <xf numFmtId="0" fontId="23" fillId="14" borderId="62" xfId="0" applyFont="1" applyFill="1" applyBorder="1" applyAlignment="1">
      <alignment horizontal="center"/>
    </xf>
    <xf numFmtId="0" fontId="23" fillId="14" borderId="11" xfId="0" applyFont="1" applyFill="1" applyBorder="1" applyAlignment="1">
      <alignment horizontal="center"/>
    </xf>
    <xf numFmtId="0" fontId="23" fillId="14" borderId="12" xfId="0" applyFont="1" applyFill="1" applyBorder="1" applyAlignment="1">
      <alignment horizontal="center"/>
    </xf>
    <xf numFmtId="0" fontId="1" fillId="0" borderId="11" xfId="0" applyFont="1" applyBorder="1" applyAlignment="1">
      <alignment horizontal="center"/>
    </xf>
    <xf numFmtId="0" fontId="3" fillId="18" borderId="52" xfId="0" applyFont="1" applyFill="1" applyBorder="1" applyAlignment="1">
      <alignment horizontal="left"/>
    </xf>
    <xf numFmtId="0" fontId="3" fillId="18" borderId="49" xfId="0" applyFont="1" applyFill="1" applyBorder="1" applyAlignment="1">
      <alignment horizontal="left"/>
    </xf>
    <xf numFmtId="0" fontId="3" fillId="18" borderId="58" xfId="0" applyFont="1" applyFill="1" applyBorder="1" applyAlignment="1">
      <alignment horizontal="left"/>
    </xf>
    <xf numFmtId="0" fontId="1" fillId="18" borderId="59" xfId="0" applyFont="1" applyFill="1" applyBorder="1" applyAlignment="1">
      <alignment horizontal="center"/>
    </xf>
    <xf numFmtId="0" fontId="1" fillId="18" borderId="0" xfId="0" applyFont="1" applyFill="1" applyAlignment="1">
      <alignment horizontal="center"/>
    </xf>
    <xf numFmtId="0" fontId="3" fillId="20" borderId="27" xfId="0" applyFont="1" applyFill="1" applyBorder="1" applyAlignment="1">
      <alignment horizontal="center"/>
    </xf>
    <xf numFmtId="0" fontId="3" fillId="20" borderId="34" xfId="0" applyFont="1" applyFill="1" applyBorder="1" applyAlignment="1">
      <alignment horizontal="center"/>
    </xf>
    <xf numFmtId="0" fontId="3" fillId="20" borderId="28" xfId="0" applyFont="1" applyFill="1" applyBorder="1" applyAlignment="1">
      <alignment horizontal="center"/>
    </xf>
    <xf numFmtId="172" fontId="1" fillId="20" borderId="65" xfId="5" applyNumberFormat="1" applyFill="1" applyBorder="1" applyAlignment="1">
      <alignment horizontal="left"/>
    </xf>
    <xf numFmtId="172" fontId="1" fillId="20" borderId="7" xfId="5" applyNumberFormat="1" applyFill="1" applyBorder="1" applyAlignment="1">
      <alignment horizontal="left"/>
    </xf>
    <xf numFmtId="164" fontId="1" fillId="20" borderId="38" xfId="0" applyNumberFormat="1" applyFont="1" applyFill="1" applyBorder="1" applyAlignment="1">
      <alignment horizontal="center" wrapText="1"/>
    </xf>
    <xf numFmtId="164" fontId="6" fillId="20" borderId="2" xfId="0" applyNumberFormat="1" applyFont="1" applyFill="1" applyBorder="1" applyAlignment="1">
      <alignment horizontal="center"/>
    </xf>
    <xf numFmtId="164" fontId="1" fillId="20" borderId="2" xfId="0" applyNumberFormat="1" applyFont="1" applyFill="1" applyBorder="1" applyAlignment="1">
      <alignment horizontal="center"/>
    </xf>
    <xf numFmtId="0" fontId="3" fillId="9" borderId="0" xfId="0" applyFont="1" applyFill="1" applyAlignment="1">
      <alignment horizontal="center"/>
    </xf>
    <xf numFmtId="0" fontId="0" fillId="0" borderId="0" xfId="0" applyAlignment="1">
      <alignment horizontal="center"/>
    </xf>
    <xf numFmtId="0" fontId="1" fillId="0" borderId="16" xfId="0" applyFont="1" applyBorder="1" applyAlignment="1">
      <alignment horizontal="right"/>
    </xf>
    <xf numFmtId="0" fontId="1" fillId="0" borderId="3" xfId="0" applyFont="1" applyBorder="1" applyAlignment="1">
      <alignment horizontal="right"/>
    </xf>
    <xf numFmtId="0" fontId="1" fillId="0" borderId="119" xfId="0" applyFont="1" applyBorder="1" applyAlignment="1">
      <alignment horizontal="right"/>
    </xf>
    <xf numFmtId="0" fontId="1" fillId="0" borderId="110" xfId="0" applyFont="1" applyBorder="1" applyAlignment="1">
      <alignment horizontal="right"/>
    </xf>
    <xf numFmtId="9" fontId="30" fillId="0" borderId="20" xfId="5" applyFont="1" applyBorder="1" applyAlignment="1">
      <alignment horizontal="center"/>
    </xf>
    <xf numFmtId="0" fontId="0" fillId="0" borderId="11" xfId="0" applyBorder="1" applyAlignment="1">
      <alignment horizontal="left"/>
    </xf>
    <xf numFmtId="0" fontId="29" fillId="7" borderId="64" xfId="0" applyFont="1" applyFill="1" applyBorder="1" applyAlignment="1">
      <alignment horizontal="center" vertical="center" textRotation="90" wrapText="1"/>
    </xf>
    <xf numFmtId="0" fontId="29" fillId="7" borderId="70" xfId="0" applyFont="1" applyFill="1" applyBorder="1" applyAlignment="1">
      <alignment horizontal="center" vertical="center" textRotation="90" wrapText="1"/>
    </xf>
    <xf numFmtId="0" fontId="29" fillId="14" borderId="71" xfId="0" applyFont="1" applyFill="1" applyBorder="1" applyAlignment="1">
      <alignment horizontal="center" vertical="center" textRotation="90" wrapText="1"/>
    </xf>
    <xf numFmtId="0" fontId="29" fillId="14" borderId="70" xfId="0" applyFont="1" applyFill="1" applyBorder="1" applyAlignment="1">
      <alignment horizontal="center" vertical="center" textRotation="90" wrapText="1"/>
    </xf>
    <xf numFmtId="0" fontId="29" fillId="14" borderId="25" xfId="0" applyFont="1" applyFill="1" applyBorder="1" applyAlignment="1">
      <alignment horizontal="center" vertical="center" textRotation="90" wrapText="1"/>
    </xf>
  </cellXfs>
  <cellStyles count="7">
    <cellStyle name="Comma" xfId="1" builtinId="3"/>
    <cellStyle name="Currency" xfId="2" builtinId="4"/>
    <cellStyle name="Hyperlink" xfId="3" builtinId="8"/>
    <cellStyle name="Normal" xfId="0" builtinId="0"/>
    <cellStyle name="Normal 2" xfId="4" xr:uid="{00000000-0005-0000-0000-000004000000}"/>
    <cellStyle name="Normal 3" xfId="6" xr:uid="{00000000-0005-0000-0000-000005000000}"/>
    <cellStyle name="Percent" xfId="5" builtinId="5"/>
  </cellStyles>
  <dxfs count="56">
    <dxf>
      <fill>
        <patternFill>
          <bgColor rgb="FFFF6565"/>
        </patternFill>
      </fill>
    </dxf>
    <dxf>
      <fill>
        <patternFill>
          <bgColor rgb="FF00B050"/>
        </patternFill>
      </fill>
    </dxf>
    <dxf>
      <fill>
        <patternFill>
          <bgColor rgb="FFFF6565"/>
        </patternFill>
      </fill>
    </dxf>
    <dxf>
      <fill>
        <patternFill>
          <bgColor rgb="FF00B050"/>
        </patternFill>
      </fill>
    </dxf>
    <dxf>
      <fill>
        <patternFill>
          <bgColor rgb="FFFF6565"/>
        </patternFill>
      </fill>
    </dxf>
    <dxf>
      <fill>
        <patternFill>
          <bgColor rgb="FF00B050"/>
        </patternFill>
      </fill>
    </dxf>
    <dxf>
      <fill>
        <patternFill>
          <bgColor rgb="FFFF6565"/>
        </patternFill>
      </fill>
    </dxf>
    <dxf>
      <fill>
        <patternFill>
          <bgColor rgb="FF00B050"/>
        </patternFill>
      </fill>
    </dxf>
    <dxf>
      <fill>
        <patternFill>
          <bgColor rgb="FFFF6565"/>
        </patternFill>
      </fill>
    </dxf>
    <dxf>
      <fill>
        <patternFill>
          <bgColor rgb="FF00B050"/>
        </patternFill>
      </fill>
    </dxf>
    <dxf>
      <fill>
        <patternFill>
          <bgColor rgb="FFFF6565"/>
        </patternFill>
      </fill>
    </dxf>
    <dxf>
      <fill>
        <patternFill>
          <bgColor rgb="FF00B050"/>
        </patternFill>
      </fill>
    </dxf>
    <dxf>
      <fill>
        <patternFill>
          <bgColor rgb="FFFF6565"/>
        </patternFill>
      </fill>
    </dxf>
    <dxf>
      <fill>
        <patternFill>
          <bgColor rgb="FF00B050"/>
        </patternFill>
      </fill>
    </dxf>
    <dxf>
      <fill>
        <patternFill>
          <bgColor rgb="FFFF6565"/>
        </patternFill>
      </fill>
    </dxf>
    <dxf>
      <fill>
        <patternFill>
          <bgColor rgb="FF00B050"/>
        </patternFill>
      </fill>
    </dxf>
    <dxf>
      <fill>
        <patternFill>
          <bgColor rgb="FFFF6565"/>
        </patternFill>
      </fill>
    </dxf>
    <dxf>
      <fill>
        <patternFill>
          <bgColor rgb="FF00B050"/>
        </patternFill>
      </fill>
    </dxf>
    <dxf>
      <fill>
        <patternFill>
          <bgColor rgb="FFFF6565"/>
        </patternFill>
      </fill>
    </dxf>
    <dxf>
      <fill>
        <patternFill>
          <bgColor rgb="FF00B050"/>
        </patternFill>
      </fill>
    </dxf>
    <dxf>
      <fill>
        <patternFill>
          <bgColor rgb="FFFF6565"/>
        </patternFill>
      </fill>
    </dxf>
    <dxf>
      <fill>
        <patternFill>
          <bgColor rgb="FF00B050"/>
        </patternFill>
      </fill>
    </dxf>
    <dxf>
      <fill>
        <patternFill>
          <bgColor rgb="FFFF6565"/>
        </patternFill>
      </fill>
    </dxf>
    <dxf>
      <fill>
        <patternFill>
          <bgColor rgb="FF00B050"/>
        </patternFill>
      </fill>
    </dxf>
    <dxf>
      <fill>
        <patternFill>
          <bgColor rgb="FFFF6565"/>
        </patternFill>
      </fill>
    </dxf>
    <dxf>
      <fill>
        <patternFill>
          <bgColor rgb="FF00B050"/>
        </patternFill>
      </fill>
    </dxf>
    <dxf>
      <fill>
        <patternFill>
          <bgColor rgb="FFFF6565"/>
        </patternFill>
      </fill>
    </dxf>
    <dxf>
      <fill>
        <patternFill>
          <bgColor rgb="FF00B050"/>
        </patternFill>
      </fill>
    </dxf>
    <dxf>
      <fill>
        <patternFill>
          <bgColor rgb="FFFF6565"/>
        </patternFill>
      </fill>
    </dxf>
    <dxf>
      <fill>
        <patternFill>
          <bgColor rgb="FF00B050"/>
        </patternFill>
      </fill>
    </dxf>
    <dxf>
      <fill>
        <patternFill>
          <bgColor rgb="FFFF6565"/>
        </patternFill>
      </fill>
    </dxf>
    <dxf>
      <fill>
        <patternFill>
          <bgColor rgb="FF00B050"/>
        </patternFill>
      </fill>
    </dxf>
    <dxf>
      <fill>
        <patternFill>
          <bgColor rgb="FFFF6565"/>
        </patternFill>
      </fill>
    </dxf>
    <dxf>
      <fill>
        <patternFill>
          <bgColor rgb="FF00B050"/>
        </patternFill>
      </fill>
    </dxf>
    <dxf>
      <fill>
        <patternFill>
          <bgColor rgb="FFFF6565"/>
        </patternFill>
      </fill>
    </dxf>
    <dxf>
      <fill>
        <patternFill>
          <bgColor rgb="FF00B050"/>
        </patternFill>
      </fill>
    </dxf>
    <dxf>
      <fill>
        <patternFill>
          <bgColor rgb="FFFF6565"/>
        </patternFill>
      </fill>
    </dxf>
    <dxf>
      <fill>
        <patternFill>
          <bgColor rgb="FF00B050"/>
        </patternFill>
      </fill>
    </dxf>
    <dxf>
      <fill>
        <patternFill>
          <bgColor rgb="FFFF6565"/>
        </patternFill>
      </fill>
    </dxf>
    <dxf>
      <fill>
        <patternFill>
          <bgColor rgb="FF00B050"/>
        </patternFill>
      </fill>
    </dxf>
    <dxf>
      <fill>
        <patternFill>
          <bgColor rgb="FFFF6565"/>
        </patternFill>
      </fill>
    </dxf>
    <dxf>
      <fill>
        <patternFill>
          <bgColor rgb="FF00B050"/>
        </patternFill>
      </fill>
    </dxf>
    <dxf>
      <fill>
        <patternFill>
          <bgColor rgb="FFFF6565"/>
        </patternFill>
      </fill>
    </dxf>
    <dxf>
      <fill>
        <patternFill>
          <bgColor rgb="FF00B050"/>
        </patternFill>
      </fill>
    </dxf>
    <dxf>
      <fill>
        <patternFill>
          <bgColor rgb="FFFF6565"/>
        </patternFill>
      </fill>
    </dxf>
    <dxf>
      <fill>
        <patternFill>
          <bgColor rgb="FF00B050"/>
        </patternFill>
      </fill>
    </dxf>
    <dxf>
      <fill>
        <patternFill>
          <bgColor rgb="FFFF6565"/>
        </patternFill>
      </fill>
    </dxf>
    <dxf>
      <fill>
        <patternFill>
          <bgColor rgb="FF00B050"/>
        </patternFill>
      </fill>
    </dxf>
    <dxf>
      <font>
        <color theme="0"/>
      </font>
    </dxf>
    <dxf>
      <fill>
        <patternFill>
          <bgColor rgb="FFFF0000"/>
        </patternFill>
      </fill>
    </dxf>
    <dxf>
      <fill>
        <patternFill>
          <bgColor indexed="10"/>
        </patternFill>
      </fill>
    </dxf>
    <dxf>
      <fill>
        <patternFill>
          <bgColor indexed="10"/>
        </patternFill>
      </fill>
    </dxf>
    <dxf>
      <fill>
        <patternFill>
          <bgColor rgb="FF00B050"/>
        </patternFill>
      </fill>
    </dxf>
    <dxf>
      <fill>
        <patternFill>
          <bgColor rgb="FFFF0000"/>
        </patternFill>
      </fill>
    </dxf>
    <dxf>
      <fill>
        <patternFill>
          <bgColor rgb="FF00B050"/>
        </patternFill>
      </fill>
    </dxf>
    <dxf>
      <fill>
        <patternFill>
          <bgColor rgb="FFFF0000"/>
        </patternFill>
      </fill>
    </dxf>
  </dxfs>
  <tableStyles count="0" defaultTableStyle="TableStyleMedium2" defaultPivotStyle="PivotStyleLight16"/>
  <colors>
    <mruColors>
      <color rgb="FF0000FF"/>
      <color rgb="FFFFFFCC"/>
      <color rgb="FFFFFF99"/>
      <color rgb="FFFF656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25" b="1" i="0" u="none" strike="noStrike" baseline="0">
                <a:solidFill>
                  <a:srgbClr val="000000"/>
                </a:solidFill>
                <a:latin typeface="Arial"/>
                <a:ea typeface="Arial"/>
                <a:cs typeface="Arial"/>
              </a:defRPr>
            </a:pPr>
            <a:r>
              <a:rPr lang="en-US"/>
              <a:t>First Year Sales Seasonality Graph</a:t>
            </a:r>
          </a:p>
        </c:rich>
      </c:tx>
      <c:layout>
        <c:manualLayout>
          <c:xMode val="edge"/>
          <c:yMode val="edge"/>
          <c:x val="0.34378363476269647"/>
          <c:y val="3.4161760853339662E-2"/>
        </c:manualLayout>
      </c:layout>
      <c:overlay val="0"/>
      <c:spPr>
        <a:noFill/>
        <a:ln w="25400">
          <a:noFill/>
        </a:ln>
      </c:spPr>
    </c:title>
    <c:autoTitleDeleted val="0"/>
    <c:plotArea>
      <c:layout>
        <c:manualLayout>
          <c:layoutTarget val="inner"/>
          <c:xMode val="edge"/>
          <c:yMode val="edge"/>
          <c:x val="0.15868673050615595"/>
          <c:y val="0.23602520262944401"/>
          <c:w val="0.80300957592339262"/>
          <c:h val="0.62422454905945057"/>
        </c:manualLayout>
      </c:layout>
      <c:lineChart>
        <c:grouping val="standard"/>
        <c:varyColors val="0"/>
        <c:ser>
          <c:idx val="2"/>
          <c:order val="0"/>
          <c:spPr>
            <a:ln w="31750">
              <a:solidFill>
                <a:srgbClr val="339966"/>
              </a:solidFill>
              <a:prstDash val="solid"/>
            </a:ln>
          </c:spPr>
          <c:marker>
            <c:symbol val="none"/>
          </c:marker>
          <c:dLbls>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'8. P&amp;L and Cashflow'!$D$2:$O$2</c:f>
              <c:numCache>
                <c:formatCode>mmm</c:formatCode>
                <c:ptCount val="12"/>
                <c:pt idx="0">
                  <c:v>43466</c:v>
                </c:pt>
                <c:pt idx="1">
                  <c:v>43497</c:v>
                </c:pt>
                <c:pt idx="2">
                  <c:v>43528</c:v>
                </c:pt>
                <c:pt idx="3">
                  <c:v>43559</c:v>
                </c:pt>
                <c:pt idx="4">
                  <c:v>43590</c:v>
                </c:pt>
                <c:pt idx="5">
                  <c:v>43621</c:v>
                </c:pt>
                <c:pt idx="6">
                  <c:v>43652</c:v>
                </c:pt>
                <c:pt idx="7">
                  <c:v>43683</c:v>
                </c:pt>
                <c:pt idx="8">
                  <c:v>43714</c:v>
                </c:pt>
                <c:pt idx="9">
                  <c:v>43745</c:v>
                </c:pt>
                <c:pt idx="10">
                  <c:v>43776</c:v>
                </c:pt>
                <c:pt idx="11">
                  <c:v>43807</c:v>
                </c:pt>
              </c:numCache>
            </c:numRef>
          </c:cat>
          <c:val>
            <c:numRef>
              <c:f>'6. Seasonality'!$A$48:$L$48</c:f>
              <c:numCache>
                <c:formatCode>_("$"* #,##0_);_("$"* \(#,##0\);_("$"* "-"??_);_(@_)</c:formatCode>
                <c:ptCount val="12"/>
                <c:pt idx="0">
                  <c:v>11150</c:v>
                </c:pt>
                <c:pt idx="1">
                  <c:v>22300</c:v>
                </c:pt>
                <c:pt idx="2">
                  <c:v>22300</c:v>
                </c:pt>
                <c:pt idx="3">
                  <c:v>22300</c:v>
                </c:pt>
                <c:pt idx="4">
                  <c:v>22300</c:v>
                </c:pt>
                <c:pt idx="5">
                  <c:v>22300</c:v>
                </c:pt>
                <c:pt idx="6">
                  <c:v>22300</c:v>
                </c:pt>
                <c:pt idx="7">
                  <c:v>22300</c:v>
                </c:pt>
                <c:pt idx="8">
                  <c:v>22300</c:v>
                </c:pt>
                <c:pt idx="9">
                  <c:v>22300</c:v>
                </c:pt>
                <c:pt idx="10">
                  <c:v>22300</c:v>
                </c:pt>
                <c:pt idx="11">
                  <c:v>22300</c:v>
                </c:pt>
              </c:numCache>
            </c:numRef>
          </c:val>
          <c:smooth val="0"/>
          <c:extLst>
            <c:ext xmlns:c16="http://schemas.microsoft.com/office/drawing/2014/chart" uri="{C3380CC4-5D6E-409C-BE32-E72D297353CC}">
              <c16:uniqueId val="{00000000-A1A6-4C5E-A01A-FC42767B1EE8}"/>
            </c:ext>
          </c:extLst>
        </c:ser>
        <c:dLbls>
          <c:showLegendKey val="0"/>
          <c:showVal val="0"/>
          <c:showCatName val="0"/>
          <c:showSerName val="0"/>
          <c:showPercent val="0"/>
          <c:showBubbleSize val="0"/>
        </c:dLbls>
        <c:smooth val="0"/>
        <c:axId val="91499136"/>
        <c:axId val="91505024"/>
      </c:lineChart>
      <c:dateAx>
        <c:axId val="91499136"/>
        <c:scaling>
          <c:orientation val="minMax"/>
        </c:scaling>
        <c:delete val="0"/>
        <c:axPos val="b"/>
        <c:numFmt formatCode="mmm"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91505024"/>
        <c:crosses val="autoZero"/>
        <c:auto val="1"/>
        <c:lblOffset val="100"/>
        <c:baseTimeUnit val="months"/>
        <c:majorUnit val="1"/>
        <c:majorTimeUnit val="months"/>
        <c:minorUnit val="1"/>
        <c:minorTimeUnit val="months"/>
      </c:dateAx>
      <c:valAx>
        <c:axId val="91505024"/>
        <c:scaling>
          <c:orientation val="minMax"/>
        </c:scaling>
        <c:delete val="0"/>
        <c:axPos val="l"/>
        <c:majorGridlines>
          <c:spPr>
            <a:ln w="3175">
              <a:solidFill>
                <a:srgbClr val="000000"/>
              </a:solidFill>
              <a:prstDash val="solid"/>
            </a:ln>
          </c:spPr>
        </c:majorGridlines>
        <c:numFmt formatCode="_(&quot;$&quot;* #,##0_);_(&quot;$&quot;* \(#,##0\);_(&quot;$&quot;* &quot;-&quot;??_);_(@_)" sourceLinked="1"/>
        <c:majorTickMark val="out"/>
        <c:minorTickMark val="none"/>
        <c:tickLblPos val="nextTo"/>
        <c:spPr>
          <a:ln w="3175">
            <a:solidFill>
              <a:srgbClr val="000000"/>
            </a:solidFill>
            <a:prstDash val="solid"/>
          </a:ln>
        </c:spPr>
        <c:txPr>
          <a:bodyPr rot="0" vert="horz"/>
          <a:lstStyle/>
          <a:p>
            <a:pPr>
              <a:defRPr sz="1050" b="0" i="0" u="none" strike="noStrike" baseline="0">
                <a:solidFill>
                  <a:srgbClr val="000000"/>
                </a:solidFill>
                <a:latin typeface="Arial"/>
                <a:ea typeface="Arial"/>
                <a:cs typeface="Arial"/>
              </a:defRPr>
            </a:pPr>
            <a:endParaRPr lang="en-US"/>
          </a:p>
        </c:txPr>
        <c:crossAx val="91499136"/>
        <c:crosses val="autoZero"/>
        <c:crossBetween val="between"/>
      </c:valAx>
      <c:spPr>
        <a:solidFill>
          <a:srgbClr val="FFFFFF"/>
        </a:solid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14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27746914748637191"/>
          <c:y val="0.1433238985662165"/>
          <c:w val="0.45638012946698964"/>
          <c:h val="0.72601963234519196"/>
        </c:manualLayout>
      </c:layout>
      <c:pieChart>
        <c:varyColors val="1"/>
        <c:ser>
          <c:idx val="0"/>
          <c:order val="0"/>
          <c:tx>
            <c:v>Annual Sales Mix</c:v>
          </c:tx>
          <c:dLbls>
            <c:dLbl>
              <c:idx val="0"/>
              <c:layout>
                <c:manualLayout>
                  <c:x val="0.19151366596002423"/>
                  <c:y val="-1.4212121668347863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9649-4EB9-9AC3-BC066F4AB4D1}"/>
                </c:ext>
              </c:extLst>
            </c:dLbl>
            <c:dLbl>
              <c:idx val="1"/>
              <c:layout>
                <c:manualLayout>
                  <c:x val="0.22656123813850193"/>
                  <c:y val="3.4695101448838972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9649-4EB9-9AC3-BC066F4AB4D1}"/>
                </c:ext>
              </c:extLst>
            </c:dLbl>
            <c:dLbl>
              <c:idx val="2"/>
              <c:layout>
                <c:manualLayout>
                  <c:x val="5.8943916565717749E-2"/>
                  <c:y val="7.3206265086845024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9649-4EB9-9AC3-BC066F4AB4D1}"/>
                </c:ext>
              </c:extLst>
            </c:dLbl>
            <c:dLbl>
              <c:idx val="3"/>
              <c:layout>
                <c:manualLayout>
                  <c:x val="4.0628312386432462E-2"/>
                  <c:y val="-5.3279585271726312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9649-4EB9-9AC3-BC066F4AB4D1}"/>
                </c:ext>
              </c:extLst>
            </c:dLbl>
            <c:dLbl>
              <c:idx val="4"/>
              <c:layout>
                <c:manualLayout>
                  <c:x val="-6.5379094740561278E-2"/>
                  <c:y val="-5.5011216332184101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9649-4EB9-9AC3-BC066F4AB4D1}"/>
                </c:ext>
              </c:extLst>
            </c:dLbl>
            <c:dLbl>
              <c:idx val="5"/>
              <c:layout>
                <c:manualLayout>
                  <c:x val="-0.19801950837876034"/>
                  <c:y val="0.12444257087366947"/>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9649-4EB9-9AC3-BC066F4AB4D1}"/>
                </c:ext>
              </c:extLst>
            </c:dLbl>
            <c:dLbl>
              <c:idx val="6"/>
              <c:delete val="1"/>
              <c:extLst>
                <c:ext xmlns:c15="http://schemas.microsoft.com/office/drawing/2012/chart" uri="{CE6537A1-D6FC-4f65-9D91-7224C49458BB}"/>
                <c:ext xmlns:c16="http://schemas.microsoft.com/office/drawing/2014/chart" uri="{C3380CC4-5D6E-409C-BE32-E72D297353CC}">
                  <c16:uniqueId val="{00000006-9649-4EB9-9AC3-BC066F4AB4D1}"/>
                </c:ext>
              </c:extLst>
            </c:dLbl>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'1. Sales Forecast'!$A$55:$A$61</c:f>
              <c:strCache>
                <c:ptCount val="7"/>
                <c:pt idx="0">
                  <c:v>Customer 1</c:v>
                </c:pt>
                <c:pt idx="1">
                  <c:v>Customer 2</c:v>
                </c:pt>
                <c:pt idx="2">
                  <c:v>Customer 3</c:v>
                </c:pt>
                <c:pt idx="3">
                  <c:v>Customer 4</c:v>
                </c:pt>
                <c:pt idx="4">
                  <c:v>Customer 5</c:v>
                </c:pt>
                <c:pt idx="5">
                  <c:v>Customer 6</c:v>
                </c:pt>
                <c:pt idx="6">
                  <c:v>Other</c:v>
                </c:pt>
              </c:strCache>
            </c:strRef>
          </c:cat>
          <c:val>
            <c:numRef>
              <c:f>'1. Sales Forecast'!$C$55:$C$61</c:f>
              <c:numCache>
                <c:formatCode>_("$"* #,##0_);_("$"* \(#,##0\);_("$"* "-"??_);_(@_)</c:formatCode>
                <c:ptCount val="7"/>
                <c:pt idx="0">
                  <c:v>21600</c:v>
                </c:pt>
                <c:pt idx="1">
                  <c:v>36000</c:v>
                </c:pt>
                <c:pt idx="2">
                  <c:v>138000</c:v>
                </c:pt>
                <c:pt idx="3">
                  <c:v>72000</c:v>
                </c:pt>
                <c:pt idx="4">
                  <c:v>0</c:v>
                </c:pt>
                <c:pt idx="5">
                  <c:v>0</c:v>
                </c:pt>
                <c:pt idx="6">
                  <c:v>0</c:v>
                </c:pt>
              </c:numCache>
            </c:numRef>
          </c:val>
          <c:extLst>
            <c:ext xmlns:c16="http://schemas.microsoft.com/office/drawing/2014/chart" uri="{C3380CC4-5D6E-409C-BE32-E72D297353CC}">
              <c16:uniqueId val="{00000007-9649-4EB9-9AC3-BC066F4AB4D1}"/>
            </c:ext>
          </c:extLst>
        </c:ser>
        <c:dLbls>
          <c:showLegendKey val="0"/>
          <c:showVal val="0"/>
          <c:showCatName val="0"/>
          <c:showSerName val="0"/>
          <c:showPercent val="0"/>
          <c:showBubbleSize val="0"/>
          <c:showLeaderLines val="1"/>
        </c:dLbls>
        <c:firstSliceAng val="0"/>
      </c:pieChart>
    </c:plotArea>
    <c:plotVisOnly val="1"/>
    <c:dispBlanksAs val="gap"/>
    <c:showDLblsOverMax val="0"/>
  </c:chart>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view3D>
      <c:rotX val="15"/>
      <c:rotY val="20"/>
      <c:rAngAx val="1"/>
    </c:view3D>
    <c:floor>
      <c:thickness val="0"/>
    </c:floor>
    <c:sideWall>
      <c:thickness val="0"/>
    </c:sideWall>
    <c:backWall>
      <c:thickness val="0"/>
    </c:backWall>
    <c:plotArea>
      <c:layout/>
      <c:bar3DChart>
        <c:barDir val="col"/>
        <c:grouping val="clustered"/>
        <c:varyColors val="0"/>
        <c:ser>
          <c:idx val="0"/>
          <c:order val="0"/>
          <c:tx>
            <c:v>Monthly Sales</c:v>
          </c:tx>
          <c:spPr>
            <a:solidFill>
              <a:schemeClr val="accent3">
                <a:lumMod val="50000"/>
              </a:schemeClr>
            </a:solidFill>
          </c:spPr>
          <c:invertIfNegative val="0"/>
          <c:cat>
            <c:numRef>
              <c:f>'8. P&amp;L and Cashflow'!$D$6:$O$6</c:f>
              <c:numCache>
                <c:formatCode>mmm</c:formatCode>
                <c:ptCount val="12"/>
                <c:pt idx="0">
                  <c:v>43466</c:v>
                </c:pt>
                <c:pt idx="1">
                  <c:v>43497</c:v>
                </c:pt>
                <c:pt idx="2">
                  <c:v>43528</c:v>
                </c:pt>
                <c:pt idx="3">
                  <c:v>43559</c:v>
                </c:pt>
                <c:pt idx="4">
                  <c:v>43590</c:v>
                </c:pt>
                <c:pt idx="5">
                  <c:v>43621</c:v>
                </c:pt>
                <c:pt idx="6">
                  <c:v>43652</c:v>
                </c:pt>
                <c:pt idx="7">
                  <c:v>43683</c:v>
                </c:pt>
                <c:pt idx="8">
                  <c:v>43714</c:v>
                </c:pt>
                <c:pt idx="9">
                  <c:v>43745</c:v>
                </c:pt>
                <c:pt idx="10">
                  <c:v>43776</c:v>
                </c:pt>
                <c:pt idx="11">
                  <c:v>43807</c:v>
                </c:pt>
              </c:numCache>
            </c:numRef>
          </c:cat>
          <c:val>
            <c:numRef>
              <c:f>'8. P&amp;L and Cashflow'!$D$7:$O$7</c:f>
              <c:numCache>
                <c:formatCode>_("$"* #,##0_);_("$"* \(#,##0\);_("$"* "-"??_);_(@_)</c:formatCode>
                <c:ptCount val="12"/>
                <c:pt idx="0">
                  <c:v>11150</c:v>
                </c:pt>
                <c:pt idx="1">
                  <c:v>22300</c:v>
                </c:pt>
                <c:pt idx="2">
                  <c:v>22300</c:v>
                </c:pt>
                <c:pt idx="3">
                  <c:v>22300</c:v>
                </c:pt>
                <c:pt idx="4">
                  <c:v>22300</c:v>
                </c:pt>
                <c:pt idx="5">
                  <c:v>22300</c:v>
                </c:pt>
                <c:pt idx="6">
                  <c:v>22300</c:v>
                </c:pt>
                <c:pt idx="7">
                  <c:v>22300</c:v>
                </c:pt>
                <c:pt idx="8">
                  <c:v>22300</c:v>
                </c:pt>
                <c:pt idx="9">
                  <c:v>22300</c:v>
                </c:pt>
                <c:pt idx="10">
                  <c:v>22300</c:v>
                </c:pt>
                <c:pt idx="11">
                  <c:v>22300</c:v>
                </c:pt>
              </c:numCache>
            </c:numRef>
          </c:val>
          <c:extLst>
            <c:ext xmlns:c16="http://schemas.microsoft.com/office/drawing/2014/chart" uri="{C3380CC4-5D6E-409C-BE32-E72D297353CC}">
              <c16:uniqueId val="{00000000-6B7E-46A8-AD44-25D3BF4534E7}"/>
            </c:ext>
          </c:extLst>
        </c:ser>
        <c:dLbls>
          <c:showLegendKey val="0"/>
          <c:showVal val="0"/>
          <c:showCatName val="0"/>
          <c:showSerName val="0"/>
          <c:showPercent val="0"/>
          <c:showBubbleSize val="0"/>
        </c:dLbls>
        <c:gapWidth val="150"/>
        <c:shape val="box"/>
        <c:axId val="102704640"/>
        <c:axId val="102706176"/>
        <c:axId val="0"/>
      </c:bar3DChart>
      <c:dateAx>
        <c:axId val="102704640"/>
        <c:scaling>
          <c:orientation val="minMax"/>
        </c:scaling>
        <c:delete val="0"/>
        <c:axPos val="b"/>
        <c:numFmt formatCode="mmm" sourceLinked="1"/>
        <c:majorTickMark val="out"/>
        <c:minorTickMark val="none"/>
        <c:tickLblPos val="nextTo"/>
        <c:crossAx val="102706176"/>
        <c:crosses val="autoZero"/>
        <c:auto val="1"/>
        <c:lblOffset val="100"/>
        <c:baseTimeUnit val="months"/>
      </c:dateAx>
      <c:valAx>
        <c:axId val="102706176"/>
        <c:scaling>
          <c:orientation val="minMax"/>
        </c:scaling>
        <c:delete val="0"/>
        <c:axPos val="l"/>
        <c:majorGridlines/>
        <c:numFmt formatCode="_(&quot;$&quot;* #,##0_);_(&quot;$&quot;* \(#,##0\);_(&quot;$&quot;* &quot;-&quot;??_);_(@_)" sourceLinked="1"/>
        <c:majorTickMark val="out"/>
        <c:minorTickMark val="none"/>
        <c:tickLblPos val="nextTo"/>
        <c:crossAx val="102704640"/>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ANNUAL SALES</a:t>
            </a:r>
          </a:p>
        </c:rich>
      </c:tx>
      <c:overlay val="0"/>
    </c:title>
    <c:autoTitleDeleted val="0"/>
    <c:plotArea>
      <c:layout/>
      <c:barChart>
        <c:barDir val="col"/>
        <c:grouping val="clustered"/>
        <c:varyColors val="0"/>
        <c:ser>
          <c:idx val="0"/>
          <c:order val="0"/>
          <c:tx>
            <c:strRef>
              <c:f>'8. P&amp;L and Cashflow'!$B$7</c:f>
              <c:strCache>
                <c:ptCount val="1"/>
                <c:pt idx="0">
                  <c:v>SALES</c:v>
                </c:pt>
              </c:strCache>
            </c:strRef>
          </c:tx>
          <c:spPr>
            <a:solidFill>
              <a:schemeClr val="accent3">
                <a:lumMod val="50000"/>
              </a:schemeClr>
            </a:solidFill>
          </c:spPr>
          <c:invertIfNegative val="0"/>
          <c:cat>
            <c:numRef>
              <c:f>('8. P&amp;L and Cashflow'!$P$6,'8. P&amp;L and Cashflow'!$AC$6,'8. P&amp;L and Cashflow'!$AD$6,'8. P&amp;L and Cashflow'!$AE$6,'8. P&amp;L and Cashflow'!$AF$6)</c:f>
              <c:numCache>
                <c:formatCode>General</c:formatCode>
                <c:ptCount val="5"/>
                <c:pt idx="0">
                  <c:v>2019</c:v>
                </c:pt>
                <c:pt idx="1">
                  <c:v>2020</c:v>
                </c:pt>
                <c:pt idx="2">
                  <c:v>2021</c:v>
                </c:pt>
                <c:pt idx="3">
                  <c:v>2022</c:v>
                </c:pt>
                <c:pt idx="4">
                  <c:v>2023</c:v>
                </c:pt>
              </c:numCache>
            </c:numRef>
          </c:cat>
          <c:val>
            <c:numRef>
              <c:f>('8. P&amp;L and Cashflow'!$C$7,'8. P&amp;L and Cashflow'!$AC$7,'8. P&amp;L and Cashflow'!$AD$7,'8. P&amp;L and Cashflow'!$AE$7,'8. P&amp;L and Cashflow'!$AF$7)</c:f>
              <c:numCache>
                <c:formatCode>"$"#,##0_);[Red]\("$"#,##0\)</c:formatCode>
                <c:ptCount val="5"/>
                <c:pt idx="0" formatCode="_(&quot;$&quot;* #,##0_);_(&quot;$&quot;* \(#,##0\);_(&quot;$&quot;* &quot;-&quot;??_);_(@_)">
                  <c:v>256450</c:v>
                </c:pt>
                <c:pt idx="1">
                  <c:v>303060</c:v>
                </c:pt>
                <c:pt idx="2">
                  <c:v>343371</c:v>
                </c:pt>
                <c:pt idx="3">
                  <c:v>389213.85</c:v>
                </c:pt>
                <c:pt idx="4">
                  <c:v>441366.84749999997</c:v>
                </c:pt>
              </c:numCache>
            </c:numRef>
          </c:val>
          <c:extLst>
            <c:ext xmlns:c16="http://schemas.microsoft.com/office/drawing/2014/chart" uri="{C3380CC4-5D6E-409C-BE32-E72D297353CC}">
              <c16:uniqueId val="{00000000-177D-4027-A609-1B4223795CBC}"/>
            </c:ext>
          </c:extLst>
        </c:ser>
        <c:dLbls>
          <c:showLegendKey val="0"/>
          <c:showVal val="0"/>
          <c:showCatName val="0"/>
          <c:showSerName val="0"/>
          <c:showPercent val="0"/>
          <c:showBubbleSize val="0"/>
        </c:dLbls>
        <c:gapWidth val="150"/>
        <c:axId val="102742656"/>
        <c:axId val="102756736"/>
      </c:barChart>
      <c:catAx>
        <c:axId val="102742656"/>
        <c:scaling>
          <c:orientation val="minMax"/>
        </c:scaling>
        <c:delete val="0"/>
        <c:axPos val="b"/>
        <c:numFmt formatCode="General" sourceLinked="1"/>
        <c:majorTickMark val="out"/>
        <c:minorTickMark val="none"/>
        <c:tickLblPos val="nextTo"/>
        <c:crossAx val="102756736"/>
        <c:crosses val="autoZero"/>
        <c:auto val="1"/>
        <c:lblAlgn val="ctr"/>
        <c:lblOffset val="100"/>
        <c:noMultiLvlLbl val="0"/>
      </c:catAx>
      <c:valAx>
        <c:axId val="102756736"/>
        <c:scaling>
          <c:orientation val="minMax"/>
        </c:scaling>
        <c:delete val="0"/>
        <c:axPos val="l"/>
        <c:majorGridlines/>
        <c:numFmt formatCode="_(&quot;$&quot;* #,##0_);_(&quot;$&quot;* \(#,##0\);_(&quot;$&quot;* &quot;-&quot;??_);_(@_)" sourceLinked="1"/>
        <c:majorTickMark val="out"/>
        <c:minorTickMark val="none"/>
        <c:tickLblPos val="nextTo"/>
        <c:crossAx val="102742656"/>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Annual Sales</a:t>
            </a:r>
          </a:p>
        </c:rich>
      </c:tx>
      <c:overlay val="0"/>
    </c:title>
    <c:autoTitleDeleted val="0"/>
    <c:view3D>
      <c:rotX val="15"/>
      <c:rotY val="20"/>
      <c:rAngAx val="1"/>
    </c:view3D>
    <c:floor>
      <c:thickness val="0"/>
    </c:floor>
    <c:sideWall>
      <c:thickness val="0"/>
    </c:sideWall>
    <c:backWall>
      <c:thickness val="0"/>
    </c:backWall>
    <c:plotArea>
      <c:layout/>
      <c:bar3DChart>
        <c:barDir val="col"/>
        <c:grouping val="clustered"/>
        <c:varyColors val="0"/>
        <c:ser>
          <c:idx val="0"/>
          <c:order val="0"/>
          <c:tx>
            <c:v>Sales</c:v>
          </c:tx>
          <c:spPr>
            <a:solidFill>
              <a:schemeClr val="accent3">
                <a:lumMod val="75000"/>
              </a:schemeClr>
            </a:solidFill>
          </c:spPr>
          <c:invertIfNegative val="0"/>
          <c:cat>
            <c:numRef>
              <c:f>('1. Sales Forecast'!$C$54,'1. Sales Forecast'!$D$54,'1. Sales Forecast'!$E$54,'1. Sales Forecast'!$F$54,'1. Sales Forecast'!$G$54)</c:f>
              <c:numCache>
                <c:formatCode>General</c:formatCode>
                <c:ptCount val="5"/>
                <c:pt idx="0">
                  <c:v>2019</c:v>
                </c:pt>
                <c:pt idx="1">
                  <c:v>2020</c:v>
                </c:pt>
                <c:pt idx="2">
                  <c:v>2021</c:v>
                </c:pt>
                <c:pt idx="3">
                  <c:v>2022</c:v>
                </c:pt>
                <c:pt idx="4">
                  <c:v>2023</c:v>
                </c:pt>
              </c:numCache>
            </c:numRef>
          </c:cat>
          <c:val>
            <c:numRef>
              <c:f>('8. P&amp;L and Cashflow'!$C$62,'8. P&amp;L and Cashflow'!$P$7,'8. P&amp;L and Cashflow'!$AC$7,'8. P&amp;L and Cashflow'!$AD$7,'8. P&amp;L and Cashflow'!$AE$7,'8. P&amp;L and Cashflow'!$AF$7)</c:f>
              <c:numCache>
                <c:formatCode>"$"#,##0_);[Red]\("$"#,##0\)</c:formatCode>
                <c:ptCount val="6"/>
                <c:pt idx="1">
                  <c:v>256450</c:v>
                </c:pt>
                <c:pt idx="2">
                  <c:v>303060</c:v>
                </c:pt>
                <c:pt idx="3">
                  <c:v>343371</c:v>
                </c:pt>
                <c:pt idx="4">
                  <c:v>389213.85</c:v>
                </c:pt>
                <c:pt idx="5">
                  <c:v>441366.84749999997</c:v>
                </c:pt>
              </c:numCache>
            </c:numRef>
          </c:val>
          <c:extLst>
            <c:ext xmlns:c16="http://schemas.microsoft.com/office/drawing/2014/chart" uri="{C3380CC4-5D6E-409C-BE32-E72D297353CC}">
              <c16:uniqueId val="{00000000-DFC5-4F38-9C0E-60C457C3BB72}"/>
            </c:ext>
          </c:extLst>
        </c:ser>
        <c:dLbls>
          <c:showLegendKey val="0"/>
          <c:showVal val="0"/>
          <c:showCatName val="0"/>
          <c:showSerName val="0"/>
          <c:showPercent val="0"/>
          <c:showBubbleSize val="0"/>
        </c:dLbls>
        <c:gapWidth val="150"/>
        <c:shape val="box"/>
        <c:axId val="112269568"/>
        <c:axId val="112287744"/>
        <c:axId val="0"/>
      </c:bar3DChart>
      <c:catAx>
        <c:axId val="112269568"/>
        <c:scaling>
          <c:orientation val="minMax"/>
        </c:scaling>
        <c:delete val="0"/>
        <c:axPos val="b"/>
        <c:numFmt formatCode="General" sourceLinked="1"/>
        <c:majorTickMark val="out"/>
        <c:minorTickMark val="none"/>
        <c:tickLblPos val="nextTo"/>
        <c:crossAx val="112287744"/>
        <c:crosses val="autoZero"/>
        <c:auto val="1"/>
        <c:lblAlgn val="ctr"/>
        <c:lblOffset val="100"/>
        <c:noMultiLvlLbl val="0"/>
      </c:catAx>
      <c:valAx>
        <c:axId val="112287744"/>
        <c:scaling>
          <c:orientation val="minMax"/>
        </c:scaling>
        <c:delete val="0"/>
        <c:axPos val="l"/>
        <c:majorGridlines/>
        <c:numFmt formatCode="General" sourceLinked="1"/>
        <c:majorTickMark val="out"/>
        <c:minorTickMark val="none"/>
        <c:tickLblPos val="nextTo"/>
        <c:crossAx val="112269568"/>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Monthly Profit/Loss</c:v>
          </c:tx>
          <c:spPr>
            <a:solidFill>
              <a:srgbClr val="4F6228"/>
            </a:solidFill>
          </c:spPr>
          <c:invertIfNegative val="1"/>
          <c:cat>
            <c:numRef>
              <c:f>'8. P&amp;L and Cashflow'!$D$6:$O$6</c:f>
              <c:numCache>
                <c:formatCode>mmm</c:formatCode>
                <c:ptCount val="12"/>
                <c:pt idx="0">
                  <c:v>43466</c:v>
                </c:pt>
                <c:pt idx="1">
                  <c:v>43497</c:v>
                </c:pt>
                <c:pt idx="2">
                  <c:v>43528</c:v>
                </c:pt>
                <c:pt idx="3">
                  <c:v>43559</c:v>
                </c:pt>
                <c:pt idx="4">
                  <c:v>43590</c:v>
                </c:pt>
                <c:pt idx="5">
                  <c:v>43621</c:v>
                </c:pt>
                <c:pt idx="6">
                  <c:v>43652</c:v>
                </c:pt>
                <c:pt idx="7">
                  <c:v>43683</c:v>
                </c:pt>
                <c:pt idx="8">
                  <c:v>43714</c:v>
                </c:pt>
                <c:pt idx="9">
                  <c:v>43745</c:v>
                </c:pt>
                <c:pt idx="10">
                  <c:v>43776</c:v>
                </c:pt>
                <c:pt idx="11">
                  <c:v>43807</c:v>
                </c:pt>
              </c:numCache>
            </c:numRef>
          </c:cat>
          <c:val>
            <c:numRef>
              <c:f>'8. P&amp;L and Cashflow'!$D$60:$O$60</c:f>
              <c:numCache>
                <c:formatCode>_("$"* #,##0_);_("$"* \(#,##0\);_("$"* "-"??_);_(@_)</c:formatCode>
                <c:ptCount val="12"/>
                <c:pt idx="0">
                  <c:v>-2996.0662053571414</c:v>
                </c:pt>
                <c:pt idx="1">
                  <c:v>457.23315365746316</c:v>
                </c:pt>
                <c:pt idx="2">
                  <c:v>460.04159719836485</c:v>
                </c:pt>
                <c:pt idx="3">
                  <c:v>462.86493969469819</c:v>
                </c:pt>
                <c:pt idx="4">
                  <c:v>465.70326054310902</c:v>
                </c:pt>
                <c:pt idx="5">
                  <c:v>468.55663956486643</c:v>
                </c:pt>
                <c:pt idx="6">
                  <c:v>471.42515700814033</c:v>
                </c:pt>
                <c:pt idx="7">
                  <c:v>474.30889355029086</c:v>
                </c:pt>
                <c:pt idx="8">
                  <c:v>477.20793030017057</c:v>
                </c:pt>
                <c:pt idx="9">
                  <c:v>480.1223488004386</c:v>
                </c:pt>
                <c:pt idx="10">
                  <c:v>483.05223102988708</c:v>
                </c:pt>
                <c:pt idx="11">
                  <c:v>485.99765940578106</c:v>
                </c:pt>
              </c:numCache>
            </c:numRef>
          </c:val>
          <c:extLst>
            <c:ext xmlns:c14="http://schemas.microsoft.com/office/drawing/2007/8/2/chart" uri="{6F2FDCE9-48DA-4B69-8628-5D25D57E5C99}">
              <c14:invertSolidFillFmt>
                <c14:spPr xmlns:c14="http://schemas.microsoft.com/office/drawing/2007/8/2/chart">
                  <a:solidFill>
                    <a:srgbClr val="FF0000"/>
                  </a:solidFill>
                </c14:spPr>
              </c14:invertSolidFillFmt>
            </c:ext>
            <c:ext xmlns:c16="http://schemas.microsoft.com/office/drawing/2014/chart" uri="{C3380CC4-5D6E-409C-BE32-E72D297353CC}">
              <c16:uniqueId val="{00000000-A6D4-4446-BE08-51796FA8992B}"/>
            </c:ext>
          </c:extLst>
        </c:ser>
        <c:dLbls>
          <c:showLegendKey val="0"/>
          <c:showVal val="0"/>
          <c:showCatName val="0"/>
          <c:showSerName val="0"/>
          <c:showPercent val="0"/>
          <c:showBubbleSize val="0"/>
        </c:dLbls>
        <c:gapWidth val="150"/>
        <c:axId val="102404480"/>
        <c:axId val="102406016"/>
      </c:barChart>
      <c:dateAx>
        <c:axId val="102404480"/>
        <c:scaling>
          <c:orientation val="minMax"/>
        </c:scaling>
        <c:delete val="0"/>
        <c:axPos val="b"/>
        <c:numFmt formatCode="mmm" sourceLinked="1"/>
        <c:majorTickMark val="out"/>
        <c:minorTickMark val="none"/>
        <c:tickLblPos val="nextTo"/>
        <c:crossAx val="102406016"/>
        <c:crosses val="autoZero"/>
        <c:auto val="1"/>
        <c:lblOffset val="100"/>
        <c:baseTimeUnit val="months"/>
      </c:dateAx>
      <c:valAx>
        <c:axId val="102406016"/>
        <c:scaling>
          <c:orientation val="minMax"/>
        </c:scaling>
        <c:delete val="0"/>
        <c:axPos val="l"/>
        <c:majorGridlines/>
        <c:numFmt formatCode="_(&quot;$&quot;* #,##0_);_(&quot;$&quot;* \(#,##0\);_(&quot;$&quot;* &quot;-&quot;??_);_(@_)" sourceLinked="1"/>
        <c:majorTickMark val="out"/>
        <c:minorTickMark val="none"/>
        <c:tickLblPos val="nextTo"/>
        <c:crossAx val="102404480"/>
        <c:crosses val="autoZero"/>
        <c:crossBetween val="between"/>
      </c:valAx>
    </c:plotArea>
    <c:plotVisOnly val="1"/>
    <c:dispBlanksAs val="gap"/>
    <c:showDLblsOverMax val="0"/>
  </c:chart>
  <c:printSettings>
    <c:headerFooter/>
    <c:pageMargins b="0.75" l="0.7" r="0.7" t="0.75" header="0.3" footer="0.3"/>
    <c:pageSetup orientation="landscape"/>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Annual Net Profit</a:t>
            </a:r>
          </a:p>
        </c:rich>
      </c:tx>
      <c:overlay val="0"/>
    </c:title>
    <c:autoTitleDeleted val="0"/>
    <c:plotArea>
      <c:layout/>
      <c:barChart>
        <c:barDir val="col"/>
        <c:grouping val="clustered"/>
        <c:varyColors val="0"/>
        <c:ser>
          <c:idx val="1"/>
          <c:order val="0"/>
          <c:tx>
            <c:v>Annual Profit and Loss</c:v>
          </c:tx>
          <c:spPr>
            <a:solidFill>
              <a:srgbClr val="4F6228"/>
            </a:solidFill>
          </c:spPr>
          <c:invertIfNegative val="1"/>
          <c:cat>
            <c:numRef>
              <c:f>('1. Sales Forecast'!$C$54,'1. Sales Forecast'!$D$54,'1. Sales Forecast'!$E$54,'1. Sales Forecast'!$F$54,'1. Sales Forecast'!$G$54)</c:f>
              <c:numCache>
                <c:formatCode>General</c:formatCode>
                <c:ptCount val="5"/>
                <c:pt idx="0">
                  <c:v>2019</c:v>
                </c:pt>
                <c:pt idx="1">
                  <c:v>2020</c:v>
                </c:pt>
                <c:pt idx="2">
                  <c:v>2021</c:v>
                </c:pt>
                <c:pt idx="3">
                  <c:v>2022</c:v>
                </c:pt>
                <c:pt idx="4">
                  <c:v>2023</c:v>
                </c:pt>
              </c:numCache>
            </c:numRef>
          </c:cat>
          <c:val>
            <c:numRef>
              <c:f>('8. P&amp;L and Cashflow'!$P$3,'8. P&amp;L and Cashflow'!$AC$3,'8. P&amp;L and Cashflow'!$AD$3,'8. P&amp;L and Cashflow'!$AE$3,'8. P&amp;L and Cashflow'!$AF$3)</c:f>
              <c:numCache>
                <c:formatCode>_("$"* #,##0_);_("$"* \(#,##0\);_("$"* "-"??_);_(@_)</c:formatCode>
                <c:ptCount val="5"/>
                <c:pt idx="0">
                  <c:v>2190.4476053960566</c:v>
                </c:pt>
                <c:pt idx="1">
                  <c:v>14660.694789915646</c:v>
                </c:pt>
                <c:pt idx="2">
                  <c:v>26773.37475072583</c:v>
                </c:pt>
                <c:pt idx="3">
                  <c:v>38907.890388825886</c:v>
                </c:pt>
                <c:pt idx="4">
                  <c:v>52465.170451704442</c:v>
                </c:pt>
              </c:numCache>
            </c:numRef>
          </c:val>
          <c:extLst>
            <c:ext xmlns:c14="http://schemas.microsoft.com/office/drawing/2007/8/2/chart" uri="{6F2FDCE9-48DA-4B69-8628-5D25D57E5C99}">
              <c14:invertSolidFillFmt>
                <c14:spPr xmlns:c14="http://schemas.microsoft.com/office/drawing/2007/8/2/chart">
                  <a:solidFill>
                    <a:srgbClr val="FF0000"/>
                  </a:solidFill>
                </c14:spPr>
              </c14:invertSolidFillFmt>
            </c:ext>
            <c:ext xmlns:c16="http://schemas.microsoft.com/office/drawing/2014/chart" uri="{C3380CC4-5D6E-409C-BE32-E72D297353CC}">
              <c16:uniqueId val="{00000000-071C-4228-9FE6-B4FCECCF0B40}"/>
            </c:ext>
          </c:extLst>
        </c:ser>
        <c:dLbls>
          <c:showLegendKey val="0"/>
          <c:showVal val="0"/>
          <c:showCatName val="0"/>
          <c:showSerName val="0"/>
          <c:showPercent val="0"/>
          <c:showBubbleSize val="0"/>
        </c:dLbls>
        <c:gapWidth val="150"/>
        <c:axId val="102430208"/>
        <c:axId val="102431744"/>
      </c:barChart>
      <c:catAx>
        <c:axId val="102430208"/>
        <c:scaling>
          <c:orientation val="minMax"/>
        </c:scaling>
        <c:delete val="0"/>
        <c:axPos val="b"/>
        <c:numFmt formatCode="General" sourceLinked="1"/>
        <c:majorTickMark val="out"/>
        <c:minorTickMark val="none"/>
        <c:tickLblPos val="nextTo"/>
        <c:crossAx val="102431744"/>
        <c:crosses val="autoZero"/>
        <c:auto val="1"/>
        <c:lblAlgn val="ctr"/>
        <c:lblOffset val="100"/>
        <c:noMultiLvlLbl val="0"/>
      </c:catAx>
      <c:valAx>
        <c:axId val="102431744"/>
        <c:scaling>
          <c:orientation val="minMax"/>
        </c:scaling>
        <c:delete val="0"/>
        <c:axPos val="l"/>
        <c:majorGridlines/>
        <c:numFmt formatCode="_(&quot;$&quot;* #,##0_);_(&quot;$&quot;* \(#,##0\);_(&quot;$&quot;* &quot;-&quot;??_);_(@_)" sourceLinked="1"/>
        <c:majorTickMark val="out"/>
        <c:minorTickMark val="none"/>
        <c:tickLblPos val="nextTo"/>
        <c:crossAx val="102430208"/>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4"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476250</xdr:colOff>
          <xdr:row>2</xdr:row>
          <xdr:rowOff>0</xdr:rowOff>
        </xdr:from>
        <xdr:to>
          <xdr:col>6</xdr:col>
          <xdr:colOff>723900</xdr:colOff>
          <xdr:row>3</xdr:row>
          <xdr:rowOff>142875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Page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1295400</xdr:colOff>
      <xdr:row>0</xdr:row>
      <xdr:rowOff>38100</xdr:rowOff>
    </xdr:from>
    <xdr:ext cx="3047501" cy="264560"/>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1295400" y="38100"/>
          <a:ext cx="3047501" cy="264560"/>
        </a:xfrm>
        <a:prstGeom prst="rect">
          <a:avLst/>
        </a:prstGeom>
        <a:solidFill>
          <a:srgbClr val="FFFF00"/>
        </a:solidFill>
        <a:ln>
          <a:solidFill>
            <a:srgbClr val="FF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solidFill>
                <a:srgbClr val="FF0000"/>
              </a:solidFill>
            </a:rPr>
            <a:t>IMPORTANT:</a:t>
          </a:r>
          <a:r>
            <a:rPr lang="en-US" sz="1100"/>
            <a:t> Only Change </a:t>
          </a:r>
          <a:r>
            <a:rPr lang="en-US" sz="1100" b="1">
              <a:solidFill>
                <a:srgbClr val="0000FF"/>
              </a:solidFill>
            </a:rPr>
            <a:t>BLUE</a:t>
          </a:r>
          <a:r>
            <a:rPr lang="en-US" sz="1100"/>
            <a:t> text boxes below</a:t>
          </a:r>
        </a:p>
      </xdr:txBody>
    </xdr:sp>
    <xdr:clientData fPrintsWithSheet="0"/>
  </xdr:one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723900</xdr:colOff>
          <xdr:row>0</xdr:row>
          <xdr:rowOff>95250</xdr:rowOff>
        </xdr:from>
        <xdr:to>
          <xdr:col>3</xdr:col>
          <xdr:colOff>1590675</xdr:colOff>
          <xdr:row>2</xdr:row>
          <xdr:rowOff>57150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Page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9525</xdr:colOff>
          <xdr:row>1</xdr:row>
          <xdr:rowOff>19050</xdr:rowOff>
        </xdr:from>
        <xdr:to>
          <xdr:col>1</xdr:col>
          <xdr:colOff>552450</xdr:colOff>
          <xdr:row>3</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500-00000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Page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9525</xdr:colOff>
          <xdr:row>0</xdr:row>
          <xdr:rowOff>133350</xdr:rowOff>
        </xdr:from>
        <xdr:to>
          <xdr:col>0</xdr:col>
          <xdr:colOff>1009650</xdr:colOff>
          <xdr:row>3</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600-000001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Page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22860</xdr:colOff>
      <xdr:row>36</xdr:row>
      <xdr:rowOff>7620</xdr:rowOff>
    </xdr:from>
    <xdr:to>
      <xdr:col>12</xdr:col>
      <xdr:colOff>0</xdr:colOff>
      <xdr:row>60</xdr:row>
      <xdr:rowOff>45720</xdr:rowOff>
    </xdr:to>
    <xdr:graphicFrame macro="">
      <xdr:nvGraphicFramePr>
        <xdr:cNvPr id="1025" name="Chart 1">
          <a:extLst>
            <a:ext uri="{FF2B5EF4-FFF2-40B4-BE49-F238E27FC236}">
              <a16:creationId xmlns:a16="http://schemas.microsoft.com/office/drawing/2014/main" id="{00000000-0008-0000-0700-000001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absolute">
        <xdr:from>
          <xdr:col>9</xdr:col>
          <xdr:colOff>457200</xdr:colOff>
          <xdr:row>0</xdr:row>
          <xdr:rowOff>57150</xdr:rowOff>
        </xdr:from>
        <xdr:to>
          <xdr:col>11</xdr:col>
          <xdr:colOff>257175</xdr:colOff>
          <xdr:row>3</xdr:row>
          <xdr:rowOff>76200</xdr:rowOff>
        </xdr:to>
        <xdr:sp macro="" textlink="">
          <xdr:nvSpPr>
            <xdr:cNvPr id="2" name="Button 1" hidden="1">
              <a:extLst>
                <a:ext uri="{63B3BB69-23CF-44E3-9099-C40C66FF867C}">
                  <a14:compatExt spid="_x0000_s1025"/>
                </a:ext>
                <a:ext uri="{FF2B5EF4-FFF2-40B4-BE49-F238E27FC236}">
                  <a16:creationId xmlns:a16="http://schemas.microsoft.com/office/drawing/2014/main" id="{00000000-0008-0000-0700-00000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Page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38100</xdr:colOff>
          <xdr:row>1</xdr:row>
          <xdr:rowOff>104775</xdr:rowOff>
        </xdr:from>
        <xdr:to>
          <xdr:col>6</xdr:col>
          <xdr:colOff>285750</xdr:colOff>
          <xdr:row>3</xdr:row>
          <xdr:rowOff>95250</xdr:rowOff>
        </xdr:to>
        <xdr:sp macro="" textlink="">
          <xdr:nvSpPr>
            <xdr:cNvPr id="8195" name="Button 3" hidden="1">
              <a:extLst>
                <a:ext uri="{63B3BB69-23CF-44E3-9099-C40C66FF867C}">
                  <a14:compatExt spid="_x0000_s8195"/>
                </a:ext>
                <a:ext uri="{FF2B5EF4-FFF2-40B4-BE49-F238E27FC236}">
                  <a16:creationId xmlns:a16="http://schemas.microsoft.com/office/drawing/2014/main" id="{00000000-0008-0000-0800-000003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Page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absolute">
    <xdr:from>
      <xdr:col>0</xdr:col>
      <xdr:colOff>53010</xdr:colOff>
      <xdr:row>1</xdr:row>
      <xdr:rowOff>28489</xdr:rowOff>
    </xdr:from>
    <xdr:to>
      <xdr:col>1</xdr:col>
      <xdr:colOff>278296</xdr:colOff>
      <xdr:row>4</xdr:row>
      <xdr:rowOff>4458</xdr:rowOff>
    </xdr:to>
    <xdr:sp macro="[0]!printpl" textlink="">
      <xdr:nvSpPr>
        <xdr:cNvPr id="2" name="TextBox 1">
          <a:extLst>
            <a:ext uri="{FF2B5EF4-FFF2-40B4-BE49-F238E27FC236}">
              <a16:creationId xmlns:a16="http://schemas.microsoft.com/office/drawing/2014/main" id="{00000000-0008-0000-0900-000002000000}"/>
            </a:ext>
          </a:extLst>
        </xdr:cNvPr>
        <xdr:cNvSpPr txBox="1"/>
      </xdr:nvSpPr>
      <xdr:spPr>
        <a:xfrm>
          <a:off x="53010" y="187515"/>
          <a:ext cx="616225" cy="468465"/>
        </a:xfrm>
        <a:prstGeom prst="rect">
          <a:avLst/>
        </a:prstGeom>
        <a:solidFill>
          <a:schemeClr val="tx2">
            <a:lumMod val="40000"/>
            <a:lumOff val="60000"/>
          </a:schemeClr>
        </a:solidFill>
        <a:ln w="31750" cmpd="sng">
          <a:solidFill>
            <a:schemeClr val="accent6">
              <a:lumMod val="7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000" b="1">
              <a:solidFill>
                <a:srgbClr val="FFFF00"/>
              </a:solidFill>
            </a:rPr>
            <a:t>Print</a:t>
          </a:r>
          <a:br>
            <a:rPr lang="en-US" sz="1000" b="1">
              <a:solidFill>
                <a:srgbClr val="FFFF00"/>
              </a:solidFill>
            </a:rPr>
          </a:br>
          <a:r>
            <a:rPr lang="en-US" sz="1000" b="1">
              <a:solidFill>
                <a:srgbClr val="FFFF00"/>
              </a:solidFill>
            </a:rPr>
            <a:t>P&amp;L</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xdr:from>
      <xdr:col>0</xdr:col>
      <xdr:colOff>114300</xdr:colOff>
      <xdr:row>1</xdr:row>
      <xdr:rowOff>22860</xdr:rowOff>
    </xdr:from>
    <xdr:to>
      <xdr:col>10</xdr:col>
      <xdr:colOff>358140</xdr:colOff>
      <xdr:row>24</xdr:row>
      <xdr:rowOff>152400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129540</xdr:colOff>
      <xdr:row>27</xdr:row>
      <xdr:rowOff>106680</xdr:rowOff>
    </xdr:from>
    <xdr:to>
      <xdr:col>10</xdr:col>
      <xdr:colOff>388620</xdr:colOff>
      <xdr:row>53</xdr:row>
      <xdr:rowOff>99060</xdr:rowOff>
    </xdr:to>
    <xdr:graphicFrame macro="">
      <xdr:nvGraphicFramePr>
        <xdr:cNvPr id="4" name="Chart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91440</xdr:colOff>
      <xdr:row>54</xdr:row>
      <xdr:rowOff>38100</xdr:rowOff>
    </xdr:from>
    <xdr:to>
      <xdr:col>10</xdr:col>
      <xdr:colOff>358140</xdr:colOff>
      <xdr:row>70</xdr:row>
      <xdr:rowOff>99060</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0</xdr:colOff>
      <xdr:row>30</xdr:row>
      <xdr:rowOff>0</xdr:rowOff>
    </xdr:from>
    <xdr:to>
      <xdr:col>19</xdr:col>
      <xdr:colOff>304800</xdr:colOff>
      <xdr:row>46</xdr:row>
      <xdr:rowOff>60960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30480</xdr:colOff>
      <xdr:row>0</xdr:row>
      <xdr:rowOff>76200</xdr:rowOff>
    </xdr:from>
    <xdr:to>
      <xdr:col>5</xdr:col>
      <xdr:colOff>175260</xdr:colOff>
      <xdr:row>16</xdr:row>
      <xdr:rowOff>22860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586740</xdr:colOff>
      <xdr:row>1</xdr:row>
      <xdr:rowOff>53340</xdr:rowOff>
    </xdr:from>
    <xdr:to>
      <xdr:col>9</xdr:col>
      <xdr:colOff>708660</xdr:colOff>
      <xdr:row>18</xdr:row>
      <xdr:rowOff>76200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4</xdr:col>
      <xdr:colOff>220980</xdr:colOff>
      <xdr:row>0</xdr:row>
      <xdr:rowOff>22860</xdr:rowOff>
    </xdr:from>
    <xdr:to>
      <xdr:col>5</xdr:col>
      <xdr:colOff>335280</xdr:colOff>
      <xdr:row>6</xdr:row>
      <xdr:rowOff>137160</xdr:rowOff>
    </xdr:to>
    <xdr:sp macro="[0]!printpl" textlink="">
      <xdr:nvSpPr>
        <xdr:cNvPr id="2" name="TextBox 1">
          <a:extLst>
            <a:ext uri="{FF2B5EF4-FFF2-40B4-BE49-F238E27FC236}">
              <a16:creationId xmlns:a16="http://schemas.microsoft.com/office/drawing/2014/main" id="{00000000-0008-0000-0C00-000002000000}"/>
            </a:ext>
          </a:extLst>
        </xdr:cNvPr>
        <xdr:cNvSpPr txBox="1"/>
      </xdr:nvSpPr>
      <xdr:spPr>
        <a:xfrm>
          <a:off x="4838700" y="22860"/>
          <a:ext cx="853440" cy="449580"/>
        </a:xfrm>
        <a:prstGeom prst="rect">
          <a:avLst/>
        </a:prstGeom>
        <a:solidFill>
          <a:schemeClr val="accent1">
            <a:lumMod val="40000"/>
            <a:lumOff val="60000"/>
          </a:schemeClr>
        </a:solidFill>
        <a:ln w="34925" cmpd="sng">
          <a:solidFill>
            <a:schemeClr val="accent6">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t"/>
        <a:lstStyle/>
        <a:p>
          <a:pPr algn="ctr"/>
          <a:r>
            <a:rPr lang="en-US" sz="1100"/>
            <a:t>Print</a:t>
          </a:r>
          <a:r>
            <a:rPr lang="en-US" sz="1100" baseline="0"/>
            <a:t> Balance Sheet</a:t>
          </a:r>
          <a:endParaRPr lang="en-US" sz="1100"/>
        </a:p>
      </xdr:txBody>
    </xdr:sp>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W:\Asian%20Market\Financials\Asian%20International%20Market%20l.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Versions"/>
      <sheetName val="Notes"/>
      <sheetName val="P&amp;L"/>
      <sheetName val="Cash Flow"/>
      <sheetName val="Balance"/>
      <sheetName val="Sources Uses"/>
      <sheetName val="Personnel"/>
      <sheetName val="Sales Forecast"/>
      <sheetName val="Equipment List"/>
      <sheetName val="Facility"/>
      <sheetName val="Financials"/>
      <sheetName val="Break-even"/>
      <sheetName val="Market"/>
      <sheetName val="Assumptions"/>
      <sheetName val="Start-up"/>
      <sheetName val="Funding"/>
      <sheetName val="Loan Assumptions"/>
      <sheetName val="Past"/>
      <sheetName val="Sources and Uses"/>
      <sheetName val="Inventory Detail"/>
      <sheetName val="Payment Detail"/>
      <sheetName val="Receivables Detail"/>
      <sheetName val="Milestones"/>
      <sheetName val="Long term"/>
      <sheetName val="Investment Analysis"/>
      <sheetName val="Use of Funds"/>
      <sheetName val="Payback"/>
      <sheetName val="Investment Offering"/>
      <sheetName val="Benchmarks"/>
      <sheetName val="Ratios"/>
      <sheetName val="Personal Net Worth"/>
      <sheetName val="Personal Net Worth (2)"/>
      <sheetName val="Logistics"/>
      <sheetName val="userdefinedinfo"/>
    </sheetNames>
    <sheetDataSet>
      <sheetData sheetId="0"/>
      <sheetData sheetId="1"/>
      <sheetData sheetId="2"/>
      <sheetData sheetId="3">
        <row r="36">
          <cell r="A36" t="str">
            <v>Depreciation</v>
          </cell>
          <cell r="B36">
            <v>15</v>
          </cell>
          <cell r="C36">
            <v>1025</v>
          </cell>
          <cell r="D36">
            <v>1025</v>
          </cell>
          <cell r="E36">
            <v>1025</v>
          </cell>
          <cell r="F36">
            <v>1025</v>
          </cell>
          <cell r="G36">
            <v>1025</v>
          </cell>
          <cell r="H36">
            <v>1025</v>
          </cell>
          <cell r="I36">
            <v>1025</v>
          </cell>
          <cell r="J36">
            <v>1025</v>
          </cell>
          <cell r="K36">
            <v>1025</v>
          </cell>
          <cell r="L36">
            <v>1025</v>
          </cell>
          <cell r="M36">
            <v>1025</v>
          </cell>
          <cell r="N36">
            <v>1025</v>
          </cell>
          <cell r="O36">
            <v>12300</v>
          </cell>
          <cell r="P36">
            <v>15</v>
          </cell>
          <cell r="Q36">
            <v>1025</v>
          </cell>
          <cell r="R36">
            <v>1025</v>
          </cell>
          <cell r="S36">
            <v>1025</v>
          </cell>
          <cell r="T36">
            <v>1025</v>
          </cell>
          <cell r="U36">
            <v>1025</v>
          </cell>
          <cell r="V36">
            <v>1025</v>
          </cell>
          <cell r="W36">
            <v>1025</v>
          </cell>
          <cell r="X36">
            <v>1025</v>
          </cell>
          <cell r="Y36">
            <v>1025</v>
          </cell>
          <cell r="Z36">
            <v>1025</v>
          </cell>
          <cell r="AA36">
            <v>1025</v>
          </cell>
          <cell r="AB36">
            <v>1025</v>
          </cell>
          <cell r="AC36">
            <v>12300</v>
          </cell>
          <cell r="AD36">
            <v>0</v>
          </cell>
          <cell r="AE36">
            <v>12300</v>
          </cell>
          <cell r="AF36">
            <v>12300</v>
          </cell>
          <cell r="AG36">
            <v>12300</v>
          </cell>
        </row>
        <row r="94">
          <cell r="A94" t="str">
            <v>Net Profit</v>
          </cell>
          <cell r="C94">
            <v>2904.7351666666673</v>
          </cell>
          <cell r="D94">
            <v>-2177.73305975515</v>
          </cell>
          <cell r="E94">
            <v>-2629.3722903673224</v>
          </cell>
          <cell r="F94">
            <v>-3174.7206586078901</v>
          </cell>
          <cell r="G94">
            <v>-2536.7842856322368</v>
          </cell>
          <cell r="H94">
            <v>-3081.5452802302898</v>
          </cell>
          <cell r="I94">
            <v>-2443.0177387441126</v>
          </cell>
          <cell r="J94">
            <v>-2474.8544116506691</v>
          </cell>
          <cell r="K94">
            <v>-3082.0533701447603</v>
          </cell>
          <cell r="L94">
            <v>-2521.7913393877516</v>
          </cell>
          <cell r="M94">
            <v>-3144.2170317554373</v>
          </cell>
          <cell r="N94">
            <v>-2567.5111467527258</v>
          </cell>
          <cell r="O94">
            <v>-26928.865446361684</v>
          </cell>
          <cell r="Q94">
            <v>11480.008295739841</v>
          </cell>
          <cell r="R94">
            <v>8971.2230822108395</v>
          </cell>
          <cell r="S94">
            <v>11576.287434682123</v>
          </cell>
          <cell r="T94">
            <v>10985.694334942957</v>
          </cell>
          <cell r="U94">
            <v>11673.796777877567</v>
          </cell>
          <cell r="V94">
            <v>11083.824771553334</v>
          </cell>
          <cell r="W94">
            <v>11769.65380298427</v>
          </cell>
          <cell r="X94">
            <v>11816.210318081481</v>
          </cell>
          <cell r="Y94">
            <v>11223.499624641563</v>
          </cell>
          <cell r="Z94">
            <v>11909.105964732316</v>
          </cell>
          <cell r="AA94">
            <v>11316.262515918059</v>
          </cell>
          <cell r="AB94">
            <v>12001.746392465169</v>
          </cell>
          <cell r="AC94">
            <v>135807.31331582952</v>
          </cell>
          <cell r="AD94">
            <v>2131.3822382151275</v>
          </cell>
          <cell r="AE94">
            <v>131516.5928878712</v>
          </cell>
          <cell r="AF94">
            <v>170069.05974528188</v>
          </cell>
          <cell r="AG94">
            <v>211575.47363304306</v>
          </cell>
        </row>
      </sheetData>
      <sheetData sheetId="4">
        <row r="13">
          <cell r="A13" t="str">
            <v>Sales Tax, VAT, HST/GST Received</v>
          </cell>
          <cell r="B13">
            <v>5.6000000000000001E-2</v>
          </cell>
          <cell r="C13">
            <v>2956.8</v>
          </cell>
          <cell r="D13">
            <v>2464</v>
          </cell>
          <cell r="E13">
            <v>2464.0000000000005</v>
          </cell>
          <cell r="F13">
            <v>2408</v>
          </cell>
          <cell r="G13">
            <v>2464.0000000000005</v>
          </cell>
          <cell r="H13">
            <v>2408</v>
          </cell>
          <cell r="I13">
            <v>2464.0000000000005</v>
          </cell>
          <cell r="J13">
            <v>2464.0000000000005</v>
          </cell>
          <cell r="K13">
            <v>2408</v>
          </cell>
          <cell r="L13">
            <v>2464.0000000000005</v>
          </cell>
          <cell r="M13">
            <v>2408</v>
          </cell>
          <cell r="N13">
            <v>2464.0000000000005</v>
          </cell>
          <cell r="O13">
            <v>29836.800000000003</v>
          </cell>
          <cell r="Q13">
            <v>2956.8</v>
          </cell>
          <cell r="R13">
            <v>2688</v>
          </cell>
          <cell r="S13">
            <v>2956.8</v>
          </cell>
          <cell r="T13">
            <v>2889.6</v>
          </cell>
          <cell r="U13">
            <v>2956.8</v>
          </cell>
          <cell r="V13">
            <v>2889.6</v>
          </cell>
          <cell r="W13">
            <v>2956.8</v>
          </cell>
          <cell r="X13">
            <v>2956.8</v>
          </cell>
          <cell r="Y13">
            <v>2889.6</v>
          </cell>
          <cell r="Z13">
            <v>2956.8</v>
          </cell>
          <cell r="AA13">
            <v>2889.6</v>
          </cell>
          <cell r="AB13">
            <v>2956.8</v>
          </cell>
          <cell r="AC13">
            <v>34943.999999999993</v>
          </cell>
          <cell r="AD13">
            <v>0</v>
          </cell>
          <cell r="AE13">
            <v>40185.599999999999</v>
          </cell>
          <cell r="AF13">
            <v>44204.160000000003</v>
          </cell>
          <cell r="AG13">
            <v>48624.576000000008</v>
          </cell>
        </row>
        <row r="14">
          <cell r="A14" t="str">
            <v>New Current Borrowing</v>
          </cell>
          <cell r="C14">
            <v>0</v>
          </cell>
          <cell r="D14">
            <v>0</v>
          </cell>
          <cell r="E14">
            <v>0</v>
          </cell>
          <cell r="F14">
            <v>0</v>
          </cell>
          <cell r="G14">
            <v>0</v>
          </cell>
          <cell r="H14">
            <v>0</v>
          </cell>
          <cell r="I14">
            <v>0</v>
          </cell>
          <cell r="J14">
            <v>10000</v>
          </cell>
          <cell r="K14">
            <v>8000</v>
          </cell>
          <cell r="L14">
            <v>10000</v>
          </cell>
          <cell r="M14">
            <v>10000</v>
          </cell>
          <cell r="N14">
            <v>8000</v>
          </cell>
          <cell r="O14">
            <v>46000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row>
        <row r="15">
          <cell r="A15" t="str">
            <v>New Other Liabilities (interest-free)</v>
          </cell>
          <cell r="C15">
            <v>0</v>
          </cell>
          <cell r="D15">
            <v>0</v>
          </cell>
          <cell r="E15">
            <v>0</v>
          </cell>
          <cell r="F15">
            <v>0</v>
          </cell>
          <cell r="G15">
            <v>0</v>
          </cell>
          <cell r="H15">
            <v>0</v>
          </cell>
          <cell r="I15">
            <v>0</v>
          </cell>
          <cell r="J15">
            <v>0</v>
          </cell>
          <cell r="K15">
            <v>0</v>
          </cell>
          <cell r="L15">
            <v>0</v>
          </cell>
          <cell r="M15">
            <v>0</v>
          </cell>
          <cell r="N15">
            <v>0</v>
          </cell>
          <cell r="O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row>
        <row r="16">
          <cell r="A16" t="str">
            <v>New Long-term Liabilities</v>
          </cell>
          <cell r="B16"/>
          <cell r="C16">
            <v>0</v>
          </cell>
          <cell r="D16">
            <v>0</v>
          </cell>
          <cell r="E16">
            <v>0</v>
          </cell>
          <cell r="F16">
            <v>0</v>
          </cell>
          <cell r="G16">
            <v>0</v>
          </cell>
          <cell r="H16">
            <v>0</v>
          </cell>
          <cell r="I16">
            <v>0</v>
          </cell>
          <cell r="J16">
            <v>0</v>
          </cell>
          <cell r="K16">
            <v>0</v>
          </cell>
          <cell r="L16">
            <v>0</v>
          </cell>
          <cell r="M16">
            <v>0</v>
          </cell>
          <cell r="N16">
            <v>0</v>
          </cell>
          <cell r="O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row>
        <row r="17">
          <cell r="A17" t="str">
            <v>Sales of Other Current Assets</v>
          </cell>
          <cell r="B17"/>
          <cell r="C17">
            <v>0</v>
          </cell>
          <cell r="D17">
            <v>0</v>
          </cell>
          <cell r="E17">
            <v>0</v>
          </cell>
          <cell r="F17">
            <v>0</v>
          </cell>
          <cell r="G17">
            <v>0</v>
          </cell>
          <cell r="H17">
            <v>0</v>
          </cell>
          <cell r="I17">
            <v>0</v>
          </cell>
          <cell r="J17">
            <v>0</v>
          </cell>
          <cell r="K17">
            <v>0</v>
          </cell>
          <cell r="L17">
            <v>0</v>
          </cell>
          <cell r="M17">
            <v>0</v>
          </cell>
          <cell r="N17">
            <v>0</v>
          </cell>
          <cell r="O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row>
        <row r="18">
          <cell r="A18" t="str">
            <v>Sales of Long-term Assets</v>
          </cell>
          <cell r="B18"/>
          <cell r="C18">
            <v>0</v>
          </cell>
          <cell r="D18">
            <v>0</v>
          </cell>
          <cell r="E18">
            <v>0</v>
          </cell>
          <cell r="F18">
            <v>0</v>
          </cell>
          <cell r="G18">
            <v>0</v>
          </cell>
          <cell r="H18">
            <v>0</v>
          </cell>
          <cell r="I18">
            <v>0</v>
          </cell>
          <cell r="J18">
            <v>0</v>
          </cell>
          <cell r="K18">
            <v>0</v>
          </cell>
          <cell r="L18">
            <v>0</v>
          </cell>
          <cell r="M18">
            <v>0</v>
          </cell>
          <cell r="N18">
            <v>0</v>
          </cell>
          <cell r="O18">
            <v>0</v>
          </cell>
          <cell r="Q18">
            <v>0</v>
          </cell>
          <cell r="R18">
            <v>0</v>
          </cell>
          <cell r="S18">
            <v>0</v>
          </cell>
          <cell r="T18">
            <v>0</v>
          </cell>
          <cell r="U18">
            <v>0</v>
          </cell>
          <cell r="V18">
            <v>0</v>
          </cell>
          <cell r="W18">
            <v>0</v>
          </cell>
          <cell r="X18">
            <v>0</v>
          </cell>
          <cell r="Y18">
            <v>0</v>
          </cell>
          <cell r="Z18">
            <v>0</v>
          </cell>
          <cell r="AA18">
            <v>0</v>
          </cell>
          <cell r="AB18">
            <v>0</v>
          </cell>
          <cell r="AC18">
            <v>0</v>
          </cell>
          <cell r="AD18">
            <v>0</v>
          </cell>
          <cell r="AE18">
            <v>0</v>
          </cell>
          <cell r="AF18">
            <v>0</v>
          </cell>
          <cell r="AG18">
            <v>0</v>
          </cell>
        </row>
        <row r="19">
          <cell r="A19" t="str">
            <v>New Investment Received</v>
          </cell>
          <cell r="B19"/>
          <cell r="C19">
            <v>0</v>
          </cell>
          <cell r="D19">
            <v>0</v>
          </cell>
          <cell r="E19">
            <v>0</v>
          </cell>
          <cell r="F19">
            <v>0</v>
          </cell>
          <cell r="G19">
            <v>2000</v>
          </cell>
          <cell r="H19">
            <v>0</v>
          </cell>
          <cell r="I19">
            <v>0</v>
          </cell>
          <cell r="J19">
            <v>0</v>
          </cell>
          <cell r="K19">
            <v>0</v>
          </cell>
          <cell r="L19">
            <v>0</v>
          </cell>
          <cell r="M19">
            <v>0</v>
          </cell>
          <cell r="N19">
            <v>0</v>
          </cell>
          <cell r="O19">
            <v>2000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row>
        <row r="31">
          <cell r="A31" t="str">
            <v>Sales Tax, VAT, HST/GST Paid Out</v>
          </cell>
          <cell r="C31">
            <v>2956.8</v>
          </cell>
          <cell r="D31">
            <v>2464</v>
          </cell>
          <cell r="E31">
            <v>2464.0000000000005</v>
          </cell>
          <cell r="F31">
            <v>2408</v>
          </cell>
          <cell r="G31">
            <v>2464.0000000000005</v>
          </cell>
          <cell r="H31">
            <v>2408</v>
          </cell>
          <cell r="I31">
            <v>2464.0000000000005</v>
          </cell>
          <cell r="J31">
            <v>2464.0000000000005</v>
          </cell>
          <cell r="K31">
            <v>2408</v>
          </cell>
          <cell r="L31">
            <v>2464.0000000000005</v>
          </cell>
          <cell r="M31">
            <v>2408</v>
          </cell>
          <cell r="N31">
            <v>2464.0000000000005</v>
          </cell>
          <cell r="O31">
            <v>29836.800000000003</v>
          </cell>
          <cell r="Q31">
            <v>2956.8</v>
          </cell>
          <cell r="R31">
            <v>2688</v>
          </cell>
          <cell r="S31">
            <v>2956.8</v>
          </cell>
          <cell r="T31">
            <v>2889.6</v>
          </cell>
          <cell r="U31">
            <v>2956.8</v>
          </cell>
          <cell r="V31">
            <v>2889.6</v>
          </cell>
          <cell r="W31">
            <v>2956.8</v>
          </cell>
          <cell r="X31">
            <v>2956.8</v>
          </cell>
          <cell r="Y31">
            <v>2889.6</v>
          </cell>
          <cell r="Z31">
            <v>2956.8</v>
          </cell>
          <cell r="AA31">
            <v>2889.6</v>
          </cell>
          <cell r="AB31">
            <v>2956.8</v>
          </cell>
          <cell r="AC31">
            <v>34943.999999999993</v>
          </cell>
          <cell r="AD31">
            <v>0</v>
          </cell>
          <cell r="AE31">
            <v>40185.599999999999</v>
          </cell>
          <cell r="AF31">
            <v>44204.160000000003</v>
          </cell>
          <cell r="AG31">
            <v>48624.576000000008</v>
          </cell>
        </row>
        <row r="32">
          <cell r="A32" t="str">
            <v>Principal Repayment of Current Borrowing</v>
          </cell>
          <cell r="C32">
            <v>0</v>
          </cell>
          <cell r="D32">
            <v>0</v>
          </cell>
          <cell r="E32">
            <v>0</v>
          </cell>
          <cell r="F32">
            <v>0</v>
          </cell>
          <cell r="G32">
            <v>0</v>
          </cell>
          <cell r="H32">
            <v>0</v>
          </cell>
          <cell r="I32">
            <v>0</v>
          </cell>
          <cell r="J32">
            <v>0</v>
          </cell>
          <cell r="K32">
            <v>0</v>
          </cell>
          <cell r="L32">
            <v>0</v>
          </cell>
          <cell r="M32">
            <v>0</v>
          </cell>
          <cell r="N32">
            <v>0</v>
          </cell>
          <cell r="O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row>
        <row r="33">
          <cell r="A33" t="str">
            <v>Other Liabilities Principal Repayment</v>
          </cell>
          <cell r="C33">
            <v>0</v>
          </cell>
          <cell r="D33">
            <v>0</v>
          </cell>
          <cell r="E33">
            <v>0</v>
          </cell>
          <cell r="F33">
            <v>0</v>
          </cell>
          <cell r="G33">
            <v>0</v>
          </cell>
          <cell r="H33">
            <v>0</v>
          </cell>
          <cell r="I33">
            <v>0</v>
          </cell>
          <cell r="J33">
            <v>0</v>
          </cell>
          <cell r="K33">
            <v>0</v>
          </cell>
          <cell r="L33">
            <v>0</v>
          </cell>
          <cell r="M33">
            <v>0</v>
          </cell>
          <cell r="N33">
            <v>0</v>
          </cell>
          <cell r="O33">
            <v>0</v>
          </cell>
          <cell r="Q33">
            <v>0</v>
          </cell>
          <cell r="R33">
            <v>0</v>
          </cell>
          <cell r="S33">
            <v>0</v>
          </cell>
          <cell r="T33">
            <v>0</v>
          </cell>
          <cell r="U33">
            <v>0</v>
          </cell>
          <cell r="V33">
            <v>0</v>
          </cell>
          <cell r="W33">
            <v>0</v>
          </cell>
          <cell r="X33">
            <v>0</v>
          </cell>
          <cell r="Y33">
            <v>0</v>
          </cell>
          <cell r="Z33">
            <v>0</v>
          </cell>
          <cell r="AA33">
            <v>0</v>
          </cell>
          <cell r="AB33">
            <v>0</v>
          </cell>
          <cell r="AC33">
            <v>0</v>
          </cell>
          <cell r="AD33">
            <v>0</v>
          </cell>
          <cell r="AE33">
            <v>0</v>
          </cell>
          <cell r="AF33">
            <v>0</v>
          </cell>
          <cell r="AG33">
            <v>0</v>
          </cell>
        </row>
        <row r="34">
          <cell r="A34" t="str">
            <v>Long-term Liabilities Principal Repayment</v>
          </cell>
          <cell r="C34">
            <v>7309.4320073531999</v>
          </cell>
          <cell r="D34">
            <v>7354.9997809313736</v>
          </cell>
          <cell r="E34">
            <v>7400.8565503192303</v>
          </cell>
          <cell r="F34">
            <v>7447.0041820786328</v>
          </cell>
          <cell r="G34">
            <v>7493.4445550543169</v>
          </cell>
          <cell r="H34">
            <v>7540.179560456234</v>
          </cell>
          <cell r="I34">
            <v>7587.2111019424401</v>
          </cell>
          <cell r="J34">
            <v>7634.5410957025506</v>
          </cell>
          <cell r="K34">
            <v>7682.1714705417644</v>
          </cell>
          <cell r="L34">
            <v>7730.1041679654682</v>
          </cell>
          <cell r="M34">
            <v>7778.3411422644194</v>
          </cell>
          <cell r="N34">
            <v>7826.8843606004957</v>
          </cell>
          <cell r="O34">
            <v>90785.169975210127</v>
          </cell>
          <cell r="Q34">
            <v>7668.4052133685573</v>
          </cell>
          <cell r="R34">
            <v>7716.3919998395504</v>
          </cell>
          <cell r="S34">
            <v>7764.68435231084</v>
          </cell>
          <cell r="T34">
            <v>7813.2842525716687</v>
          </cell>
          <cell r="U34">
            <v>7862.1936955062847</v>
          </cell>
          <cell r="V34">
            <v>7524.9434458244959</v>
          </cell>
          <cell r="W34">
            <v>7521.7949296512124</v>
          </cell>
          <cell r="X34">
            <v>7519.3966396042724</v>
          </cell>
          <cell r="Y34">
            <v>7517.7400544392676</v>
          </cell>
          <cell r="Z34">
            <v>7516.816817667026</v>
          </cell>
          <cell r="AA34">
            <v>7516.6187349374832</v>
          </cell>
          <cell r="AB34">
            <v>7517.1377714679047</v>
          </cell>
          <cell r="AC34">
            <v>91459.407907188564</v>
          </cell>
          <cell r="AD34">
            <v>0</v>
          </cell>
          <cell r="AE34">
            <v>87372.729858914958</v>
          </cell>
          <cell r="AF34">
            <v>88113.310001424979</v>
          </cell>
          <cell r="AG34">
            <v>90425.031625607066</v>
          </cell>
        </row>
        <row r="35">
          <cell r="A35" t="str">
            <v>Purchase Other Current Assets</v>
          </cell>
          <cell r="C35">
            <v>0</v>
          </cell>
          <cell r="D35">
            <v>0</v>
          </cell>
          <cell r="E35">
            <v>0</v>
          </cell>
          <cell r="F35">
            <v>0</v>
          </cell>
          <cell r="G35">
            <v>0</v>
          </cell>
          <cell r="H35">
            <v>0</v>
          </cell>
          <cell r="I35">
            <v>0</v>
          </cell>
          <cell r="J35">
            <v>0</v>
          </cell>
          <cell r="K35">
            <v>0</v>
          </cell>
          <cell r="L35">
            <v>0</v>
          </cell>
          <cell r="M35">
            <v>0</v>
          </cell>
          <cell r="N35">
            <v>0</v>
          </cell>
          <cell r="O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row>
        <row r="36">
          <cell r="A36" t="str">
            <v>Purchase Long-term Assets</v>
          </cell>
          <cell r="C36">
            <v>0</v>
          </cell>
          <cell r="D36">
            <v>0</v>
          </cell>
          <cell r="E36">
            <v>0</v>
          </cell>
          <cell r="F36">
            <v>0</v>
          </cell>
          <cell r="G36">
            <v>0</v>
          </cell>
          <cell r="H36">
            <v>0</v>
          </cell>
          <cell r="I36">
            <v>0</v>
          </cell>
          <cell r="J36">
            <v>0</v>
          </cell>
          <cell r="K36">
            <v>0</v>
          </cell>
          <cell r="L36">
            <v>0</v>
          </cell>
          <cell r="M36">
            <v>0</v>
          </cell>
          <cell r="N36">
            <v>0</v>
          </cell>
          <cell r="O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row>
        <row r="37">
          <cell r="A37" t="str">
            <v>Distributions(est. S Corp Taxes)</v>
          </cell>
          <cell r="B37"/>
          <cell r="C37">
            <v>0</v>
          </cell>
          <cell r="D37">
            <v>0</v>
          </cell>
          <cell r="E37">
            <v>0</v>
          </cell>
          <cell r="F37">
            <v>0</v>
          </cell>
          <cell r="G37">
            <v>0</v>
          </cell>
          <cell r="H37">
            <v>0</v>
          </cell>
          <cell r="I37">
            <v>0</v>
          </cell>
          <cell r="J37">
            <v>0</v>
          </cell>
          <cell r="K37">
            <v>0</v>
          </cell>
          <cell r="L37">
            <v>0</v>
          </cell>
          <cell r="M37">
            <v>0</v>
          </cell>
          <cell r="N37">
            <v>0</v>
          </cell>
          <cell r="O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row>
      </sheetData>
      <sheetData sheetId="5"/>
      <sheetData sheetId="6"/>
      <sheetData sheetId="7"/>
      <sheetData sheetId="8"/>
      <sheetData sheetId="9"/>
      <sheetData sheetId="10"/>
      <sheetData sheetId="11"/>
      <sheetData sheetId="12"/>
      <sheetData sheetId="13"/>
      <sheetData sheetId="14"/>
      <sheetData sheetId="15">
        <row r="19">
          <cell r="B19">
            <v>0</v>
          </cell>
        </row>
        <row r="20">
          <cell r="B20">
            <v>0</v>
          </cell>
        </row>
        <row r="21">
          <cell r="B21">
            <v>1625150</v>
          </cell>
        </row>
      </sheetData>
      <sheetData sheetId="16">
        <row r="11">
          <cell r="B11">
            <v>0</v>
          </cell>
        </row>
        <row r="18">
          <cell r="B18">
            <v>1168</v>
          </cell>
        </row>
        <row r="19">
          <cell r="B19">
            <v>1334715</v>
          </cell>
        </row>
        <row r="21">
          <cell r="B21">
            <v>0</v>
          </cell>
        </row>
        <row r="30">
          <cell r="B30">
            <v>289267</v>
          </cell>
        </row>
      </sheetData>
      <sheetData sheetId="17"/>
      <sheetData sheetId="18">
        <row r="14">
          <cell r="D14">
            <v>35000</v>
          </cell>
        </row>
        <row r="15">
          <cell r="D15">
            <v>0</v>
          </cell>
        </row>
        <row r="16">
          <cell r="D16">
            <v>60000</v>
          </cell>
        </row>
        <row r="17">
          <cell r="D17">
            <v>0</v>
          </cell>
        </row>
        <row r="21">
          <cell r="D21">
            <v>184500</v>
          </cell>
        </row>
        <row r="22">
          <cell r="D22">
            <v>125450</v>
          </cell>
        </row>
        <row r="28">
          <cell r="D28">
            <v>0</v>
          </cell>
        </row>
        <row r="29">
          <cell r="D29">
            <v>370</v>
          </cell>
        </row>
        <row r="30">
          <cell r="D30">
            <v>0</v>
          </cell>
        </row>
        <row r="33">
          <cell r="D33">
            <v>0</v>
          </cell>
        </row>
        <row r="36">
          <cell r="D36">
            <v>47000</v>
          </cell>
        </row>
        <row r="38">
          <cell r="D38">
            <v>70000</v>
          </cell>
        </row>
      </sheetData>
      <sheetData sheetId="19"/>
      <sheetData sheetId="20">
        <row r="11">
          <cell r="A11" t="str">
            <v>Ending Inventory Balance</v>
          </cell>
          <cell r="C11">
            <v>118002.5</v>
          </cell>
          <cell r="D11">
            <v>99005</v>
          </cell>
          <cell r="E11">
            <v>97812.000000000015</v>
          </cell>
          <cell r="F11">
            <v>95589</v>
          </cell>
          <cell r="G11">
            <v>97812.000000000015</v>
          </cell>
          <cell r="H11">
            <v>95589</v>
          </cell>
          <cell r="I11">
            <v>97812.000000000015</v>
          </cell>
          <cell r="J11">
            <v>97812.000000000015</v>
          </cell>
          <cell r="K11">
            <v>95589</v>
          </cell>
          <cell r="L11">
            <v>97812.000000000015</v>
          </cell>
          <cell r="M11">
            <v>95589</v>
          </cell>
          <cell r="N11">
            <v>97812.000000000015</v>
          </cell>
          <cell r="O11">
            <v>97812.000000000015</v>
          </cell>
          <cell r="Q11">
            <v>114202</v>
          </cell>
          <cell r="R11">
            <v>103820</v>
          </cell>
          <cell r="S11">
            <v>114202</v>
          </cell>
          <cell r="T11">
            <v>111606.5</v>
          </cell>
          <cell r="U11">
            <v>114202</v>
          </cell>
          <cell r="V11">
            <v>111606.5</v>
          </cell>
          <cell r="W11">
            <v>114202</v>
          </cell>
          <cell r="X11">
            <v>114202</v>
          </cell>
          <cell r="Y11">
            <v>111606.5</v>
          </cell>
          <cell r="Z11">
            <v>114202</v>
          </cell>
          <cell r="AA11">
            <v>111606.5</v>
          </cell>
          <cell r="AB11">
            <v>114202</v>
          </cell>
          <cell r="AC11">
            <v>114202</v>
          </cell>
          <cell r="AD11">
            <v>97812.000000000015</v>
          </cell>
          <cell r="AE11">
            <v>131332.30000000005</v>
          </cell>
          <cell r="AF11">
            <v>144465.53000000003</v>
          </cell>
          <cell r="AG11">
            <v>158912.0830000001</v>
          </cell>
        </row>
      </sheetData>
      <sheetData sheetId="21"/>
      <sheetData sheetId="22">
        <row r="11">
          <cell r="A11" t="str">
            <v>Ending Receivables Balance</v>
          </cell>
          <cell r="C11">
            <v>0</v>
          </cell>
          <cell r="D11">
            <v>0</v>
          </cell>
          <cell r="E11">
            <v>0</v>
          </cell>
          <cell r="F11">
            <v>0</v>
          </cell>
          <cell r="G11">
            <v>0</v>
          </cell>
          <cell r="H11">
            <v>0</v>
          </cell>
          <cell r="I11">
            <v>0</v>
          </cell>
          <cell r="J11">
            <v>0</v>
          </cell>
          <cell r="K11">
            <v>0</v>
          </cell>
          <cell r="L11">
            <v>0</v>
          </cell>
          <cell r="M11">
            <v>0</v>
          </cell>
          <cell r="N11">
            <v>0</v>
          </cell>
          <cell r="O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row>
      </sheetData>
      <sheetData sheetId="23"/>
      <sheetData sheetId="24"/>
      <sheetData sheetId="25"/>
      <sheetData sheetId="26"/>
      <sheetData sheetId="27"/>
      <sheetData sheetId="28"/>
      <sheetData sheetId="29"/>
      <sheetData sheetId="30"/>
      <sheetData sheetId="31"/>
      <sheetData sheetId="32"/>
      <sheetData sheetId="33">
        <row r="12">
          <cell r="B12" t="b">
            <v>0</v>
          </cell>
        </row>
        <row r="14">
          <cell r="B14" t="b">
            <v>0</v>
          </cell>
        </row>
        <row r="15">
          <cell r="B15" t="b">
            <v>1</v>
          </cell>
        </row>
        <row r="16">
          <cell r="B16" t="b">
            <v>1</v>
          </cell>
        </row>
        <row r="17">
          <cell r="B17" t="b">
            <v>1</v>
          </cell>
        </row>
        <row r="19">
          <cell r="B19">
            <v>1</v>
          </cell>
        </row>
        <row r="20">
          <cell r="B20">
            <v>2012</v>
          </cell>
        </row>
        <row r="30">
          <cell r="B30">
            <v>2</v>
          </cell>
        </row>
      </sheetData>
      <sheetData sheetId="3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hyperlink" Target="https://www.wcrb.org/WCRB/classcode/main.asp"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trlProp" Target="../ctrlProps/ctrlProp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trlProp" Target="../ctrlProps/ctrlProp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9.bin"/><Relationship Id="rId5" Type="http://schemas.openxmlformats.org/officeDocument/2006/relationships/comments" Target="../comments1.xml"/><Relationship Id="rId4" Type="http://schemas.openxmlformats.org/officeDocument/2006/relationships/ctrlProp" Target="../ctrlProps/ctrlProp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0.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pageSetUpPr fitToPage="1"/>
  </sheetPr>
  <dimension ref="A1:L60"/>
  <sheetViews>
    <sheetView workbookViewId="0">
      <selection activeCell="A5" sqref="A5"/>
    </sheetView>
  </sheetViews>
  <sheetFormatPr defaultRowHeight="12.75" x14ac:dyDescent="0.2"/>
  <cols>
    <col min="1" max="1" width="37.42578125" customWidth="1"/>
    <col min="2" max="2" width="13" customWidth="1"/>
    <col min="3" max="3" width="15" customWidth="1"/>
    <col min="4" max="4" width="12.85546875" customWidth="1"/>
    <col min="5" max="5" width="15.140625" customWidth="1"/>
    <col min="6" max="6" width="13.7109375" customWidth="1"/>
    <col min="7" max="7" width="16.42578125" customWidth="1"/>
    <col min="8" max="8" width="5.140625" customWidth="1"/>
    <col min="9" max="9" width="13.7109375" customWidth="1"/>
    <col min="257" max="257" width="36.28515625" customWidth="1"/>
    <col min="258" max="258" width="24.7109375" customWidth="1"/>
    <col min="259" max="259" width="26.28515625" customWidth="1"/>
    <col min="260" max="260" width="22.85546875" customWidth="1"/>
    <col min="513" max="513" width="36.28515625" customWidth="1"/>
    <col min="514" max="514" width="24.7109375" customWidth="1"/>
    <col min="515" max="515" width="26.28515625" customWidth="1"/>
    <col min="516" max="516" width="22.85546875" customWidth="1"/>
    <col min="769" max="769" width="36.28515625" customWidth="1"/>
    <col min="770" max="770" width="24.7109375" customWidth="1"/>
    <col min="771" max="771" width="26.28515625" customWidth="1"/>
    <col min="772" max="772" width="22.85546875" customWidth="1"/>
    <col min="1025" max="1025" width="36.28515625" customWidth="1"/>
    <col min="1026" max="1026" width="24.7109375" customWidth="1"/>
    <col min="1027" max="1027" width="26.28515625" customWidth="1"/>
    <col min="1028" max="1028" width="22.85546875" customWidth="1"/>
    <col min="1281" max="1281" width="36.28515625" customWidth="1"/>
    <col min="1282" max="1282" width="24.7109375" customWidth="1"/>
    <col min="1283" max="1283" width="26.28515625" customWidth="1"/>
    <col min="1284" max="1284" width="22.85546875" customWidth="1"/>
    <col min="1537" max="1537" width="36.28515625" customWidth="1"/>
    <col min="1538" max="1538" width="24.7109375" customWidth="1"/>
    <col min="1539" max="1539" width="26.28515625" customWidth="1"/>
    <col min="1540" max="1540" width="22.85546875" customWidth="1"/>
    <col min="1793" max="1793" width="36.28515625" customWidth="1"/>
    <col min="1794" max="1794" width="24.7109375" customWidth="1"/>
    <col min="1795" max="1795" width="26.28515625" customWidth="1"/>
    <col min="1796" max="1796" width="22.85546875" customWidth="1"/>
    <col min="2049" max="2049" width="36.28515625" customWidth="1"/>
    <col min="2050" max="2050" width="24.7109375" customWidth="1"/>
    <col min="2051" max="2051" width="26.28515625" customWidth="1"/>
    <col min="2052" max="2052" width="22.85546875" customWidth="1"/>
    <col min="2305" max="2305" width="36.28515625" customWidth="1"/>
    <col min="2306" max="2306" width="24.7109375" customWidth="1"/>
    <col min="2307" max="2307" width="26.28515625" customWidth="1"/>
    <col min="2308" max="2308" width="22.85546875" customWidth="1"/>
    <col min="2561" max="2561" width="36.28515625" customWidth="1"/>
    <col min="2562" max="2562" width="24.7109375" customWidth="1"/>
    <col min="2563" max="2563" width="26.28515625" customWidth="1"/>
    <col min="2564" max="2564" width="22.85546875" customWidth="1"/>
    <col min="2817" max="2817" width="36.28515625" customWidth="1"/>
    <col min="2818" max="2818" width="24.7109375" customWidth="1"/>
    <col min="2819" max="2819" width="26.28515625" customWidth="1"/>
    <col min="2820" max="2820" width="22.85546875" customWidth="1"/>
    <col min="3073" max="3073" width="36.28515625" customWidth="1"/>
    <col min="3074" max="3074" width="24.7109375" customWidth="1"/>
    <col min="3075" max="3075" width="26.28515625" customWidth="1"/>
    <col min="3076" max="3076" width="22.85546875" customWidth="1"/>
    <col min="3329" max="3329" width="36.28515625" customWidth="1"/>
    <col min="3330" max="3330" width="24.7109375" customWidth="1"/>
    <col min="3331" max="3331" width="26.28515625" customWidth="1"/>
    <col min="3332" max="3332" width="22.85546875" customWidth="1"/>
    <col min="3585" max="3585" width="36.28515625" customWidth="1"/>
    <col min="3586" max="3586" width="24.7109375" customWidth="1"/>
    <col min="3587" max="3587" width="26.28515625" customWidth="1"/>
    <col min="3588" max="3588" width="22.85546875" customWidth="1"/>
    <col min="3841" max="3841" width="36.28515625" customWidth="1"/>
    <col min="3842" max="3842" width="24.7109375" customWidth="1"/>
    <col min="3843" max="3843" width="26.28515625" customWidth="1"/>
    <col min="3844" max="3844" width="22.85546875" customWidth="1"/>
    <col min="4097" max="4097" width="36.28515625" customWidth="1"/>
    <col min="4098" max="4098" width="24.7109375" customWidth="1"/>
    <col min="4099" max="4099" width="26.28515625" customWidth="1"/>
    <col min="4100" max="4100" width="22.85546875" customWidth="1"/>
    <col min="4353" max="4353" width="36.28515625" customWidth="1"/>
    <col min="4354" max="4354" width="24.7109375" customWidth="1"/>
    <col min="4355" max="4355" width="26.28515625" customWidth="1"/>
    <col min="4356" max="4356" width="22.85546875" customWidth="1"/>
    <col min="4609" max="4609" width="36.28515625" customWidth="1"/>
    <col min="4610" max="4610" width="24.7109375" customWidth="1"/>
    <col min="4611" max="4611" width="26.28515625" customWidth="1"/>
    <col min="4612" max="4612" width="22.85546875" customWidth="1"/>
    <col min="4865" max="4865" width="36.28515625" customWidth="1"/>
    <col min="4866" max="4866" width="24.7109375" customWidth="1"/>
    <col min="4867" max="4867" width="26.28515625" customWidth="1"/>
    <col min="4868" max="4868" width="22.85546875" customWidth="1"/>
    <col min="5121" max="5121" width="36.28515625" customWidth="1"/>
    <col min="5122" max="5122" width="24.7109375" customWidth="1"/>
    <col min="5123" max="5123" width="26.28515625" customWidth="1"/>
    <col min="5124" max="5124" width="22.85546875" customWidth="1"/>
    <col min="5377" max="5377" width="36.28515625" customWidth="1"/>
    <col min="5378" max="5378" width="24.7109375" customWidth="1"/>
    <col min="5379" max="5379" width="26.28515625" customWidth="1"/>
    <col min="5380" max="5380" width="22.85546875" customWidth="1"/>
    <col min="5633" max="5633" width="36.28515625" customWidth="1"/>
    <col min="5634" max="5634" width="24.7109375" customWidth="1"/>
    <col min="5635" max="5635" width="26.28515625" customWidth="1"/>
    <col min="5636" max="5636" width="22.85546875" customWidth="1"/>
    <col min="5889" max="5889" width="36.28515625" customWidth="1"/>
    <col min="5890" max="5890" width="24.7109375" customWidth="1"/>
    <col min="5891" max="5891" width="26.28515625" customWidth="1"/>
    <col min="5892" max="5892" width="22.85546875" customWidth="1"/>
    <col min="6145" max="6145" width="36.28515625" customWidth="1"/>
    <col min="6146" max="6146" width="24.7109375" customWidth="1"/>
    <col min="6147" max="6147" width="26.28515625" customWidth="1"/>
    <col min="6148" max="6148" width="22.85546875" customWidth="1"/>
    <col min="6401" max="6401" width="36.28515625" customWidth="1"/>
    <col min="6402" max="6402" width="24.7109375" customWidth="1"/>
    <col min="6403" max="6403" width="26.28515625" customWidth="1"/>
    <col min="6404" max="6404" width="22.85546875" customWidth="1"/>
    <col min="6657" max="6657" width="36.28515625" customWidth="1"/>
    <col min="6658" max="6658" width="24.7109375" customWidth="1"/>
    <col min="6659" max="6659" width="26.28515625" customWidth="1"/>
    <col min="6660" max="6660" width="22.85546875" customWidth="1"/>
    <col min="6913" max="6913" width="36.28515625" customWidth="1"/>
    <col min="6914" max="6914" width="24.7109375" customWidth="1"/>
    <col min="6915" max="6915" width="26.28515625" customWidth="1"/>
    <col min="6916" max="6916" width="22.85546875" customWidth="1"/>
    <col min="7169" max="7169" width="36.28515625" customWidth="1"/>
    <col min="7170" max="7170" width="24.7109375" customWidth="1"/>
    <col min="7171" max="7171" width="26.28515625" customWidth="1"/>
    <col min="7172" max="7172" width="22.85546875" customWidth="1"/>
    <col min="7425" max="7425" width="36.28515625" customWidth="1"/>
    <col min="7426" max="7426" width="24.7109375" customWidth="1"/>
    <col min="7427" max="7427" width="26.28515625" customWidth="1"/>
    <col min="7428" max="7428" width="22.85546875" customWidth="1"/>
    <col min="7681" max="7681" width="36.28515625" customWidth="1"/>
    <col min="7682" max="7682" width="24.7109375" customWidth="1"/>
    <col min="7683" max="7683" width="26.28515625" customWidth="1"/>
    <col min="7684" max="7684" width="22.85546875" customWidth="1"/>
    <col min="7937" max="7937" width="36.28515625" customWidth="1"/>
    <col min="7938" max="7938" width="24.7109375" customWidth="1"/>
    <col min="7939" max="7939" width="26.28515625" customWidth="1"/>
    <col min="7940" max="7940" width="22.85546875" customWidth="1"/>
    <col min="8193" max="8193" width="36.28515625" customWidth="1"/>
    <col min="8194" max="8194" width="24.7109375" customWidth="1"/>
    <col min="8195" max="8195" width="26.28515625" customWidth="1"/>
    <col min="8196" max="8196" width="22.85546875" customWidth="1"/>
    <col min="8449" max="8449" width="36.28515625" customWidth="1"/>
    <col min="8450" max="8450" width="24.7109375" customWidth="1"/>
    <col min="8451" max="8451" width="26.28515625" customWidth="1"/>
    <col min="8452" max="8452" width="22.85546875" customWidth="1"/>
    <col min="8705" max="8705" width="36.28515625" customWidth="1"/>
    <col min="8706" max="8706" width="24.7109375" customWidth="1"/>
    <col min="8707" max="8707" width="26.28515625" customWidth="1"/>
    <col min="8708" max="8708" width="22.85546875" customWidth="1"/>
    <col min="8961" max="8961" width="36.28515625" customWidth="1"/>
    <col min="8962" max="8962" width="24.7109375" customWidth="1"/>
    <col min="8963" max="8963" width="26.28515625" customWidth="1"/>
    <col min="8964" max="8964" width="22.85546875" customWidth="1"/>
    <col min="9217" max="9217" width="36.28515625" customWidth="1"/>
    <col min="9218" max="9218" width="24.7109375" customWidth="1"/>
    <col min="9219" max="9219" width="26.28515625" customWidth="1"/>
    <col min="9220" max="9220" width="22.85546875" customWidth="1"/>
    <col min="9473" max="9473" width="36.28515625" customWidth="1"/>
    <col min="9474" max="9474" width="24.7109375" customWidth="1"/>
    <col min="9475" max="9475" width="26.28515625" customWidth="1"/>
    <col min="9476" max="9476" width="22.85546875" customWidth="1"/>
    <col min="9729" max="9729" width="36.28515625" customWidth="1"/>
    <col min="9730" max="9730" width="24.7109375" customWidth="1"/>
    <col min="9731" max="9731" width="26.28515625" customWidth="1"/>
    <col min="9732" max="9732" width="22.85546875" customWidth="1"/>
    <col min="9985" max="9985" width="36.28515625" customWidth="1"/>
    <col min="9986" max="9986" width="24.7109375" customWidth="1"/>
    <col min="9987" max="9987" width="26.28515625" customWidth="1"/>
    <col min="9988" max="9988" width="22.85546875" customWidth="1"/>
    <col min="10241" max="10241" width="36.28515625" customWidth="1"/>
    <col min="10242" max="10242" width="24.7109375" customWidth="1"/>
    <col min="10243" max="10243" width="26.28515625" customWidth="1"/>
    <col min="10244" max="10244" width="22.85546875" customWidth="1"/>
    <col min="10497" max="10497" width="36.28515625" customWidth="1"/>
    <col min="10498" max="10498" width="24.7109375" customWidth="1"/>
    <col min="10499" max="10499" width="26.28515625" customWidth="1"/>
    <col min="10500" max="10500" width="22.85546875" customWidth="1"/>
    <col min="10753" max="10753" width="36.28515625" customWidth="1"/>
    <col min="10754" max="10754" width="24.7109375" customWidth="1"/>
    <col min="10755" max="10755" width="26.28515625" customWidth="1"/>
    <col min="10756" max="10756" width="22.85546875" customWidth="1"/>
    <col min="11009" max="11009" width="36.28515625" customWidth="1"/>
    <col min="11010" max="11010" width="24.7109375" customWidth="1"/>
    <col min="11011" max="11011" width="26.28515625" customWidth="1"/>
    <col min="11012" max="11012" width="22.85546875" customWidth="1"/>
    <col min="11265" max="11265" width="36.28515625" customWidth="1"/>
    <col min="11266" max="11266" width="24.7109375" customWidth="1"/>
    <col min="11267" max="11267" width="26.28515625" customWidth="1"/>
    <col min="11268" max="11268" width="22.85546875" customWidth="1"/>
    <col min="11521" max="11521" width="36.28515625" customWidth="1"/>
    <col min="11522" max="11522" width="24.7109375" customWidth="1"/>
    <col min="11523" max="11523" width="26.28515625" customWidth="1"/>
    <col min="11524" max="11524" width="22.85546875" customWidth="1"/>
    <col min="11777" max="11777" width="36.28515625" customWidth="1"/>
    <col min="11778" max="11778" width="24.7109375" customWidth="1"/>
    <col min="11779" max="11779" width="26.28515625" customWidth="1"/>
    <col min="11780" max="11780" width="22.85546875" customWidth="1"/>
    <col min="12033" max="12033" width="36.28515625" customWidth="1"/>
    <col min="12034" max="12034" width="24.7109375" customWidth="1"/>
    <col min="12035" max="12035" width="26.28515625" customWidth="1"/>
    <col min="12036" max="12036" width="22.85546875" customWidth="1"/>
    <col min="12289" max="12289" width="36.28515625" customWidth="1"/>
    <col min="12290" max="12290" width="24.7109375" customWidth="1"/>
    <col min="12291" max="12291" width="26.28515625" customWidth="1"/>
    <col min="12292" max="12292" width="22.85546875" customWidth="1"/>
    <col min="12545" max="12545" width="36.28515625" customWidth="1"/>
    <col min="12546" max="12546" width="24.7109375" customWidth="1"/>
    <col min="12547" max="12547" width="26.28515625" customWidth="1"/>
    <col min="12548" max="12548" width="22.85546875" customWidth="1"/>
    <col min="12801" max="12801" width="36.28515625" customWidth="1"/>
    <col min="12802" max="12802" width="24.7109375" customWidth="1"/>
    <col min="12803" max="12803" width="26.28515625" customWidth="1"/>
    <col min="12804" max="12804" width="22.85546875" customWidth="1"/>
    <col min="13057" max="13057" width="36.28515625" customWidth="1"/>
    <col min="13058" max="13058" width="24.7109375" customWidth="1"/>
    <col min="13059" max="13059" width="26.28515625" customWidth="1"/>
    <col min="13060" max="13060" width="22.85546875" customWidth="1"/>
    <col min="13313" max="13313" width="36.28515625" customWidth="1"/>
    <col min="13314" max="13314" width="24.7109375" customWidth="1"/>
    <col min="13315" max="13315" width="26.28515625" customWidth="1"/>
    <col min="13316" max="13316" width="22.85546875" customWidth="1"/>
    <col min="13569" max="13569" width="36.28515625" customWidth="1"/>
    <col min="13570" max="13570" width="24.7109375" customWidth="1"/>
    <col min="13571" max="13571" width="26.28515625" customWidth="1"/>
    <col min="13572" max="13572" width="22.85546875" customWidth="1"/>
    <col min="13825" max="13825" width="36.28515625" customWidth="1"/>
    <col min="13826" max="13826" width="24.7109375" customWidth="1"/>
    <col min="13827" max="13827" width="26.28515625" customWidth="1"/>
    <col min="13828" max="13828" width="22.85546875" customWidth="1"/>
    <col min="14081" max="14081" width="36.28515625" customWidth="1"/>
    <col min="14082" max="14082" width="24.7109375" customWidth="1"/>
    <col min="14083" max="14083" width="26.28515625" customWidth="1"/>
    <col min="14084" max="14084" width="22.85546875" customWidth="1"/>
    <col min="14337" max="14337" width="36.28515625" customWidth="1"/>
    <col min="14338" max="14338" width="24.7109375" customWidth="1"/>
    <col min="14339" max="14339" width="26.28515625" customWidth="1"/>
    <col min="14340" max="14340" width="22.85546875" customWidth="1"/>
    <col min="14593" max="14593" width="36.28515625" customWidth="1"/>
    <col min="14594" max="14594" width="24.7109375" customWidth="1"/>
    <col min="14595" max="14595" width="26.28515625" customWidth="1"/>
    <col min="14596" max="14596" width="22.85546875" customWidth="1"/>
    <col min="14849" max="14849" width="36.28515625" customWidth="1"/>
    <col min="14850" max="14850" width="24.7109375" customWidth="1"/>
    <col min="14851" max="14851" width="26.28515625" customWidth="1"/>
    <col min="14852" max="14852" width="22.85546875" customWidth="1"/>
    <col min="15105" max="15105" width="36.28515625" customWidth="1"/>
    <col min="15106" max="15106" width="24.7109375" customWidth="1"/>
    <col min="15107" max="15107" width="26.28515625" customWidth="1"/>
    <col min="15108" max="15108" width="22.85546875" customWidth="1"/>
    <col min="15361" max="15361" width="36.28515625" customWidth="1"/>
    <col min="15362" max="15362" width="24.7109375" customWidth="1"/>
    <col min="15363" max="15363" width="26.28515625" customWidth="1"/>
    <col min="15364" max="15364" width="22.85546875" customWidth="1"/>
    <col min="15617" max="15617" width="36.28515625" customWidth="1"/>
    <col min="15618" max="15618" width="24.7109375" customWidth="1"/>
    <col min="15619" max="15619" width="26.28515625" customWidth="1"/>
    <col min="15620" max="15620" width="22.85546875" customWidth="1"/>
    <col min="15873" max="15873" width="36.28515625" customWidth="1"/>
    <col min="15874" max="15874" width="24.7109375" customWidth="1"/>
    <col min="15875" max="15875" width="26.28515625" customWidth="1"/>
    <col min="15876" max="15876" width="22.85546875" customWidth="1"/>
    <col min="16129" max="16129" width="36.28515625" customWidth="1"/>
    <col min="16130" max="16130" width="24.7109375" customWidth="1"/>
    <col min="16131" max="16131" width="26.28515625" customWidth="1"/>
    <col min="16132" max="16132" width="22.85546875" customWidth="1"/>
  </cols>
  <sheetData>
    <row r="1" spans="1:12" ht="15.75" customHeight="1" thickBot="1" x14ac:dyDescent="0.25">
      <c r="A1" s="615" t="s">
        <v>288</v>
      </c>
      <c r="B1" s="226"/>
      <c r="C1" s="239"/>
      <c r="D1" s="78"/>
      <c r="E1" s="619" t="s">
        <v>40</v>
      </c>
      <c r="F1" s="620" t="s">
        <v>38</v>
      </c>
      <c r="G1" s="621" t="s">
        <v>39</v>
      </c>
      <c r="I1" s="659" t="s">
        <v>310</v>
      </c>
      <c r="J1" s="660"/>
      <c r="K1" s="660"/>
      <c r="L1" s="333">
        <f>SUM(J6:J12)*52+SUM(K6:K12)*12+SUM(L6:L12)</f>
        <v>30000</v>
      </c>
    </row>
    <row r="2" spans="1:12" ht="13.15" customHeight="1" thickBot="1" x14ac:dyDescent="0.25">
      <c r="D2" s="197" t="s">
        <v>309</v>
      </c>
      <c r="E2" s="616">
        <f>SUM(E6:E60)</f>
        <v>444.17521367521363</v>
      </c>
      <c r="F2" s="617">
        <f>SUM(F6:F60)</f>
        <v>1791.2592592592591</v>
      </c>
      <c r="G2" s="618">
        <f>SUM(G6:G60)</f>
        <v>21495.111111111109</v>
      </c>
      <c r="I2" s="334"/>
      <c r="J2" s="334"/>
      <c r="K2" s="334"/>
      <c r="L2" s="334"/>
    </row>
    <row r="3" spans="1:12" ht="13.15" customHeight="1" x14ac:dyDescent="0.2">
      <c r="B3" s="667" t="s">
        <v>111</v>
      </c>
      <c r="C3" s="668"/>
      <c r="D3" s="669"/>
      <c r="E3" s="673" t="s">
        <v>111</v>
      </c>
      <c r="F3" s="674"/>
      <c r="G3" s="675"/>
      <c r="I3" s="334"/>
      <c r="J3" s="661" t="s">
        <v>242</v>
      </c>
      <c r="K3" s="662"/>
      <c r="L3" s="663"/>
    </row>
    <row r="4" spans="1:12" ht="13.15" customHeight="1" thickBot="1" x14ac:dyDescent="0.25">
      <c r="B4" s="670" t="s">
        <v>112</v>
      </c>
      <c r="C4" s="671"/>
      <c r="D4" s="672"/>
      <c r="E4" s="676" t="s">
        <v>112</v>
      </c>
      <c r="F4" s="677"/>
      <c r="G4" s="678"/>
      <c r="I4" s="334"/>
      <c r="J4" s="664" t="s">
        <v>243</v>
      </c>
      <c r="K4" s="665"/>
      <c r="L4" s="666"/>
    </row>
    <row r="5" spans="1:12" ht="16.5" thickBot="1" x14ac:dyDescent="0.25">
      <c r="A5" s="314" t="s">
        <v>190</v>
      </c>
      <c r="B5" s="315" t="s">
        <v>40</v>
      </c>
      <c r="C5" s="316" t="s">
        <v>38</v>
      </c>
      <c r="D5" s="316" t="s">
        <v>39</v>
      </c>
      <c r="E5" s="320" t="s">
        <v>40</v>
      </c>
      <c r="F5" s="321" t="s">
        <v>38</v>
      </c>
      <c r="G5" s="321" t="s">
        <v>39</v>
      </c>
      <c r="I5" s="622" t="s">
        <v>244</v>
      </c>
      <c r="J5" s="335" t="s">
        <v>40</v>
      </c>
      <c r="K5" s="336" t="s">
        <v>38</v>
      </c>
      <c r="L5" s="337" t="s">
        <v>39</v>
      </c>
    </row>
    <row r="6" spans="1:12" ht="15.75" x14ac:dyDescent="0.2">
      <c r="A6" s="317" t="s">
        <v>191</v>
      </c>
      <c r="B6" s="93"/>
      <c r="C6" s="93">
        <v>525</v>
      </c>
      <c r="D6" s="93"/>
      <c r="E6" s="322">
        <f>B6+C6/4+D6/52</f>
        <v>131.25</v>
      </c>
      <c r="F6" s="131">
        <f>B6*4+C6+D6/12</f>
        <v>525</v>
      </c>
      <c r="G6" s="131">
        <f>B6*52+C6*12+D6</f>
        <v>6300</v>
      </c>
      <c r="I6" s="623" t="s">
        <v>245</v>
      </c>
      <c r="J6" s="318"/>
      <c r="K6" s="338">
        <v>1500</v>
      </c>
      <c r="L6" s="339"/>
    </row>
    <row r="7" spans="1:12" ht="15.75" x14ac:dyDescent="0.2">
      <c r="A7" s="317" t="s">
        <v>192</v>
      </c>
      <c r="B7" s="93"/>
      <c r="C7" s="93"/>
      <c r="D7" s="93"/>
      <c r="E7" s="322">
        <f t="shared" ref="E7:E60" si="0">B7+C7/4+D7/52</f>
        <v>0</v>
      </c>
      <c r="F7" s="131">
        <f t="shared" ref="F7:F60" si="1">B7*4+C7+D7/12</f>
        <v>0</v>
      </c>
      <c r="G7" s="131">
        <f t="shared" ref="G7:G60" si="2">B7*52+C7*12+D7</f>
        <v>0</v>
      </c>
      <c r="I7" s="623" t="s">
        <v>188</v>
      </c>
      <c r="J7" s="318"/>
      <c r="K7" s="338">
        <v>1000</v>
      </c>
      <c r="L7" s="339"/>
    </row>
    <row r="8" spans="1:12" ht="15.75" x14ac:dyDescent="0.2">
      <c r="A8" s="317" t="s">
        <v>193</v>
      </c>
      <c r="B8" s="93"/>
      <c r="C8" s="93"/>
      <c r="D8" s="93"/>
      <c r="E8" s="322">
        <f t="shared" si="0"/>
        <v>0</v>
      </c>
      <c r="F8" s="131">
        <f t="shared" si="1"/>
        <v>0</v>
      </c>
      <c r="G8" s="131">
        <f t="shared" si="2"/>
        <v>0</v>
      </c>
      <c r="I8" s="623"/>
      <c r="J8" s="318"/>
      <c r="K8" s="338"/>
      <c r="L8" s="339"/>
    </row>
    <row r="9" spans="1:12" ht="15.75" x14ac:dyDescent="0.2">
      <c r="A9" s="317" t="s">
        <v>194</v>
      </c>
      <c r="B9" s="93"/>
      <c r="C9" s="93"/>
      <c r="D9" s="93"/>
      <c r="E9" s="322">
        <f t="shared" si="0"/>
        <v>0</v>
      </c>
      <c r="F9" s="131">
        <f t="shared" si="1"/>
        <v>0</v>
      </c>
      <c r="G9" s="131">
        <f t="shared" si="2"/>
        <v>0</v>
      </c>
      <c r="I9" s="623"/>
      <c r="J9" s="318"/>
      <c r="K9" s="338"/>
      <c r="L9" s="339"/>
    </row>
    <row r="10" spans="1:12" ht="31.5" x14ac:dyDescent="0.2">
      <c r="A10" s="317" t="s">
        <v>195</v>
      </c>
      <c r="B10" s="93"/>
      <c r="C10" s="93">
        <v>10</v>
      </c>
      <c r="D10" s="93"/>
      <c r="E10" s="322">
        <f t="shared" si="0"/>
        <v>2.5</v>
      </c>
      <c r="F10" s="131">
        <f t="shared" si="1"/>
        <v>10</v>
      </c>
      <c r="G10" s="131">
        <f t="shared" si="2"/>
        <v>120</v>
      </c>
      <c r="I10" s="623"/>
      <c r="J10" s="318"/>
      <c r="K10" s="338"/>
      <c r="L10" s="339"/>
    </row>
    <row r="11" spans="1:12" ht="16.899999999999999" customHeight="1" x14ac:dyDescent="0.2">
      <c r="A11" s="317" t="s">
        <v>196</v>
      </c>
      <c r="B11" s="93"/>
      <c r="C11" s="93"/>
      <c r="D11" s="93"/>
      <c r="E11" s="322">
        <f t="shared" si="0"/>
        <v>0</v>
      </c>
      <c r="F11" s="131">
        <f t="shared" si="1"/>
        <v>0</v>
      </c>
      <c r="G11" s="131">
        <f t="shared" si="2"/>
        <v>0</v>
      </c>
      <c r="I11" s="623"/>
      <c r="J11" s="318"/>
      <c r="K11" s="338"/>
      <c r="L11" s="339"/>
    </row>
    <row r="12" spans="1:12" ht="16.5" thickBot="1" x14ac:dyDescent="0.25">
      <c r="A12" s="317" t="s">
        <v>197</v>
      </c>
      <c r="B12" s="93"/>
      <c r="C12" s="93"/>
      <c r="D12" s="93">
        <v>300</v>
      </c>
      <c r="E12" s="322">
        <f t="shared" si="0"/>
        <v>5.7692307692307692</v>
      </c>
      <c r="F12" s="131">
        <f t="shared" si="1"/>
        <v>25</v>
      </c>
      <c r="G12" s="131">
        <f t="shared" si="2"/>
        <v>300</v>
      </c>
      <c r="I12" s="624"/>
      <c r="J12" s="340"/>
      <c r="K12" s="246"/>
      <c r="L12" s="341"/>
    </row>
    <row r="13" spans="1:12" ht="16.899999999999999" customHeight="1" x14ac:dyDescent="0.2">
      <c r="A13" s="317" t="s">
        <v>198</v>
      </c>
      <c r="B13" s="93"/>
      <c r="C13" s="93"/>
      <c r="D13" s="93"/>
      <c r="E13" s="322">
        <f t="shared" si="0"/>
        <v>0</v>
      </c>
      <c r="F13" s="131">
        <f t="shared" si="1"/>
        <v>0</v>
      </c>
      <c r="G13" s="131">
        <f t="shared" si="2"/>
        <v>0</v>
      </c>
    </row>
    <row r="14" spans="1:12" ht="16.5" x14ac:dyDescent="0.2">
      <c r="A14" s="313"/>
      <c r="B14" s="93"/>
      <c r="C14" s="93"/>
      <c r="D14" s="93"/>
      <c r="E14" s="322">
        <f t="shared" si="0"/>
        <v>0</v>
      </c>
      <c r="F14" s="131">
        <f t="shared" si="1"/>
        <v>0</v>
      </c>
      <c r="G14" s="131">
        <f t="shared" si="2"/>
        <v>0</v>
      </c>
    </row>
    <row r="15" spans="1:12" ht="16.5" x14ac:dyDescent="0.2">
      <c r="A15" s="312" t="s">
        <v>199</v>
      </c>
      <c r="B15" s="93"/>
      <c r="C15" s="93"/>
      <c r="D15" s="93"/>
      <c r="E15" s="322">
        <f t="shared" si="0"/>
        <v>0</v>
      </c>
      <c r="F15" s="131">
        <f t="shared" si="1"/>
        <v>0</v>
      </c>
      <c r="G15" s="131">
        <f t="shared" si="2"/>
        <v>0</v>
      </c>
    </row>
    <row r="16" spans="1:12" ht="16.5" x14ac:dyDescent="0.2">
      <c r="A16" s="313" t="s">
        <v>200</v>
      </c>
      <c r="B16" s="93"/>
      <c r="C16" s="93">
        <v>268</v>
      </c>
      <c r="D16" s="93"/>
      <c r="E16" s="322">
        <f t="shared" si="0"/>
        <v>67</v>
      </c>
      <c r="F16" s="131">
        <f t="shared" si="1"/>
        <v>268</v>
      </c>
      <c r="G16" s="131">
        <f t="shared" si="2"/>
        <v>3216</v>
      </c>
    </row>
    <row r="17" spans="1:7" ht="16.5" x14ac:dyDescent="0.2">
      <c r="A17" s="313" t="s">
        <v>201</v>
      </c>
      <c r="B17" s="93"/>
      <c r="C17" s="93"/>
      <c r="D17" s="93"/>
      <c r="E17" s="322">
        <f t="shared" si="0"/>
        <v>0</v>
      </c>
      <c r="F17" s="131">
        <f t="shared" si="1"/>
        <v>0</v>
      </c>
      <c r="G17" s="131">
        <f t="shared" si="2"/>
        <v>0</v>
      </c>
    </row>
    <row r="18" spans="1:7" ht="16.5" x14ac:dyDescent="0.2">
      <c r="A18" s="313" t="s">
        <v>202</v>
      </c>
      <c r="B18" s="93"/>
      <c r="C18" s="93"/>
      <c r="D18" s="93"/>
      <c r="E18" s="322">
        <f t="shared" si="0"/>
        <v>0</v>
      </c>
      <c r="F18" s="131">
        <f t="shared" si="1"/>
        <v>0</v>
      </c>
      <c r="G18" s="131">
        <f t="shared" si="2"/>
        <v>0</v>
      </c>
    </row>
    <row r="19" spans="1:7" ht="16.5" x14ac:dyDescent="0.2">
      <c r="A19" s="313" t="s">
        <v>203</v>
      </c>
      <c r="B19" s="93"/>
      <c r="C19" s="93"/>
      <c r="D19" s="93">
        <f>10000/45*3.65</f>
        <v>811.11111111111109</v>
      </c>
      <c r="E19" s="322">
        <f t="shared" si="0"/>
        <v>15.598290598290598</v>
      </c>
      <c r="F19" s="131">
        <f t="shared" si="1"/>
        <v>67.592592592592595</v>
      </c>
      <c r="G19" s="131">
        <f t="shared" si="2"/>
        <v>811.11111111111109</v>
      </c>
    </row>
    <row r="20" spans="1:7" ht="16.5" x14ac:dyDescent="0.2">
      <c r="A20" s="313" t="s">
        <v>197</v>
      </c>
      <c r="B20" s="93"/>
      <c r="C20" s="93"/>
      <c r="D20" s="93">
        <v>800</v>
      </c>
      <c r="E20" s="322">
        <f t="shared" si="0"/>
        <v>15.384615384615385</v>
      </c>
      <c r="F20" s="131">
        <f t="shared" si="1"/>
        <v>66.666666666666671</v>
      </c>
      <c r="G20" s="131">
        <f t="shared" si="2"/>
        <v>800</v>
      </c>
    </row>
    <row r="21" spans="1:7" ht="16.5" x14ac:dyDescent="0.2">
      <c r="A21" s="313" t="s">
        <v>204</v>
      </c>
      <c r="B21" s="93"/>
      <c r="C21" s="93"/>
      <c r="D21" s="93">
        <v>110</v>
      </c>
      <c r="E21" s="322">
        <f t="shared" si="0"/>
        <v>2.1153846153846154</v>
      </c>
      <c r="F21" s="131">
        <f t="shared" si="1"/>
        <v>9.1666666666666661</v>
      </c>
      <c r="G21" s="131">
        <f t="shared" si="2"/>
        <v>110</v>
      </c>
    </row>
    <row r="22" spans="1:7" ht="16.5" x14ac:dyDescent="0.2">
      <c r="A22" s="313" t="s">
        <v>205</v>
      </c>
      <c r="B22" s="93"/>
      <c r="C22" s="93"/>
      <c r="D22" s="93"/>
      <c r="E22" s="322">
        <f t="shared" si="0"/>
        <v>0</v>
      </c>
      <c r="F22" s="131">
        <f t="shared" si="1"/>
        <v>0</v>
      </c>
      <c r="G22" s="131">
        <f t="shared" si="2"/>
        <v>0</v>
      </c>
    </row>
    <row r="23" spans="1:7" ht="16.5" x14ac:dyDescent="0.2">
      <c r="A23" s="313"/>
      <c r="B23" s="93"/>
      <c r="C23" s="93"/>
      <c r="D23" s="93"/>
      <c r="E23" s="322">
        <f t="shared" si="0"/>
        <v>0</v>
      </c>
      <c r="F23" s="131">
        <f t="shared" si="1"/>
        <v>0</v>
      </c>
      <c r="G23" s="131">
        <f t="shared" si="2"/>
        <v>0</v>
      </c>
    </row>
    <row r="24" spans="1:7" ht="16.5" x14ac:dyDescent="0.2">
      <c r="A24" s="312" t="s">
        <v>8</v>
      </c>
      <c r="B24" s="93"/>
      <c r="C24" s="93"/>
      <c r="D24" s="93"/>
      <c r="E24" s="322">
        <f t="shared" si="0"/>
        <v>0</v>
      </c>
      <c r="F24" s="131">
        <f t="shared" si="1"/>
        <v>0</v>
      </c>
      <c r="G24" s="131">
        <f t="shared" si="2"/>
        <v>0</v>
      </c>
    </row>
    <row r="25" spans="1:7" ht="16.5" x14ac:dyDescent="0.2">
      <c r="A25" s="313" t="s">
        <v>206</v>
      </c>
      <c r="B25" s="93"/>
      <c r="C25" s="93">
        <v>55</v>
      </c>
      <c r="D25" s="93"/>
      <c r="E25" s="322">
        <f t="shared" si="0"/>
        <v>13.75</v>
      </c>
      <c r="F25" s="131">
        <f t="shared" si="1"/>
        <v>55</v>
      </c>
      <c r="G25" s="131">
        <f t="shared" si="2"/>
        <v>660</v>
      </c>
    </row>
    <row r="26" spans="1:7" ht="16.5" x14ac:dyDescent="0.2">
      <c r="A26" s="313" t="s">
        <v>207</v>
      </c>
      <c r="B26" s="93"/>
      <c r="C26" s="93">
        <v>134</v>
      </c>
      <c r="D26" s="93"/>
      <c r="E26" s="322">
        <f t="shared" si="0"/>
        <v>33.5</v>
      </c>
      <c r="F26" s="131">
        <f t="shared" si="1"/>
        <v>134</v>
      </c>
      <c r="G26" s="131">
        <f t="shared" si="2"/>
        <v>1608</v>
      </c>
    </row>
    <row r="27" spans="1:7" ht="16.5" x14ac:dyDescent="0.2">
      <c r="A27" s="313" t="s">
        <v>208</v>
      </c>
      <c r="B27" s="93"/>
      <c r="C27" s="93"/>
      <c r="D27" s="93"/>
      <c r="E27" s="322">
        <f t="shared" si="0"/>
        <v>0</v>
      </c>
      <c r="F27" s="131">
        <f t="shared" si="1"/>
        <v>0</v>
      </c>
      <c r="G27" s="131">
        <f t="shared" si="2"/>
        <v>0</v>
      </c>
    </row>
    <row r="28" spans="1:7" ht="16.5" x14ac:dyDescent="0.2">
      <c r="A28" s="313" t="s">
        <v>209</v>
      </c>
      <c r="B28" s="93"/>
      <c r="C28" s="93"/>
      <c r="D28" s="93"/>
      <c r="E28" s="322">
        <f t="shared" si="0"/>
        <v>0</v>
      </c>
      <c r="F28" s="131">
        <f t="shared" si="1"/>
        <v>0</v>
      </c>
      <c r="G28" s="131">
        <f t="shared" si="2"/>
        <v>0</v>
      </c>
    </row>
    <row r="29" spans="1:7" ht="16.5" x14ac:dyDescent="0.2">
      <c r="A29" s="313" t="s">
        <v>210</v>
      </c>
      <c r="B29" s="93"/>
      <c r="C29" s="93"/>
      <c r="D29" s="93"/>
      <c r="E29" s="322">
        <f t="shared" si="0"/>
        <v>0</v>
      </c>
      <c r="F29" s="131">
        <f t="shared" si="1"/>
        <v>0</v>
      </c>
      <c r="G29" s="131">
        <f t="shared" si="2"/>
        <v>0</v>
      </c>
    </row>
    <row r="30" spans="1:7" ht="16.5" x14ac:dyDescent="0.2">
      <c r="A30" s="313"/>
      <c r="B30" s="93"/>
      <c r="C30" s="93"/>
      <c r="D30" s="93"/>
      <c r="E30" s="322">
        <f t="shared" si="0"/>
        <v>0</v>
      </c>
      <c r="F30" s="131">
        <f t="shared" si="1"/>
        <v>0</v>
      </c>
      <c r="G30" s="131">
        <f t="shared" si="2"/>
        <v>0</v>
      </c>
    </row>
    <row r="31" spans="1:7" ht="16.5" x14ac:dyDescent="0.2">
      <c r="A31" s="312" t="s">
        <v>211</v>
      </c>
      <c r="B31" s="93"/>
      <c r="C31" s="93"/>
      <c r="D31" s="93"/>
      <c r="E31" s="322">
        <f t="shared" si="0"/>
        <v>0</v>
      </c>
      <c r="F31" s="131">
        <f t="shared" si="1"/>
        <v>0</v>
      </c>
      <c r="G31" s="131">
        <f t="shared" si="2"/>
        <v>0</v>
      </c>
    </row>
    <row r="32" spans="1:7" ht="16.5" x14ac:dyDescent="0.2">
      <c r="A32" s="313" t="s">
        <v>212</v>
      </c>
      <c r="B32" s="93"/>
      <c r="C32" s="93">
        <v>250</v>
      </c>
      <c r="D32" s="93"/>
      <c r="E32" s="322">
        <f t="shared" si="0"/>
        <v>62.5</v>
      </c>
      <c r="F32" s="131">
        <f t="shared" si="1"/>
        <v>250</v>
      </c>
      <c r="G32" s="131">
        <f t="shared" si="2"/>
        <v>3000</v>
      </c>
    </row>
    <row r="33" spans="1:7" ht="16.5" x14ac:dyDescent="0.2">
      <c r="A33" s="313" t="s">
        <v>213</v>
      </c>
      <c r="B33" s="93"/>
      <c r="C33" s="93"/>
      <c r="D33" s="93"/>
      <c r="E33" s="322">
        <f t="shared" si="0"/>
        <v>0</v>
      </c>
      <c r="F33" s="131">
        <f t="shared" si="1"/>
        <v>0</v>
      </c>
      <c r="G33" s="131">
        <f t="shared" si="2"/>
        <v>0</v>
      </c>
    </row>
    <row r="34" spans="1:7" ht="16.5" x14ac:dyDescent="0.2">
      <c r="A34" s="313" t="s">
        <v>214</v>
      </c>
      <c r="B34" s="93"/>
      <c r="C34" s="93">
        <v>100</v>
      </c>
      <c r="D34" s="93"/>
      <c r="E34" s="322">
        <f t="shared" si="0"/>
        <v>25</v>
      </c>
      <c r="F34" s="131">
        <f t="shared" si="1"/>
        <v>100</v>
      </c>
      <c r="G34" s="131">
        <f t="shared" si="2"/>
        <v>1200</v>
      </c>
    </row>
    <row r="35" spans="1:7" ht="16.5" x14ac:dyDescent="0.2">
      <c r="A35" s="313" t="s">
        <v>215</v>
      </c>
      <c r="B35" s="93"/>
      <c r="C35" s="93"/>
      <c r="D35" s="93"/>
      <c r="E35" s="322">
        <f t="shared" si="0"/>
        <v>0</v>
      </c>
      <c r="F35" s="131">
        <f t="shared" si="1"/>
        <v>0</v>
      </c>
      <c r="G35" s="131">
        <f t="shared" si="2"/>
        <v>0</v>
      </c>
    </row>
    <row r="36" spans="1:7" ht="16.5" x14ac:dyDescent="0.2">
      <c r="A36" s="313" t="s">
        <v>216</v>
      </c>
      <c r="B36" s="93"/>
      <c r="C36" s="93"/>
      <c r="D36" s="93"/>
      <c r="E36" s="322">
        <f t="shared" si="0"/>
        <v>0</v>
      </c>
      <c r="F36" s="131">
        <f t="shared" si="1"/>
        <v>0</v>
      </c>
      <c r="G36" s="131">
        <f t="shared" si="2"/>
        <v>0</v>
      </c>
    </row>
    <row r="37" spans="1:7" ht="16.5" x14ac:dyDescent="0.2">
      <c r="A37" s="313" t="s">
        <v>217</v>
      </c>
      <c r="B37" s="93"/>
      <c r="C37" s="93"/>
      <c r="D37" s="93">
        <v>100</v>
      </c>
      <c r="E37" s="322">
        <f t="shared" si="0"/>
        <v>1.9230769230769231</v>
      </c>
      <c r="F37" s="131">
        <f t="shared" si="1"/>
        <v>8.3333333333333339</v>
      </c>
      <c r="G37" s="131">
        <f t="shared" si="2"/>
        <v>100</v>
      </c>
    </row>
    <row r="38" spans="1:7" ht="16.5" x14ac:dyDescent="0.2">
      <c r="A38" s="313" t="s">
        <v>218</v>
      </c>
      <c r="B38" s="93"/>
      <c r="C38" s="93"/>
      <c r="D38" s="93"/>
      <c r="E38" s="322">
        <f t="shared" si="0"/>
        <v>0</v>
      </c>
      <c r="F38" s="131">
        <f t="shared" si="1"/>
        <v>0</v>
      </c>
      <c r="G38" s="131">
        <f t="shared" si="2"/>
        <v>0</v>
      </c>
    </row>
    <row r="39" spans="1:7" ht="33" x14ac:dyDescent="0.2">
      <c r="A39" s="313" t="s">
        <v>219</v>
      </c>
      <c r="B39" s="93"/>
      <c r="C39" s="93"/>
      <c r="D39" s="93"/>
      <c r="E39" s="322">
        <f t="shared" si="0"/>
        <v>0</v>
      </c>
      <c r="F39" s="131">
        <f t="shared" si="1"/>
        <v>0</v>
      </c>
      <c r="G39" s="131">
        <f t="shared" si="2"/>
        <v>0</v>
      </c>
    </row>
    <row r="40" spans="1:7" ht="16.5" x14ac:dyDescent="0.2">
      <c r="A40" s="313" t="s">
        <v>220</v>
      </c>
      <c r="B40" s="93"/>
      <c r="C40" s="93">
        <v>100</v>
      </c>
      <c r="D40" s="93"/>
      <c r="E40" s="322">
        <f t="shared" si="0"/>
        <v>25</v>
      </c>
      <c r="F40" s="131">
        <f t="shared" si="1"/>
        <v>100</v>
      </c>
      <c r="G40" s="131">
        <f t="shared" si="2"/>
        <v>1200</v>
      </c>
    </row>
    <row r="41" spans="1:7" ht="16.5" x14ac:dyDescent="0.2">
      <c r="A41" s="313" t="s">
        <v>221</v>
      </c>
      <c r="B41" s="93"/>
      <c r="C41" s="93"/>
      <c r="D41" s="93"/>
      <c r="E41" s="322">
        <f t="shared" si="0"/>
        <v>0</v>
      </c>
      <c r="F41" s="131">
        <f t="shared" si="1"/>
        <v>0</v>
      </c>
      <c r="G41" s="131">
        <f t="shared" si="2"/>
        <v>0</v>
      </c>
    </row>
    <row r="42" spans="1:7" ht="16.5" x14ac:dyDescent="0.2">
      <c r="A42" s="313" t="s">
        <v>222</v>
      </c>
      <c r="B42" s="93"/>
      <c r="C42" s="93">
        <v>75</v>
      </c>
      <c r="D42" s="93"/>
      <c r="E42" s="322">
        <f t="shared" si="0"/>
        <v>18.75</v>
      </c>
      <c r="F42" s="131">
        <f t="shared" si="1"/>
        <v>75</v>
      </c>
      <c r="G42" s="131">
        <f t="shared" si="2"/>
        <v>900</v>
      </c>
    </row>
    <row r="43" spans="1:7" ht="16.5" x14ac:dyDescent="0.2">
      <c r="A43" s="313" t="s">
        <v>223</v>
      </c>
      <c r="B43" s="93"/>
      <c r="C43" s="93"/>
      <c r="D43" s="93"/>
      <c r="E43" s="322">
        <f t="shared" si="0"/>
        <v>0</v>
      </c>
      <c r="F43" s="131">
        <f t="shared" si="1"/>
        <v>0</v>
      </c>
      <c r="G43" s="131">
        <f t="shared" si="2"/>
        <v>0</v>
      </c>
    </row>
    <row r="44" spans="1:7" ht="16.5" x14ac:dyDescent="0.2">
      <c r="A44" s="313" t="s">
        <v>224</v>
      </c>
      <c r="B44" s="93"/>
      <c r="C44" s="93"/>
      <c r="D44" s="93"/>
      <c r="E44" s="322">
        <f t="shared" si="0"/>
        <v>0</v>
      </c>
      <c r="F44" s="131">
        <f t="shared" si="1"/>
        <v>0</v>
      </c>
      <c r="G44" s="131">
        <f t="shared" si="2"/>
        <v>0</v>
      </c>
    </row>
    <row r="45" spans="1:7" ht="16.5" x14ac:dyDescent="0.2">
      <c r="A45" s="313" t="s">
        <v>225</v>
      </c>
      <c r="B45" s="93"/>
      <c r="C45" s="93"/>
      <c r="D45" s="93"/>
      <c r="E45" s="322">
        <f t="shared" si="0"/>
        <v>0</v>
      </c>
      <c r="F45" s="131">
        <f t="shared" si="1"/>
        <v>0</v>
      </c>
      <c r="G45" s="131">
        <f t="shared" si="2"/>
        <v>0</v>
      </c>
    </row>
    <row r="46" spans="1:7" ht="16.5" x14ac:dyDescent="0.2">
      <c r="A46" s="313" t="s">
        <v>226</v>
      </c>
      <c r="B46" s="93"/>
      <c r="C46" s="93"/>
      <c r="D46" s="93">
        <v>150</v>
      </c>
      <c r="E46" s="322">
        <f t="shared" si="0"/>
        <v>2.8846153846153846</v>
      </c>
      <c r="F46" s="131">
        <f t="shared" si="1"/>
        <v>12.5</v>
      </c>
      <c r="G46" s="131">
        <f t="shared" si="2"/>
        <v>150</v>
      </c>
    </row>
    <row r="47" spans="1:7" ht="16.5" x14ac:dyDescent="0.2">
      <c r="A47" s="313" t="s">
        <v>227</v>
      </c>
      <c r="B47" s="93"/>
      <c r="C47" s="93"/>
      <c r="D47" s="93"/>
      <c r="E47" s="322">
        <f t="shared" si="0"/>
        <v>0</v>
      </c>
      <c r="F47" s="131">
        <f t="shared" si="1"/>
        <v>0</v>
      </c>
      <c r="G47" s="131">
        <f t="shared" si="2"/>
        <v>0</v>
      </c>
    </row>
    <row r="48" spans="1:7" ht="16.5" x14ac:dyDescent="0.2">
      <c r="A48" s="313" t="s">
        <v>228</v>
      </c>
      <c r="B48" s="93"/>
      <c r="C48" s="93"/>
      <c r="D48" s="93"/>
      <c r="E48" s="322">
        <f t="shared" si="0"/>
        <v>0</v>
      </c>
      <c r="F48" s="131">
        <f t="shared" si="1"/>
        <v>0</v>
      </c>
      <c r="G48" s="131">
        <f t="shared" si="2"/>
        <v>0</v>
      </c>
    </row>
    <row r="49" spans="1:7" ht="16.5" x14ac:dyDescent="0.2">
      <c r="A49" s="313" t="s">
        <v>229</v>
      </c>
      <c r="B49" s="93"/>
      <c r="C49" s="93">
        <v>85</v>
      </c>
      <c r="D49" s="93"/>
      <c r="E49" s="322">
        <f t="shared" si="0"/>
        <v>21.25</v>
      </c>
      <c r="F49" s="131">
        <f t="shared" si="1"/>
        <v>85</v>
      </c>
      <c r="G49" s="131">
        <f t="shared" si="2"/>
        <v>1020</v>
      </c>
    </row>
    <row r="50" spans="1:7" ht="16.5" x14ac:dyDescent="0.2">
      <c r="A50" s="313" t="s">
        <v>211</v>
      </c>
      <c r="B50" s="93"/>
      <c r="C50" s="93"/>
      <c r="D50" s="93"/>
      <c r="E50" s="322">
        <f t="shared" si="0"/>
        <v>0</v>
      </c>
      <c r="F50" s="131">
        <f t="shared" si="1"/>
        <v>0</v>
      </c>
      <c r="G50" s="131">
        <f t="shared" si="2"/>
        <v>0</v>
      </c>
    </row>
    <row r="51" spans="1:7" ht="16.5" x14ac:dyDescent="0.2">
      <c r="A51" s="313" t="s">
        <v>230</v>
      </c>
      <c r="B51" s="93"/>
      <c r="C51" s="93"/>
      <c r="D51" s="93"/>
      <c r="E51" s="322">
        <f t="shared" si="0"/>
        <v>0</v>
      </c>
      <c r="F51" s="131">
        <f t="shared" si="1"/>
        <v>0</v>
      </c>
      <c r="G51" s="131">
        <f t="shared" si="2"/>
        <v>0</v>
      </c>
    </row>
    <row r="52" spans="1:7" ht="16.5" x14ac:dyDescent="0.2">
      <c r="A52" s="313" t="s">
        <v>231</v>
      </c>
      <c r="B52" s="93"/>
      <c r="C52" s="93"/>
      <c r="D52" s="93"/>
      <c r="E52" s="322">
        <f t="shared" si="0"/>
        <v>0</v>
      </c>
      <c r="F52" s="131">
        <f t="shared" si="1"/>
        <v>0</v>
      </c>
      <c r="G52" s="131">
        <f t="shared" si="2"/>
        <v>0</v>
      </c>
    </row>
    <row r="53" spans="1:7" ht="16.5" x14ac:dyDescent="0.2">
      <c r="A53" s="313" t="s">
        <v>232</v>
      </c>
      <c r="B53" s="93"/>
      <c r="C53" s="93"/>
      <c r="D53" s="93"/>
      <c r="E53" s="322">
        <f t="shared" si="0"/>
        <v>0</v>
      </c>
      <c r="F53" s="131">
        <f t="shared" si="1"/>
        <v>0</v>
      </c>
      <c r="G53" s="131">
        <f t="shared" si="2"/>
        <v>0</v>
      </c>
    </row>
    <row r="54" spans="1:7" ht="33.6" customHeight="1" x14ac:dyDescent="0.2">
      <c r="A54" s="313" t="s">
        <v>233</v>
      </c>
      <c r="B54" s="93"/>
      <c r="C54" s="93"/>
      <c r="D54" s="93"/>
      <c r="E54" s="322">
        <f t="shared" si="0"/>
        <v>0</v>
      </c>
      <c r="F54" s="131">
        <f t="shared" si="1"/>
        <v>0</v>
      </c>
      <c r="G54" s="131">
        <f t="shared" si="2"/>
        <v>0</v>
      </c>
    </row>
    <row r="55" spans="1:7" ht="16.5" x14ac:dyDescent="0.2">
      <c r="A55" s="313" t="s">
        <v>234</v>
      </c>
      <c r="B55" s="93"/>
      <c r="C55" s="93"/>
      <c r="D55" s="93"/>
      <c r="E55" s="322">
        <f t="shared" si="0"/>
        <v>0</v>
      </c>
      <c r="F55" s="131">
        <f t="shared" si="1"/>
        <v>0</v>
      </c>
      <c r="G55" s="131">
        <f t="shared" si="2"/>
        <v>0</v>
      </c>
    </row>
    <row r="56" spans="1:7" ht="16.5" x14ac:dyDescent="0.2">
      <c r="A56" s="313" t="s">
        <v>235</v>
      </c>
      <c r="B56" s="93"/>
      <c r="C56" s="93"/>
      <c r="D56" s="93"/>
      <c r="E56" s="322">
        <f t="shared" si="0"/>
        <v>0</v>
      </c>
      <c r="F56" s="131">
        <f t="shared" si="1"/>
        <v>0</v>
      </c>
      <c r="G56" s="131">
        <f t="shared" si="2"/>
        <v>0</v>
      </c>
    </row>
    <row r="57" spans="1:7" ht="16.5" x14ac:dyDescent="0.2">
      <c r="A57" s="313"/>
      <c r="B57" s="93"/>
      <c r="C57" s="93"/>
      <c r="D57" s="93"/>
      <c r="E57" s="322">
        <f t="shared" si="0"/>
        <v>0</v>
      </c>
      <c r="F57" s="131">
        <f t="shared" si="1"/>
        <v>0</v>
      </c>
      <c r="G57" s="131">
        <f t="shared" si="2"/>
        <v>0</v>
      </c>
    </row>
    <row r="58" spans="1:7" ht="16.5" x14ac:dyDescent="0.2">
      <c r="A58" s="313"/>
      <c r="B58" s="93"/>
      <c r="C58" s="93"/>
      <c r="D58" s="93"/>
      <c r="E58" s="322"/>
      <c r="F58" s="131"/>
      <c r="G58" s="131">
        <f t="shared" si="2"/>
        <v>0</v>
      </c>
    </row>
    <row r="59" spans="1:7" ht="16.5" x14ac:dyDescent="0.2">
      <c r="A59" s="324"/>
      <c r="B59" s="325"/>
      <c r="C59" s="325"/>
      <c r="D59" s="325"/>
      <c r="E59" s="322">
        <f t="shared" si="0"/>
        <v>0</v>
      </c>
      <c r="F59" s="131">
        <f t="shared" si="1"/>
        <v>0</v>
      </c>
      <c r="G59" s="131">
        <f t="shared" si="2"/>
        <v>0</v>
      </c>
    </row>
    <row r="60" spans="1:7" ht="16.5" x14ac:dyDescent="0.2">
      <c r="A60" s="326"/>
      <c r="B60" s="327"/>
      <c r="C60" s="327"/>
      <c r="D60" s="327"/>
      <c r="E60" s="323">
        <f t="shared" si="0"/>
        <v>0</v>
      </c>
      <c r="F60" s="131">
        <f t="shared" si="1"/>
        <v>0</v>
      </c>
      <c r="G60" s="131">
        <f t="shared" si="2"/>
        <v>0</v>
      </c>
    </row>
  </sheetData>
  <mergeCells count="7">
    <mergeCell ref="I1:K1"/>
    <mergeCell ref="J3:L3"/>
    <mergeCell ref="J4:L4"/>
    <mergeCell ref="B3:D3"/>
    <mergeCell ref="B4:D4"/>
    <mergeCell ref="E3:G3"/>
    <mergeCell ref="E4:G4"/>
  </mergeCells>
  <pageMargins left="0.28000000000000003" right="0.17" top="0.45" bottom="0.41" header="0.3" footer="0.3"/>
  <pageSetup scale="61" fitToHeight="0"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F41"/>
  <sheetViews>
    <sheetView showGridLines="0" tabSelected="1" zoomScaleNormal="100" workbookViewId="0">
      <selection activeCell="F21" sqref="F21"/>
    </sheetView>
  </sheetViews>
  <sheetFormatPr defaultColWidth="0" defaultRowHeight="12.75" customHeight="1" x14ac:dyDescent="0.2"/>
  <cols>
    <col min="1" max="1" width="14.7109375" customWidth="1"/>
    <col min="2" max="2" width="5.7109375" customWidth="1"/>
    <col min="3" max="3" width="23.7109375" customWidth="1"/>
    <col min="4" max="6" width="18.7109375" customWidth="1"/>
    <col min="7" max="16384" width="18.7109375" hidden="1"/>
  </cols>
  <sheetData>
    <row r="1" spans="1:6" ht="12.75" customHeight="1" x14ac:dyDescent="0.2">
      <c r="A1" s="2" t="s">
        <v>139</v>
      </c>
      <c r="E1" s="681" t="str">
        <f>D11</f>
        <v>My Business</v>
      </c>
      <c r="F1" s="681"/>
    </row>
    <row r="2" spans="1:6" ht="12.75" customHeight="1" x14ac:dyDescent="0.2">
      <c r="A2" s="9"/>
    </row>
    <row r="3" spans="1:6" ht="12.75" customHeight="1" x14ac:dyDescent="0.2">
      <c r="A3" s="9" t="s">
        <v>140</v>
      </c>
    </row>
    <row r="4" spans="1:6" ht="12.75" customHeight="1" thickBot="1" x14ac:dyDescent="0.25">
      <c r="A4" s="9"/>
    </row>
    <row r="5" spans="1:6" ht="12.75" customHeight="1" x14ac:dyDescent="0.2">
      <c r="B5" s="220" t="s">
        <v>145</v>
      </c>
      <c r="C5" s="221"/>
      <c r="D5" s="221"/>
      <c r="E5" s="221"/>
      <c r="F5" s="222"/>
    </row>
    <row r="6" spans="1:6" ht="12.75" customHeight="1" thickBot="1" x14ac:dyDescent="0.25">
      <c r="B6" s="223" t="s">
        <v>141</v>
      </c>
      <c r="C6" s="224"/>
      <c r="D6" s="224"/>
      <c r="E6" s="224"/>
      <c r="F6" s="225"/>
    </row>
    <row r="7" spans="1:6" ht="12.75" customHeight="1" x14ac:dyDescent="0.2">
      <c r="A7" s="9"/>
    </row>
    <row r="8" spans="1:6" ht="7.9" customHeight="1" x14ac:dyDescent="0.2">
      <c r="A8" s="217"/>
      <c r="B8" s="111"/>
      <c r="C8" s="111"/>
      <c r="D8" s="111"/>
      <c r="E8" s="111"/>
      <c r="F8" s="111"/>
    </row>
    <row r="9" spans="1:6" ht="12.75" customHeight="1" x14ac:dyDescent="0.2">
      <c r="A9" s="78" t="s">
        <v>142</v>
      </c>
    </row>
    <row r="10" spans="1:6" ht="12.75" customHeight="1" x14ac:dyDescent="0.2">
      <c r="A10" s="9"/>
      <c r="B10" s="59"/>
    </row>
    <row r="11" spans="1:6" ht="12.75" customHeight="1" x14ac:dyDescent="0.2">
      <c r="B11" s="59"/>
      <c r="C11" s="212" t="s">
        <v>103</v>
      </c>
      <c r="D11" s="679" t="s">
        <v>308</v>
      </c>
      <c r="E11" s="680"/>
    </row>
    <row r="12" spans="1:6" ht="12.75" customHeight="1" x14ac:dyDescent="0.2">
      <c r="A12" s="9"/>
      <c r="B12" s="59"/>
      <c r="C12" s="61"/>
      <c r="D12" s="61"/>
    </row>
    <row r="13" spans="1:6" ht="7.9" customHeight="1" x14ac:dyDescent="0.2">
      <c r="A13" s="217"/>
      <c r="B13" s="218"/>
      <c r="C13" s="219"/>
      <c r="D13" s="219"/>
      <c r="E13" s="111"/>
      <c r="F13" s="111"/>
    </row>
    <row r="14" spans="1:6" ht="12.75" customHeight="1" x14ac:dyDescent="0.2">
      <c r="A14" s="78" t="s">
        <v>143</v>
      </c>
      <c r="B14" s="59"/>
      <c r="C14" s="61"/>
      <c r="D14" s="61"/>
    </row>
    <row r="15" spans="1:6" x14ac:dyDescent="0.2">
      <c r="C15" s="2"/>
    </row>
    <row r="16" spans="1:6" x14ac:dyDescent="0.2">
      <c r="C16" s="212" t="s">
        <v>50</v>
      </c>
      <c r="D16" s="213">
        <v>2019</v>
      </c>
    </row>
    <row r="17" spans="1:6" x14ac:dyDescent="0.2">
      <c r="C17" s="212" t="s">
        <v>51</v>
      </c>
      <c r="D17" s="213">
        <v>1</v>
      </c>
      <c r="E17" s="214" t="str">
        <f>TEXT(DATE(+D16,+D17,1),"MMM")</f>
        <v>Jan</v>
      </c>
    </row>
    <row r="19" spans="1:6" ht="7.9" customHeight="1" x14ac:dyDescent="0.2">
      <c r="A19" s="111"/>
      <c r="B19" s="111"/>
      <c r="C19" s="111"/>
      <c r="D19" s="111"/>
      <c r="E19" s="111"/>
      <c r="F19" s="111"/>
    </row>
    <row r="20" spans="1:6" x14ac:dyDescent="0.2">
      <c r="A20" s="78" t="s">
        <v>144</v>
      </c>
    </row>
    <row r="22" spans="1:6" ht="12.75" customHeight="1" x14ac:dyDescent="0.2">
      <c r="C22" s="216" t="s">
        <v>26</v>
      </c>
      <c r="D22" s="215">
        <v>0.15</v>
      </c>
    </row>
    <row r="24" spans="1:6" ht="7.9" customHeight="1" x14ac:dyDescent="0.2">
      <c r="A24" s="111"/>
      <c r="B24" s="111"/>
      <c r="C24" s="111"/>
      <c r="D24" s="111"/>
      <c r="E24" s="111"/>
      <c r="F24" s="111"/>
    </row>
    <row r="25" spans="1:6" ht="12.75" customHeight="1" x14ac:dyDescent="0.2">
      <c r="A25" s="78" t="s">
        <v>146</v>
      </c>
    </row>
    <row r="27" spans="1:6" ht="12.75" customHeight="1" thickBot="1" x14ac:dyDescent="0.25">
      <c r="B27" s="285" t="s">
        <v>163</v>
      </c>
      <c r="C27" s="285" t="s">
        <v>164</v>
      </c>
      <c r="D27" s="285" t="s">
        <v>60</v>
      </c>
      <c r="E27" s="34"/>
      <c r="F27" s="34"/>
    </row>
    <row r="28" spans="1:6" ht="12.75" customHeight="1" x14ac:dyDescent="0.2">
      <c r="B28" s="284">
        <v>0</v>
      </c>
      <c r="C28" s="88" t="s">
        <v>165</v>
      </c>
      <c r="D28" s="88" t="s">
        <v>166</v>
      </c>
      <c r="E28" s="208"/>
      <c r="F28" s="208"/>
    </row>
    <row r="29" spans="1:6" ht="12.75" customHeight="1" x14ac:dyDescent="0.2">
      <c r="B29" s="286">
        <v>1</v>
      </c>
      <c r="C29" s="287" t="s">
        <v>167</v>
      </c>
      <c r="D29" s="287" t="s">
        <v>168</v>
      </c>
      <c r="E29" s="288"/>
      <c r="F29" s="288"/>
    </row>
    <row r="30" spans="1:6" ht="12.75" customHeight="1" x14ac:dyDescent="0.2">
      <c r="B30" s="283">
        <v>2</v>
      </c>
      <c r="C30" s="281" t="s">
        <v>169</v>
      </c>
      <c r="D30" s="281" t="s">
        <v>170</v>
      </c>
      <c r="E30" s="282"/>
      <c r="F30" s="282"/>
    </row>
    <row r="31" spans="1:6" ht="12.75" customHeight="1" x14ac:dyDescent="0.2">
      <c r="B31" s="286">
        <v>3</v>
      </c>
      <c r="C31" s="287" t="s">
        <v>171</v>
      </c>
      <c r="D31" s="287" t="s">
        <v>172</v>
      </c>
      <c r="E31" s="288"/>
      <c r="F31" s="288"/>
    </row>
    <row r="32" spans="1:6" ht="12.75" customHeight="1" x14ac:dyDescent="0.2">
      <c r="B32" s="283">
        <v>4</v>
      </c>
      <c r="C32" s="281" t="s">
        <v>173</v>
      </c>
      <c r="D32" s="281" t="s">
        <v>174</v>
      </c>
      <c r="E32" s="282"/>
      <c r="F32" s="282"/>
    </row>
    <row r="33" spans="1:6" ht="12.75" customHeight="1" x14ac:dyDescent="0.2">
      <c r="B33" s="286">
        <v>5</v>
      </c>
      <c r="C33" s="287" t="s">
        <v>175</v>
      </c>
      <c r="D33" s="287" t="s">
        <v>176</v>
      </c>
      <c r="E33" s="288"/>
      <c r="F33" s="288"/>
    </row>
    <row r="34" spans="1:6" ht="12.75" customHeight="1" x14ac:dyDescent="0.2">
      <c r="B34" s="283">
        <v>6</v>
      </c>
      <c r="C34" s="281" t="s">
        <v>177</v>
      </c>
      <c r="D34" s="281" t="s">
        <v>178</v>
      </c>
      <c r="E34" s="282"/>
      <c r="F34" s="282"/>
    </row>
    <row r="35" spans="1:6" ht="12.75" customHeight="1" x14ac:dyDescent="0.2">
      <c r="B35" s="286">
        <v>7</v>
      </c>
      <c r="C35" s="287" t="s">
        <v>179</v>
      </c>
      <c r="D35" s="287" t="s">
        <v>180</v>
      </c>
      <c r="E35" s="288"/>
      <c r="F35" s="288"/>
    </row>
    <row r="36" spans="1:6" ht="12.75" customHeight="1" x14ac:dyDescent="0.2">
      <c r="B36" s="283">
        <v>8</v>
      </c>
      <c r="C36" s="281" t="s">
        <v>297</v>
      </c>
      <c r="D36" s="281" t="s">
        <v>298</v>
      </c>
      <c r="E36" s="282"/>
      <c r="F36" s="282"/>
    </row>
    <row r="37" spans="1:6" ht="12.75" customHeight="1" x14ac:dyDescent="0.2">
      <c r="B37" s="286">
        <v>9</v>
      </c>
      <c r="C37" s="287" t="s">
        <v>181</v>
      </c>
      <c r="D37" s="287" t="s">
        <v>184</v>
      </c>
      <c r="E37" s="288"/>
      <c r="F37" s="288"/>
    </row>
    <row r="38" spans="1:6" ht="12.75" customHeight="1" x14ac:dyDescent="0.2">
      <c r="B38" s="283">
        <v>10</v>
      </c>
      <c r="C38" s="281" t="s">
        <v>182</v>
      </c>
      <c r="D38" s="281" t="s">
        <v>183</v>
      </c>
      <c r="E38" s="282"/>
      <c r="F38" s="282"/>
    </row>
    <row r="39" spans="1:6" ht="12.75" customHeight="1" x14ac:dyDescent="0.2">
      <c r="B39" s="286">
        <v>11</v>
      </c>
      <c r="C39" s="287" t="s">
        <v>293</v>
      </c>
      <c r="D39" s="287" t="s">
        <v>294</v>
      </c>
      <c r="E39" s="288"/>
      <c r="F39" s="288"/>
    </row>
    <row r="40" spans="1:6" ht="12.75" customHeight="1" x14ac:dyDescent="0.2">
      <c r="B40" s="283">
        <v>12</v>
      </c>
      <c r="C40" s="281" t="s">
        <v>185</v>
      </c>
      <c r="D40" s="281" t="s">
        <v>186</v>
      </c>
      <c r="E40" s="282"/>
      <c r="F40" s="282"/>
    </row>
    <row r="41" spans="1:6" ht="12.75" customHeight="1" x14ac:dyDescent="0.2">
      <c r="A41" s="9" t="s">
        <v>301</v>
      </c>
      <c r="B41" s="286"/>
      <c r="C41" s="287" t="s">
        <v>295</v>
      </c>
      <c r="D41" s="287" t="s">
        <v>296</v>
      </c>
      <c r="E41" s="288"/>
      <c r="F41" s="288"/>
    </row>
  </sheetData>
  <mergeCells count="2">
    <mergeCell ref="D11:E11"/>
    <mergeCell ref="E1:F1"/>
  </mergeCells>
  <phoneticPr fontId="2" type="noConversion"/>
  <pageMargins left="0.24" right="0.25" top="0.55000000000000004" bottom="0.51" header="0.24" footer="0.24"/>
  <pageSetup orientation="portrait" r:id="rId1"/>
  <headerFooter alignWithMargins="0">
    <oddHeader>&amp;LTab 0: Basic Info&amp;CRapid Business Plan</oddHeader>
    <oddFooter>&amp;LDate Printed: &amp;D&amp;CHeartland Information Research, Inc&amp;R1 of 9</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G75"/>
  <sheetViews>
    <sheetView showGridLines="0" zoomScale="130" zoomScaleNormal="130" workbookViewId="0"/>
  </sheetViews>
  <sheetFormatPr defaultColWidth="0" defaultRowHeight="12.75" customHeight="1" x14ac:dyDescent="0.2"/>
  <cols>
    <col min="1" max="1" width="20.7109375" customWidth="1"/>
    <col min="2" max="2" width="7.42578125" customWidth="1"/>
    <col min="3" max="7" width="12.7109375" customWidth="1"/>
    <col min="8" max="16384" width="18.7109375" hidden="1"/>
  </cols>
  <sheetData>
    <row r="1" spans="1:7" x14ac:dyDescent="0.2">
      <c r="A1" s="143" t="s">
        <v>44</v>
      </c>
      <c r="B1" s="144"/>
      <c r="C1" s="144"/>
      <c r="D1" s="144"/>
      <c r="E1" s="685" t="str">
        <f>'0. Basic Info'!D11</f>
        <v>My Business</v>
      </c>
      <c r="F1" s="685"/>
      <c r="G1" s="686"/>
    </row>
    <row r="2" spans="1:7" x14ac:dyDescent="0.2">
      <c r="A2" s="146" t="s">
        <v>370</v>
      </c>
      <c r="B2" s="144"/>
      <c r="C2" s="144"/>
      <c r="D2" s="144"/>
      <c r="E2" s="144"/>
      <c r="F2" s="144"/>
      <c r="G2" s="156"/>
    </row>
    <row r="3" spans="1:7" x14ac:dyDescent="0.2">
      <c r="A3" s="146" t="s">
        <v>371</v>
      </c>
      <c r="B3" s="144"/>
      <c r="C3" s="144"/>
      <c r="D3" s="144"/>
      <c r="E3" s="144"/>
      <c r="F3" s="144"/>
      <c r="G3" s="156"/>
    </row>
    <row r="4" spans="1:7" x14ac:dyDescent="0.2">
      <c r="A4" s="9"/>
      <c r="B4" s="9"/>
      <c r="C4" s="9"/>
      <c r="D4" s="9"/>
    </row>
    <row r="5" spans="1:7" ht="13.5" thickBot="1" x14ac:dyDescent="0.25">
      <c r="A5" s="39" t="s">
        <v>287</v>
      </c>
      <c r="B5" s="40"/>
      <c r="C5" s="40"/>
      <c r="D5" s="40"/>
      <c r="E5" s="40" t="s">
        <v>372</v>
      </c>
      <c r="F5" s="40" t="s">
        <v>1</v>
      </c>
      <c r="G5" s="40" t="s">
        <v>1</v>
      </c>
    </row>
    <row r="6" spans="1:7" x14ac:dyDescent="0.2">
      <c r="A6" s="91" t="s">
        <v>311</v>
      </c>
      <c r="B6" s="614"/>
      <c r="C6" s="614"/>
      <c r="D6" s="614"/>
      <c r="E6" s="446">
        <v>30</v>
      </c>
      <c r="F6" s="447">
        <v>0.21</v>
      </c>
      <c r="G6" s="38">
        <f t="shared" ref="G6:G12" si="0">F6*E6</f>
        <v>6.3</v>
      </c>
    </row>
    <row r="7" spans="1:7" x14ac:dyDescent="0.2">
      <c r="A7" s="91" t="s">
        <v>312</v>
      </c>
      <c r="B7" s="614"/>
      <c r="C7" s="614"/>
      <c r="D7" s="614"/>
      <c r="E7" s="448">
        <v>1500</v>
      </c>
      <c r="F7" s="92">
        <v>0.21</v>
      </c>
      <c r="G7" s="330">
        <f t="shared" si="0"/>
        <v>315</v>
      </c>
    </row>
    <row r="8" spans="1:7" x14ac:dyDescent="0.2">
      <c r="A8" s="91" t="s">
        <v>313</v>
      </c>
      <c r="B8" s="614"/>
      <c r="C8" s="614"/>
      <c r="D8" s="614"/>
      <c r="E8" s="448">
        <v>230</v>
      </c>
      <c r="F8" s="92">
        <v>0.21</v>
      </c>
      <c r="G8" s="330">
        <f t="shared" si="0"/>
        <v>48.3</v>
      </c>
    </row>
    <row r="9" spans="1:7" x14ac:dyDescent="0.2">
      <c r="A9" s="91" t="s">
        <v>314</v>
      </c>
      <c r="B9" s="614"/>
      <c r="C9" s="614"/>
      <c r="D9" s="614"/>
      <c r="E9" s="448">
        <v>150</v>
      </c>
      <c r="F9" s="92">
        <v>0.21</v>
      </c>
      <c r="G9" s="330">
        <f t="shared" si="0"/>
        <v>31.5</v>
      </c>
    </row>
    <row r="10" spans="1:7" x14ac:dyDescent="0.2">
      <c r="A10" s="91" t="s">
        <v>315</v>
      </c>
      <c r="B10" s="614"/>
      <c r="C10" s="614"/>
      <c r="D10" s="614"/>
      <c r="E10" s="448">
        <v>120</v>
      </c>
      <c r="F10" s="92"/>
      <c r="G10" s="330">
        <f t="shared" si="0"/>
        <v>0</v>
      </c>
    </row>
    <row r="11" spans="1:7" x14ac:dyDescent="0.2">
      <c r="A11" s="91" t="s">
        <v>316</v>
      </c>
      <c r="B11" s="614"/>
      <c r="C11" s="614"/>
      <c r="D11" s="614"/>
      <c r="E11" s="448"/>
      <c r="F11" s="92"/>
      <c r="G11" s="330">
        <f t="shared" si="0"/>
        <v>0</v>
      </c>
    </row>
    <row r="12" spans="1:7" x14ac:dyDescent="0.2">
      <c r="A12" s="83" t="s">
        <v>9</v>
      </c>
      <c r="B12" s="613"/>
      <c r="C12" s="613"/>
      <c r="D12" s="613"/>
      <c r="E12" s="448"/>
      <c r="F12" s="92"/>
      <c r="G12" s="330">
        <f t="shared" si="0"/>
        <v>0</v>
      </c>
    </row>
    <row r="13" spans="1:7" ht="5.45" customHeight="1" x14ac:dyDescent="0.2">
      <c r="A13" s="141"/>
      <c r="B13" s="141"/>
      <c r="C13" s="141"/>
      <c r="D13" s="141"/>
      <c r="E13" s="141"/>
      <c r="F13" s="142"/>
      <c r="G13" s="157"/>
    </row>
    <row r="14" spans="1:7" x14ac:dyDescent="0.2">
      <c r="A14" s="143" t="s">
        <v>45</v>
      </c>
      <c r="B14" s="144"/>
      <c r="C14" s="144"/>
      <c r="D14" s="144"/>
      <c r="E14" s="144"/>
      <c r="F14" s="145"/>
      <c r="G14" s="156"/>
    </row>
    <row r="15" spans="1:7" x14ac:dyDescent="0.2">
      <c r="A15" s="146" t="s">
        <v>373</v>
      </c>
      <c r="B15" s="144"/>
      <c r="C15" s="144"/>
      <c r="D15" s="144"/>
      <c r="E15" s="144"/>
      <c r="F15" s="144"/>
      <c r="G15" s="156"/>
    </row>
    <row r="16" spans="1:7" ht="25.15" customHeight="1" thickBot="1" x14ac:dyDescent="0.25">
      <c r="C16" s="229" t="s">
        <v>248</v>
      </c>
      <c r="D16" s="696">
        <f>'6. Seasonality'!I11</f>
        <v>2</v>
      </c>
      <c r="E16" s="696"/>
      <c r="F16" s="696"/>
      <c r="G16" s="696"/>
    </row>
    <row r="17" spans="1:7" ht="13.5" thickBot="1" x14ac:dyDescent="0.25">
      <c r="A17" s="7" t="str">
        <f t="shared" ref="A17:A24" si="1">A5</f>
        <v>Customer Type</v>
      </c>
      <c r="B17" s="331"/>
      <c r="C17" s="230">
        <f>'0. Basic Info'!D16</f>
        <v>2019</v>
      </c>
      <c r="D17" s="687" t="s">
        <v>107</v>
      </c>
      <c r="E17" s="688"/>
      <c r="F17" s="688"/>
      <c r="G17" s="689"/>
    </row>
    <row r="18" spans="1:7" x14ac:dyDescent="0.2">
      <c r="A18" s="6" t="str">
        <f t="shared" si="1"/>
        <v>Customer 1</v>
      </c>
      <c r="B18" s="332"/>
      <c r="C18" s="449">
        <v>60</v>
      </c>
      <c r="D18" s="690" t="s">
        <v>108</v>
      </c>
      <c r="E18" s="691"/>
      <c r="F18" s="691"/>
      <c r="G18" s="692"/>
    </row>
    <row r="19" spans="1:7" ht="13.5" thickBot="1" x14ac:dyDescent="0.25">
      <c r="A19" s="3" t="str">
        <f t="shared" si="1"/>
        <v>Customer 2</v>
      </c>
      <c r="B19" s="332"/>
      <c r="C19" s="450">
        <v>2</v>
      </c>
      <c r="D19" s="693" t="s">
        <v>147</v>
      </c>
      <c r="E19" s="694"/>
      <c r="F19" s="694"/>
      <c r="G19" s="695"/>
    </row>
    <row r="20" spans="1:7" ht="13.5" thickBot="1" x14ac:dyDescent="0.25">
      <c r="A20" s="3" t="str">
        <f t="shared" si="1"/>
        <v>Customer 3</v>
      </c>
      <c r="B20" s="332"/>
      <c r="C20" s="450">
        <v>50</v>
      </c>
      <c r="D20" s="546"/>
      <c r="E20" s="547" t="s">
        <v>39</v>
      </c>
      <c r="F20" s="548" t="s">
        <v>38</v>
      </c>
      <c r="G20" s="549" t="s">
        <v>40</v>
      </c>
    </row>
    <row r="21" spans="1:7" x14ac:dyDescent="0.2">
      <c r="A21" s="3" t="str">
        <f t="shared" si="1"/>
        <v>Customer 4</v>
      </c>
      <c r="B21" s="332"/>
      <c r="C21" s="450">
        <v>40</v>
      </c>
      <c r="D21" s="550" t="s">
        <v>109</v>
      </c>
      <c r="E21" s="551">
        <f>'8. P&amp;L and Cashflow'!C7</f>
        <v>256450</v>
      </c>
      <c r="F21" s="552">
        <f t="shared" ref="F21:F26" si="2">E21/12</f>
        <v>21370.833333333332</v>
      </c>
      <c r="G21" s="553">
        <f>E21/52</f>
        <v>4931.7307692307695</v>
      </c>
    </row>
    <row r="22" spans="1:7" x14ac:dyDescent="0.2">
      <c r="A22" s="3" t="str">
        <f t="shared" si="1"/>
        <v>Customer 5</v>
      </c>
      <c r="B22" s="332"/>
      <c r="C22" s="450"/>
      <c r="D22" s="554" t="s">
        <v>1</v>
      </c>
      <c r="E22" s="555">
        <f>'8. P&amp;L and Cashflow'!C8</f>
        <v>53854.5</v>
      </c>
      <c r="F22" s="552">
        <f t="shared" si="2"/>
        <v>4487.875</v>
      </c>
      <c r="G22" s="553">
        <f t="shared" ref="G22:G24" si="3">E22/52</f>
        <v>1035.6634615384614</v>
      </c>
    </row>
    <row r="23" spans="1:7" x14ac:dyDescent="0.2">
      <c r="A23" s="3" t="str">
        <f t="shared" si="1"/>
        <v>Customer 6</v>
      </c>
      <c r="B23" s="332"/>
      <c r="C23" s="450"/>
      <c r="D23" s="554" t="s">
        <v>63</v>
      </c>
      <c r="E23" s="555">
        <f>'8. P&amp;L and Cashflow'!C53</f>
        <v>198420.16946428569</v>
      </c>
      <c r="F23" s="552">
        <f t="shared" si="2"/>
        <v>16535.014122023807</v>
      </c>
      <c r="G23" s="553">
        <f t="shared" si="3"/>
        <v>3815.7724896978016</v>
      </c>
    </row>
    <row r="24" spans="1:7" ht="13.5" thickBot="1" x14ac:dyDescent="0.25">
      <c r="A24" s="7" t="str">
        <f t="shared" si="1"/>
        <v>Other</v>
      </c>
      <c r="B24" s="22"/>
      <c r="C24" s="231"/>
      <c r="D24" s="556" t="s">
        <v>285</v>
      </c>
      <c r="E24" s="557">
        <f>'8. P&amp;L and Cashflow'!P57</f>
        <v>1598.3333528954211</v>
      </c>
      <c r="F24" s="558">
        <f t="shared" si="2"/>
        <v>133.19444607461841</v>
      </c>
      <c r="G24" s="559">
        <f t="shared" si="3"/>
        <v>30.737179863373481</v>
      </c>
    </row>
    <row r="25" spans="1:7" ht="13.5" thickBot="1" x14ac:dyDescent="0.25">
      <c r="A25" s="37" t="s">
        <v>374</v>
      </c>
      <c r="B25" s="6"/>
      <c r="C25" s="232">
        <f>SUM(C18:C24)</f>
        <v>152</v>
      </c>
      <c r="D25" s="560" t="s">
        <v>5</v>
      </c>
      <c r="E25" s="561">
        <f>'8. P&amp;L and Cashflow'!C60</f>
        <v>2190.4476053960566</v>
      </c>
      <c r="F25" s="562">
        <f t="shared" si="2"/>
        <v>182.53730044967139</v>
      </c>
      <c r="G25" s="563">
        <f>E25/52</f>
        <v>42.123992411462623</v>
      </c>
    </row>
    <row r="26" spans="1:7" ht="14.45" customHeight="1" thickBot="1" x14ac:dyDescent="0.25">
      <c r="D26" s="564" t="s">
        <v>110</v>
      </c>
      <c r="E26" s="565">
        <f>(E23+E24)/(1-(E22/E21))</f>
        <v>253187.97824959634</v>
      </c>
      <c r="F26" s="566">
        <f t="shared" si="2"/>
        <v>21098.998187466361</v>
      </c>
      <c r="G26" s="567">
        <f>E26/52</f>
        <v>4868.9995817230065</v>
      </c>
    </row>
    <row r="27" spans="1:7" x14ac:dyDescent="0.2">
      <c r="A27" s="2" t="s">
        <v>281</v>
      </c>
      <c r="B27" s="14"/>
      <c r="C27" s="14"/>
      <c r="D27" s="328"/>
      <c r="E27" s="146"/>
      <c r="F27" s="146"/>
      <c r="G27" s="329"/>
    </row>
    <row r="28" spans="1:7" x14ac:dyDescent="0.2">
      <c r="A28" t="s">
        <v>246</v>
      </c>
      <c r="D28" s="151"/>
      <c r="E28" s="148"/>
      <c r="F28" s="148"/>
      <c r="G28" s="159"/>
    </row>
    <row r="29" spans="1:7" x14ac:dyDescent="0.2">
      <c r="A29" s="9"/>
    </row>
    <row r="30" spans="1:7" ht="13.5" thickBot="1" x14ac:dyDescent="0.25">
      <c r="A30" s="540" t="str">
        <f>A17</f>
        <v>Customer Type</v>
      </c>
      <c r="B30" s="7"/>
      <c r="C30" s="638">
        <f>C66</f>
        <v>2019</v>
      </c>
      <c r="D30" s="638">
        <f>C30+1</f>
        <v>2020</v>
      </c>
      <c r="E30" s="638">
        <f t="shared" ref="E30:G30" si="4">D30+1</f>
        <v>2021</v>
      </c>
      <c r="F30" s="638">
        <f t="shared" si="4"/>
        <v>2022</v>
      </c>
      <c r="G30" s="638">
        <f t="shared" si="4"/>
        <v>2023</v>
      </c>
    </row>
    <row r="31" spans="1:7" x14ac:dyDescent="0.2">
      <c r="A31" s="6" t="str">
        <f t="shared" ref="A31:A37" si="5">A67</f>
        <v>Customer 1</v>
      </c>
      <c r="B31" s="6"/>
      <c r="C31" s="394"/>
      <c r="D31" s="395">
        <v>0.1</v>
      </c>
      <c r="E31" s="395">
        <v>0.1</v>
      </c>
      <c r="F31" s="395">
        <v>0.1</v>
      </c>
      <c r="G31" s="395">
        <v>0.1</v>
      </c>
    </row>
    <row r="32" spans="1:7" x14ac:dyDescent="0.2">
      <c r="A32" s="6" t="str">
        <f t="shared" si="5"/>
        <v>Customer 2</v>
      </c>
      <c r="B32" s="3"/>
      <c r="C32" s="394"/>
      <c r="D32" s="396">
        <v>0.15</v>
      </c>
      <c r="E32" s="396">
        <v>0.15</v>
      </c>
      <c r="F32" s="396">
        <v>0.15</v>
      </c>
      <c r="G32" s="396">
        <v>0.15</v>
      </c>
    </row>
    <row r="33" spans="1:7" x14ac:dyDescent="0.2">
      <c r="A33" s="6" t="str">
        <f t="shared" si="5"/>
        <v>Customer 3</v>
      </c>
      <c r="B33" s="3"/>
      <c r="C33" s="394"/>
      <c r="D33" s="396">
        <v>0.15</v>
      </c>
      <c r="E33" s="396">
        <v>0.15</v>
      </c>
      <c r="F33" s="396">
        <v>0.15</v>
      </c>
      <c r="G33" s="396">
        <v>0.15</v>
      </c>
    </row>
    <row r="34" spans="1:7" x14ac:dyDescent="0.2">
      <c r="A34" s="6" t="str">
        <f t="shared" si="5"/>
        <v>Customer 4</v>
      </c>
      <c r="B34" s="3"/>
      <c r="C34" s="394"/>
      <c r="D34" s="396">
        <v>0.1</v>
      </c>
      <c r="E34" s="396">
        <v>0.1</v>
      </c>
      <c r="F34" s="396">
        <v>0.1</v>
      </c>
      <c r="G34" s="396">
        <v>0.1</v>
      </c>
    </row>
    <row r="35" spans="1:7" x14ac:dyDescent="0.2">
      <c r="A35" s="6" t="str">
        <f t="shared" si="5"/>
        <v>Customer 5</v>
      </c>
      <c r="B35" s="3"/>
      <c r="C35" s="394"/>
      <c r="D35" s="396">
        <v>0.1</v>
      </c>
      <c r="E35" s="396">
        <v>0.1</v>
      </c>
      <c r="F35" s="396">
        <v>0.1</v>
      </c>
      <c r="G35" s="396">
        <v>0.1</v>
      </c>
    </row>
    <row r="36" spans="1:7" x14ac:dyDescent="0.2">
      <c r="A36" s="6" t="str">
        <f t="shared" si="5"/>
        <v>Customer 6</v>
      </c>
      <c r="B36" s="3"/>
      <c r="C36" s="394"/>
      <c r="D36" s="396">
        <v>0.1</v>
      </c>
      <c r="E36" s="396">
        <v>0.1</v>
      </c>
      <c r="F36" s="396">
        <v>0.1</v>
      </c>
      <c r="G36" s="396">
        <v>0.1</v>
      </c>
    </row>
    <row r="37" spans="1:7" ht="13.5" thickBot="1" x14ac:dyDescent="0.25">
      <c r="A37" s="6" t="str">
        <f t="shared" si="5"/>
        <v>Other</v>
      </c>
      <c r="B37" s="7"/>
      <c r="C37" s="397"/>
      <c r="D37" s="398"/>
      <c r="E37" s="398"/>
      <c r="F37" s="398"/>
      <c r="G37" s="398"/>
    </row>
    <row r="38" spans="1:7" x14ac:dyDescent="0.2">
      <c r="C38" s="541"/>
      <c r="D38" s="541"/>
      <c r="E38" s="541"/>
      <c r="F38" s="541"/>
      <c r="G38" s="541"/>
    </row>
    <row r="39" spans="1:7" x14ac:dyDescent="0.2">
      <c r="A39" s="2" t="s">
        <v>376</v>
      </c>
      <c r="D39" s="149"/>
      <c r="E39" s="145"/>
      <c r="F39" s="147"/>
      <c r="G39" s="156"/>
    </row>
    <row r="40" spans="1:7" ht="3.6" customHeight="1" x14ac:dyDescent="0.2">
      <c r="A40" s="11"/>
      <c r="C40" s="147"/>
      <c r="D40" s="147"/>
      <c r="E40" s="147"/>
      <c r="F40" s="147"/>
      <c r="G40" s="158"/>
    </row>
    <row r="41" spans="1:7" ht="13.5" thickBot="1" x14ac:dyDescent="0.25">
      <c r="A41" s="7" t="str">
        <f t="shared" ref="A41:A48" si="6">A5</f>
        <v>Customer Type</v>
      </c>
      <c r="B41" s="7"/>
      <c r="C41" s="638">
        <f>C17</f>
        <v>2019</v>
      </c>
      <c r="D41" s="638">
        <f>C41+1</f>
        <v>2020</v>
      </c>
      <c r="E41" s="638">
        <f t="shared" ref="E41:G41" si="7">D41+1</f>
        <v>2021</v>
      </c>
      <c r="F41" s="638">
        <f t="shared" si="7"/>
        <v>2022</v>
      </c>
      <c r="G41" s="638">
        <f t="shared" si="7"/>
        <v>2023</v>
      </c>
    </row>
    <row r="42" spans="1:7" x14ac:dyDescent="0.2">
      <c r="A42" s="6" t="str">
        <f t="shared" si="6"/>
        <v>Customer 1</v>
      </c>
      <c r="B42" s="6"/>
      <c r="C42" s="21">
        <f t="shared" ref="C42:C48" si="8">C18*12</f>
        <v>720</v>
      </c>
      <c r="D42" s="21">
        <f t="shared" ref="D42:G48" si="9">C42*(1+D31)</f>
        <v>792.00000000000011</v>
      </c>
      <c r="E42" s="21">
        <f t="shared" si="9"/>
        <v>871.20000000000016</v>
      </c>
      <c r="F42" s="21">
        <f t="shared" si="9"/>
        <v>958.32000000000028</v>
      </c>
      <c r="G42" s="21">
        <f t="shared" si="9"/>
        <v>1054.1520000000005</v>
      </c>
    </row>
    <row r="43" spans="1:7" x14ac:dyDescent="0.2">
      <c r="A43" s="3" t="str">
        <f t="shared" si="6"/>
        <v>Customer 2</v>
      </c>
      <c r="B43" s="3"/>
      <c r="C43" s="21">
        <f t="shared" si="8"/>
        <v>24</v>
      </c>
      <c r="D43" s="21">
        <f t="shared" si="9"/>
        <v>27.599999999999998</v>
      </c>
      <c r="E43" s="21">
        <f t="shared" si="9"/>
        <v>31.739999999999995</v>
      </c>
      <c r="F43" s="21">
        <f t="shared" si="9"/>
        <v>36.500999999999991</v>
      </c>
      <c r="G43" s="21">
        <f t="shared" si="9"/>
        <v>41.976149999999983</v>
      </c>
    </row>
    <row r="44" spans="1:7" x14ac:dyDescent="0.2">
      <c r="A44" s="3" t="str">
        <f t="shared" si="6"/>
        <v>Customer 3</v>
      </c>
      <c r="B44" s="3"/>
      <c r="C44" s="21">
        <f t="shared" si="8"/>
        <v>600</v>
      </c>
      <c r="D44" s="21">
        <f t="shared" si="9"/>
        <v>690</v>
      </c>
      <c r="E44" s="21">
        <f t="shared" si="9"/>
        <v>793.49999999999989</v>
      </c>
      <c r="F44" s="21">
        <f t="shared" si="9"/>
        <v>912.52499999999975</v>
      </c>
      <c r="G44" s="21">
        <f t="shared" si="9"/>
        <v>1049.4037499999997</v>
      </c>
    </row>
    <row r="45" spans="1:7" x14ac:dyDescent="0.2">
      <c r="A45" s="3" t="str">
        <f t="shared" si="6"/>
        <v>Customer 4</v>
      </c>
      <c r="B45" s="3"/>
      <c r="C45" s="21">
        <f t="shared" si="8"/>
        <v>480</v>
      </c>
      <c r="D45" s="21">
        <f t="shared" si="9"/>
        <v>528</v>
      </c>
      <c r="E45" s="21">
        <f t="shared" si="9"/>
        <v>580.80000000000007</v>
      </c>
      <c r="F45" s="21">
        <f t="shared" si="9"/>
        <v>638.88000000000011</v>
      </c>
      <c r="G45" s="21">
        <f t="shared" si="9"/>
        <v>702.76800000000014</v>
      </c>
    </row>
    <row r="46" spans="1:7" x14ac:dyDescent="0.2">
      <c r="A46" s="3" t="str">
        <f t="shared" si="6"/>
        <v>Customer 5</v>
      </c>
      <c r="B46" s="3"/>
      <c r="C46" s="21">
        <f t="shared" si="8"/>
        <v>0</v>
      </c>
      <c r="D46" s="21">
        <f t="shared" si="9"/>
        <v>0</v>
      </c>
      <c r="E46" s="21">
        <f t="shared" si="9"/>
        <v>0</v>
      </c>
      <c r="F46" s="21">
        <f t="shared" si="9"/>
        <v>0</v>
      </c>
      <c r="G46" s="21">
        <f t="shared" si="9"/>
        <v>0</v>
      </c>
    </row>
    <row r="47" spans="1:7" x14ac:dyDescent="0.2">
      <c r="A47" s="3" t="str">
        <f t="shared" si="6"/>
        <v>Customer 6</v>
      </c>
      <c r="B47" s="3"/>
      <c r="C47" s="21">
        <f t="shared" si="8"/>
        <v>0</v>
      </c>
      <c r="D47" s="21">
        <f t="shared" si="9"/>
        <v>0</v>
      </c>
      <c r="E47" s="21">
        <f t="shared" si="9"/>
        <v>0</v>
      </c>
      <c r="F47" s="21">
        <f t="shared" si="9"/>
        <v>0</v>
      </c>
      <c r="G47" s="21">
        <f t="shared" si="9"/>
        <v>0</v>
      </c>
    </row>
    <row r="48" spans="1:7" ht="13.5" thickBot="1" x14ac:dyDescent="0.25">
      <c r="A48" s="7" t="str">
        <f t="shared" si="6"/>
        <v>Other</v>
      </c>
      <c r="B48" s="7"/>
      <c r="C48" s="20">
        <f t="shared" si="8"/>
        <v>0</v>
      </c>
      <c r="D48" s="20">
        <f t="shared" si="9"/>
        <v>0</v>
      </c>
      <c r="E48" s="20">
        <f t="shared" si="9"/>
        <v>0</v>
      </c>
      <c r="F48" s="20">
        <f t="shared" si="9"/>
        <v>0</v>
      </c>
      <c r="G48" s="20">
        <f t="shared" si="9"/>
        <v>0</v>
      </c>
    </row>
    <row r="49" spans="1:7" x14ac:dyDescent="0.2">
      <c r="A49" s="37" t="s">
        <v>379</v>
      </c>
      <c r="B49" s="6"/>
      <c r="C49" s="13">
        <f>SUM(C42:C48)</f>
        <v>1824</v>
      </c>
      <c r="D49" s="13">
        <f t="shared" ref="D49:G49" si="10">SUM(D42:D48)</f>
        <v>2037.6000000000001</v>
      </c>
      <c r="E49" s="13">
        <f t="shared" si="10"/>
        <v>2277.2400000000002</v>
      </c>
      <c r="F49" s="13">
        <f t="shared" si="10"/>
        <v>2546.2260000000001</v>
      </c>
      <c r="G49" s="13">
        <f t="shared" si="10"/>
        <v>2848.2999</v>
      </c>
    </row>
    <row r="50" spans="1:7" x14ac:dyDescent="0.2">
      <c r="A50" s="25"/>
      <c r="B50" s="17"/>
      <c r="C50" s="19"/>
      <c r="D50" s="19"/>
      <c r="E50" s="19"/>
      <c r="F50" s="19"/>
      <c r="G50" s="19"/>
    </row>
    <row r="51" spans="1:7" x14ac:dyDescent="0.2">
      <c r="A51" s="11"/>
      <c r="C51" s="14"/>
      <c r="D51" s="150"/>
      <c r="E51" s="150"/>
      <c r="F51" s="150"/>
      <c r="G51" s="150"/>
    </row>
    <row r="52" spans="1:7" x14ac:dyDescent="0.2">
      <c r="A52" s="2" t="s">
        <v>377</v>
      </c>
      <c r="C52" s="14"/>
      <c r="D52" s="150"/>
      <c r="E52" s="150"/>
      <c r="F52" s="150"/>
      <c r="G52" s="150"/>
    </row>
    <row r="53" spans="1:7" ht="13.5" thickBot="1" x14ac:dyDescent="0.25">
      <c r="C53" s="682" t="s">
        <v>27</v>
      </c>
      <c r="D53" s="683"/>
      <c r="E53" s="683"/>
      <c r="F53" s="683"/>
      <c r="G53" s="684"/>
    </row>
    <row r="54" spans="1:7" ht="27" customHeight="1" thickBot="1" x14ac:dyDescent="0.25">
      <c r="A54" s="15" t="str">
        <f t="shared" ref="A54:A61" si="11">A17</f>
        <v>Customer Type</v>
      </c>
      <c r="B54" s="634" t="s">
        <v>375</v>
      </c>
      <c r="C54" s="4">
        <f>C17</f>
        <v>2019</v>
      </c>
      <c r="D54" s="22">
        <f>C41+1</f>
        <v>2020</v>
      </c>
      <c r="E54" s="22">
        <f t="shared" ref="E54:G54" si="12">D54+1</f>
        <v>2021</v>
      </c>
      <c r="F54" s="22">
        <f t="shared" si="12"/>
        <v>2022</v>
      </c>
      <c r="G54" s="22">
        <f t="shared" si="12"/>
        <v>2023</v>
      </c>
    </row>
    <row r="55" spans="1:7" x14ac:dyDescent="0.2">
      <c r="A55" s="15" t="str">
        <f t="shared" si="11"/>
        <v>Customer 1</v>
      </c>
      <c r="B55" s="41">
        <f>C55/C$62</f>
        <v>8.0717488789237665E-2</v>
      </c>
      <c r="C55" s="5">
        <f t="shared" ref="C55:C61" si="13">C42*$E6</f>
        <v>21600</v>
      </c>
      <c r="D55" s="76">
        <f>(D31+1)*C55</f>
        <v>23760.000000000004</v>
      </c>
      <c r="E55" s="76">
        <f t="shared" ref="E55:G55" si="14">(E31+1)*D55</f>
        <v>26136.000000000007</v>
      </c>
      <c r="F55" s="76">
        <f t="shared" si="14"/>
        <v>28749.600000000009</v>
      </c>
      <c r="G55" s="76">
        <f t="shared" si="14"/>
        <v>31624.560000000012</v>
      </c>
    </row>
    <row r="56" spans="1:7" x14ac:dyDescent="0.2">
      <c r="A56" s="15" t="str">
        <f t="shared" si="11"/>
        <v>Customer 2</v>
      </c>
      <c r="B56" s="41">
        <f t="shared" ref="B56:B61" si="15">C56/C$62</f>
        <v>0.13452914798206278</v>
      </c>
      <c r="C56" s="5">
        <f t="shared" si="13"/>
        <v>36000</v>
      </c>
      <c r="D56" s="76">
        <f t="shared" ref="D56:G56" si="16">(D32+1)*C56</f>
        <v>41400</v>
      </c>
      <c r="E56" s="76">
        <f t="shared" si="16"/>
        <v>47609.999999999993</v>
      </c>
      <c r="F56" s="76">
        <f t="shared" si="16"/>
        <v>54751.499999999985</v>
      </c>
      <c r="G56" s="76">
        <f t="shared" si="16"/>
        <v>62964.224999999977</v>
      </c>
    </row>
    <row r="57" spans="1:7" x14ac:dyDescent="0.2">
      <c r="A57" s="15" t="str">
        <f t="shared" si="11"/>
        <v>Customer 3</v>
      </c>
      <c r="B57" s="41">
        <f t="shared" si="15"/>
        <v>0.51569506726457404</v>
      </c>
      <c r="C57" s="5">
        <f t="shared" si="13"/>
        <v>138000</v>
      </c>
      <c r="D57" s="76">
        <f t="shared" ref="D57:G57" si="17">(D33+1)*C57</f>
        <v>158700</v>
      </c>
      <c r="E57" s="76">
        <f t="shared" si="17"/>
        <v>182505</v>
      </c>
      <c r="F57" s="76">
        <f t="shared" si="17"/>
        <v>209880.74999999997</v>
      </c>
      <c r="G57" s="76">
        <f t="shared" si="17"/>
        <v>241362.86249999996</v>
      </c>
    </row>
    <row r="58" spans="1:7" x14ac:dyDescent="0.2">
      <c r="A58" s="15" t="str">
        <f t="shared" si="11"/>
        <v>Customer 4</v>
      </c>
      <c r="B58" s="41">
        <f t="shared" si="15"/>
        <v>0.26905829596412556</v>
      </c>
      <c r="C58" s="5">
        <f t="shared" si="13"/>
        <v>72000</v>
      </c>
      <c r="D58" s="76">
        <f t="shared" ref="D58:G58" si="18">(D34+1)*C58</f>
        <v>79200</v>
      </c>
      <c r="E58" s="76">
        <f t="shared" si="18"/>
        <v>87120</v>
      </c>
      <c r="F58" s="76">
        <f t="shared" si="18"/>
        <v>95832.000000000015</v>
      </c>
      <c r="G58" s="76">
        <f t="shared" si="18"/>
        <v>105415.20000000003</v>
      </c>
    </row>
    <row r="59" spans="1:7" x14ac:dyDescent="0.2">
      <c r="A59" s="15" t="str">
        <f t="shared" si="11"/>
        <v>Customer 5</v>
      </c>
      <c r="B59" s="41">
        <f t="shared" si="15"/>
        <v>0</v>
      </c>
      <c r="C59" s="5">
        <f t="shared" si="13"/>
        <v>0</v>
      </c>
      <c r="D59" s="76">
        <f t="shared" ref="D59:G59" si="19">(D35+1)*C59</f>
        <v>0</v>
      </c>
      <c r="E59" s="76">
        <f t="shared" si="19"/>
        <v>0</v>
      </c>
      <c r="F59" s="76">
        <f t="shared" si="19"/>
        <v>0</v>
      </c>
      <c r="G59" s="76">
        <f t="shared" si="19"/>
        <v>0</v>
      </c>
    </row>
    <row r="60" spans="1:7" x14ac:dyDescent="0.2">
      <c r="A60" s="15" t="str">
        <f t="shared" si="11"/>
        <v>Customer 6</v>
      </c>
      <c r="B60" s="41">
        <f t="shared" si="15"/>
        <v>0</v>
      </c>
      <c r="C60" s="5">
        <f t="shared" si="13"/>
        <v>0</v>
      </c>
      <c r="D60" s="76">
        <f t="shared" ref="D60:G60" si="20">(D36+1)*C60</f>
        <v>0</v>
      </c>
      <c r="E60" s="76">
        <f t="shared" si="20"/>
        <v>0</v>
      </c>
      <c r="F60" s="76">
        <f t="shared" si="20"/>
        <v>0</v>
      </c>
      <c r="G60" s="76">
        <f t="shared" si="20"/>
        <v>0</v>
      </c>
    </row>
    <row r="61" spans="1:7" s="34" customFormat="1" ht="13.5" thickBot="1" x14ac:dyDescent="0.25">
      <c r="A61" s="16" t="str">
        <f t="shared" si="11"/>
        <v>Other</v>
      </c>
      <c r="B61" s="42">
        <f t="shared" si="15"/>
        <v>0</v>
      </c>
      <c r="C61" s="8">
        <f t="shared" si="13"/>
        <v>0</v>
      </c>
      <c r="D61" s="8">
        <f t="shared" ref="D61:G61" si="21">(D37+1)*C61</f>
        <v>0</v>
      </c>
      <c r="E61" s="8">
        <f t="shared" si="21"/>
        <v>0</v>
      </c>
      <c r="F61" s="8">
        <f t="shared" si="21"/>
        <v>0</v>
      </c>
      <c r="G61" s="8">
        <f t="shared" si="21"/>
        <v>0</v>
      </c>
    </row>
    <row r="62" spans="1:7" x14ac:dyDescent="0.2">
      <c r="A62" s="44" t="s">
        <v>6</v>
      </c>
      <c r="B62" s="45">
        <f>SUM(B55:B61)</f>
        <v>1</v>
      </c>
      <c r="C62" s="46">
        <f>SUM(C55:C61)</f>
        <v>267600</v>
      </c>
      <c r="D62" s="46">
        <f t="shared" ref="D62:G62" si="22">SUM(D55:D61)</f>
        <v>303060</v>
      </c>
      <c r="E62" s="46">
        <f t="shared" si="22"/>
        <v>343371</v>
      </c>
      <c r="F62" s="46">
        <f t="shared" si="22"/>
        <v>389213.85</v>
      </c>
      <c r="G62" s="46">
        <f t="shared" si="22"/>
        <v>441366.84749999997</v>
      </c>
    </row>
    <row r="63" spans="1:7" x14ac:dyDescent="0.2">
      <c r="B63" s="43"/>
      <c r="C63" s="18"/>
      <c r="D63" s="150"/>
      <c r="E63" s="150"/>
      <c r="F63" s="150"/>
      <c r="G63" s="150"/>
    </row>
    <row r="64" spans="1:7" ht="12.75" customHeight="1" x14ac:dyDescent="0.2">
      <c r="A64" s="2" t="s">
        <v>378</v>
      </c>
      <c r="C64" s="14"/>
      <c r="D64" s="150"/>
      <c r="E64" s="150"/>
      <c r="F64" s="150"/>
      <c r="G64" s="150"/>
    </row>
    <row r="65" spans="1:7" ht="12.75" customHeight="1" thickBot="1" x14ac:dyDescent="0.25">
      <c r="A65" s="208"/>
      <c r="B65" s="209"/>
      <c r="C65" s="682" t="s">
        <v>46</v>
      </c>
      <c r="D65" s="683"/>
      <c r="E65" s="683"/>
      <c r="F65" s="683"/>
      <c r="G65" s="684"/>
    </row>
    <row r="66" spans="1:7" ht="12.75" customHeight="1" x14ac:dyDescent="0.2">
      <c r="A66" s="15" t="str">
        <f t="shared" ref="A66:A73" si="23">A41</f>
        <v>Customer Type</v>
      </c>
      <c r="B66" s="41"/>
      <c r="C66" s="332">
        <f>C54</f>
        <v>2019</v>
      </c>
      <c r="D66" s="637">
        <f>C54+1</f>
        <v>2020</v>
      </c>
      <c r="E66" s="637">
        <f t="shared" ref="E66:G66" si="24">D66+1</f>
        <v>2021</v>
      </c>
      <c r="F66" s="637">
        <f t="shared" si="24"/>
        <v>2022</v>
      </c>
      <c r="G66" s="637">
        <f t="shared" si="24"/>
        <v>2023</v>
      </c>
    </row>
    <row r="67" spans="1:7" ht="12.75" customHeight="1" x14ac:dyDescent="0.2">
      <c r="A67" s="15" t="str">
        <f t="shared" si="23"/>
        <v>Customer 1</v>
      </c>
      <c r="B67" s="41"/>
      <c r="C67" s="5">
        <f t="shared" ref="C67:G73" si="25">C55*($F6)</f>
        <v>4536</v>
      </c>
      <c r="D67" s="5">
        <f t="shared" si="25"/>
        <v>4989.6000000000004</v>
      </c>
      <c r="E67" s="5">
        <f t="shared" si="25"/>
        <v>5488.5600000000013</v>
      </c>
      <c r="F67" s="5">
        <f t="shared" si="25"/>
        <v>6037.416000000002</v>
      </c>
      <c r="G67" s="5">
        <f t="shared" si="25"/>
        <v>6641.1576000000023</v>
      </c>
    </row>
    <row r="68" spans="1:7" ht="12.75" customHeight="1" x14ac:dyDescent="0.2">
      <c r="A68" s="15" t="str">
        <f t="shared" si="23"/>
        <v>Customer 2</v>
      </c>
      <c r="B68" s="41"/>
      <c r="C68" s="5">
        <f t="shared" si="25"/>
        <v>7560</v>
      </c>
      <c r="D68" s="5">
        <f t="shared" si="25"/>
        <v>8694</v>
      </c>
      <c r="E68" s="5">
        <f t="shared" si="25"/>
        <v>9998.0999999999985</v>
      </c>
      <c r="F68" s="5">
        <f t="shared" si="25"/>
        <v>11497.814999999997</v>
      </c>
      <c r="G68" s="5">
        <f t="shared" si="25"/>
        <v>13222.487249999995</v>
      </c>
    </row>
    <row r="69" spans="1:7" ht="12.75" customHeight="1" x14ac:dyDescent="0.2">
      <c r="A69" s="15" t="str">
        <f t="shared" si="23"/>
        <v>Customer 3</v>
      </c>
      <c r="B69" s="41"/>
      <c r="C69" s="5">
        <f t="shared" si="25"/>
        <v>28980</v>
      </c>
      <c r="D69" s="5">
        <f t="shared" si="25"/>
        <v>33327</v>
      </c>
      <c r="E69" s="5">
        <f t="shared" si="25"/>
        <v>38326.049999999996</v>
      </c>
      <c r="F69" s="5">
        <f t="shared" si="25"/>
        <v>44074.95749999999</v>
      </c>
      <c r="G69" s="5">
        <f t="shared" si="25"/>
        <v>50686.201124999992</v>
      </c>
    </row>
    <row r="70" spans="1:7" ht="12.75" customHeight="1" x14ac:dyDescent="0.2">
      <c r="A70" s="15" t="str">
        <f t="shared" si="23"/>
        <v>Customer 4</v>
      </c>
      <c r="B70" s="41"/>
      <c r="C70" s="5">
        <f t="shared" si="25"/>
        <v>15120</v>
      </c>
      <c r="D70" s="5">
        <f t="shared" si="25"/>
        <v>16632</v>
      </c>
      <c r="E70" s="5">
        <f t="shared" si="25"/>
        <v>18295.2</v>
      </c>
      <c r="F70" s="5">
        <f t="shared" si="25"/>
        <v>20124.72</v>
      </c>
      <c r="G70" s="5">
        <f t="shared" si="25"/>
        <v>22137.192000000006</v>
      </c>
    </row>
    <row r="71" spans="1:7" ht="12.75" customHeight="1" x14ac:dyDescent="0.2">
      <c r="A71" s="15" t="str">
        <f t="shared" si="23"/>
        <v>Customer 5</v>
      </c>
      <c r="B71" s="41"/>
      <c r="C71" s="5">
        <f t="shared" si="25"/>
        <v>0</v>
      </c>
      <c r="D71" s="5">
        <f t="shared" si="25"/>
        <v>0</v>
      </c>
      <c r="E71" s="5">
        <f t="shared" si="25"/>
        <v>0</v>
      </c>
      <c r="F71" s="5">
        <f t="shared" si="25"/>
        <v>0</v>
      </c>
      <c r="G71" s="5">
        <f t="shared" si="25"/>
        <v>0</v>
      </c>
    </row>
    <row r="72" spans="1:7" ht="12.75" customHeight="1" x14ac:dyDescent="0.2">
      <c r="A72" s="15" t="str">
        <f t="shared" si="23"/>
        <v>Customer 6</v>
      </c>
      <c r="B72" s="41"/>
      <c r="C72" s="5">
        <f t="shared" si="25"/>
        <v>0</v>
      </c>
      <c r="D72" s="5">
        <f t="shared" si="25"/>
        <v>0</v>
      </c>
      <c r="E72" s="5">
        <f t="shared" si="25"/>
        <v>0</v>
      </c>
      <c r="F72" s="5">
        <f t="shared" si="25"/>
        <v>0</v>
      </c>
      <c r="G72" s="5">
        <f t="shared" si="25"/>
        <v>0</v>
      </c>
    </row>
    <row r="73" spans="1:7" ht="12.75" customHeight="1" thickBot="1" x14ac:dyDescent="0.25">
      <c r="A73" s="635" t="str">
        <f t="shared" si="23"/>
        <v>Other</v>
      </c>
      <c r="B73" s="42"/>
      <c r="C73" s="8">
        <f t="shared" si="25"/>
        <v>0</v>
      </c>
      <c r="D73" s="8">
        <f t="shared" si="25"/>
        <v>0</v>
      </c>
      <c r="E73" s="8">
        <f t="shared" si="25"/>
        <v>0</v>
      </c>
      <c r="F73" s="8">
        <f t="shared" si="25"/>
        <v>0</v>
      </c>
      <c r="G73" s="8">
        <f t="shared" si="25"/>
        <v>0</v>
      </c>
    </row>
    <row r="74" spans="1:7" s="34" customFormat="1" ht="12.75" customHeight="1" thickBot="1" x14ac:dyDescent="0.25">
      <c r="A74" s="639" t="s">
        <v>47</v>
      </c>
      <c r="B74" s="640"/>
      <c r="C74" s="641">
        <f t="shared" ref="C74:G74" si="26">SUM(C67:C73)</f>
        <v>56196</v>
      </c>
      <c r="D74" s="641">
        <f t="shared" si="26"/>
        <v>63642.6</v>
      </c>
      <c r="E74" s="641">
        <f t="shared" si="26"/>
        <v>72107.909999999989</v>
      </c>
      <c r="F74" s="641">
        <f t="shared" si="26"/>
        <v>81734.90849999999</v>
      </c>
      <c r="G74" s="641">
        <f t="shared" si="26"/>
        <v>92687.037974999999</v>
      </c>
    </row>
    <row r="75" spans="1:7" ht="12.75" customHeight="1" thickBot="1" x14ac:dyDescent="0.25">
      <c r="C75" s="636">
        <f>C74/C62</f>
        <v>0.21</v>
      </c>
      <c r="D75" s="636">
        <f t="shared" ref="D75:G75" si="27">D74/D62</f>
        <v>0.21</v>
      </c>
      <c r="E75" s="636">
        <f t="shared" si="27"/>
        <v>0.20999999999999996</v>
      </c>
      <c r="F75" s="636">
        <f t="shared" si="27"/>
        <v>0.21</v>
      </c>
      <c r="G75" s="636">
        <f t="shared" si="27"/>
        <v>0.21000000000000002</v>
      </c>
    </row>
  </sheetData>
  <mergeCells count="7">
    <mergeCell ref="C65:G65"/>
    <mergeCell ref="E1:G1"/>
    <mergeCell ref="D17:G17"/>
    <mergeCell ref="D18:G18"/>
    <mergeCell ref="D19:G19"/>
    <mergeCell ref="C53:G53"/>
    <mergeCell ref="D16:G16"/>
  </mergeCells>
  <phoneticPr fontId="10" type="noConversion"/>
  <conditionalFormatting sqref="E25">
    <cfRule type="expression" dxfId="55" priority="3">
      <formula>$E$25&lt;0</formula>
    </cfRule>
    <cfRule type="expression" dxfId="54" priority="4">
      <formula>$E$25&gt;0</formula>
    </cfRule>
  </conditionalFormatting>
  <conditionalFormatting sqref="F25:G25">
    <cfRule type="expression" dxfId="53" priority="1">
      <formula>$E$25&lt;0</formula>
    </cfRule>
    <cfRule type="expression" dxfId="52" priority="2">
      <formula>$E$25&gt;0</formula>
    </cfRule>
  </conditionalFormatting>
  <printOptions horizontalCentered="1"/>
  <pageMargins left="0.25" right="0.53" top="0.43" bottom="0.4" header="0.19" footer="0.17"/>
  <pageSetup orientation="portrait" r:id="rId1"/>
  <headerFooter>
    <oddHeader xml:space="preserve">&amp;LTab 1: Sales Forecast&amp;CRapid Business Plan </oddHeader>
    <oddFooter>&amp;L&amp;D&amp;CHeartland Information Research, Inc&amp;R2 of 9</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printsales">
                <anchor>
                  <from>
                    <xdr:col>5</xdr:col>
                    <xdr:colOff>476250</xdr:colOff>
                    <xdr:row>2</xdr:row>
                    <xdr:rowOff>0</xdr:rowOff>
                  </from>
                  <to>
                    <xdr:col>6</xdr:col>
                    <xdr:colOff>723900</xdr:colOff>
                    <xdr:row>3</xdr:row>
                    <xdr:rowOff>142875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1"/>
  <dimension ref="A1:AE44"/>
  <sheetViews>
    <sheetView showGridLines="0" zoomScaleNormal="100" workbookViewId="0">
      <pane ySplit="6" topLeftCell="A7" activePane="bottomLeft" state="frozenSplit"/>
      <selection pane="bottomLeft" activeCell="A40" sqref="A40"/>
    </sheetView>
  </sheetViews>
  <sheetFormatPr defaultRowHeight="12.75" zeroHeight="1" x14ac:dyDescent="0.2"/>
  <cols>
    <col min="1" max="1" width="26.5703125" customWidth="1"/>
    <col min="2" max="2" width="8.42578125" customWidth="1"/>
    <col min="6" max="6" width="7" customWidth="1"/>
    <col min="7" max="7" width="11.28515625" style="403" customWidth="1"/>
    <col min="8" max="8" width="11.85546875" style="403" customWidth="1"/>
    <col min="9" max="10" width="9.140625" style="403"/>
    <col min="11" max="11" width="9.7109375" style="403" bestFit="1" customWidth="1"/>
    <col min="12" max="12" width="6.42578125" style="403" customWidth="1"/>
    <col min="13" max="24" width="9.140625" customWidth="1"/>
    <col min="26" max="26" width="26.7109375" bestFit="1" customWidth="1"/>
    <col min="27" max="31" width="9.7109375" bestFit="1" customWidth="1"/>
  </cols>
  <sheetData>
    <row r="1" spans="1:31" x14ac:dyDescent="0.2">
      <c r="A1" s="228" t="str">
        <f>'0. Basic Info'!D11</f>
        <v>My Business</v>
      </c>
      <c r="B1" s="227"/>
      <c r="C1" s="237"/>
      <c r="D1" s="78" t="s">
        <v>187</v>
      </c>
      <c r="E1" s="239"/>
      <c r="F1" s="239"/>
      <c r="G1" s="239"/>
      <c r="H1"/>
      <c r="I1"/>
      <c r="J1" s="14"/>
      <c r="K1"/>
      <c r="L1" s="238">
        <f>'1. Sales Forecast'!E21</f>
        <v>256450</v>
      </c>
      <c r="M1" s="709" t="s">
        <v>161</v>
      </c>
      <c r="N1" s="710"/>
      <c r="O1" s="711"/>
      <c r="P1" s="712"/>
      <c r="Q1" s="713"/>
      <c r="R1" s="713"/>
      <c r="S1" s="713"/>
      <c r="T1" s="234"/>
      <c r="U1" s="234"/>
      <c r="V1" s="234"/>
      <c r="W1" s="234"/>
      <c r="X1" s="234"/>
      <c r="Z1" s="625" t="s">
        <v>335</v>
      </c>
      <c r="AA1" s="627">
        <v>15</v>
      </c>
      <c r="AB1" s="628" t="s">
        <v>336</v>
      </c>
      <c r="AC1" s="629"/>
    </row>
    <row r="2" spans="1:31" ht="13.5" thickBot="1" x14ac:dyDescent="0.25">
      <c r="A2" s="226"/>
      <c r="B2" s="226"/>
      <c r="C2" s="239"/>
      <c r="D2" s="78"/>
      <c r="E2" s="239"/>
      <c r="F2" s="239"/>
      <c r="G2" s="239"/>
      <c r="H2"/>
      <c r="I2"/>
      <c r="J2"/>
      <c r="K2"/>
      <c r="L2" s="238"/>
      <c r="M2" s="289"/>
      <c r="N2" s="289"/>
      <c r="O2" s="289"/>
      <c r="P2" s="290"/>
      <c r="Q2" s="290"/>
      <c r="R2" s="290"/>
      <c r="S2" s="290"/>
      <c r="T2" s="234"/>
      <c r="U2" s="234"/>
      <c r="V2" s="234"/>
      <c r="W2" s="234"/>
      <c r="X2" s="234"/>
      <c r="Z2" s="626" t="s">
        <v>337</v>
      </c>
      <c r="AA2" s="631">
        <f>K7/AA1/2080</f>
        <v>2.0548878205128207</v>
      </c>
      <c r="AB2" s="540" t="s">
        <v>338</v>
      </c>
      <c r="AC2" s="630"/>
    </row>
    <row r="3" spans="1:31" ht="13.5" thickBot="1" x14ac:dyDescent="0.25">
      <c r="B3" s="9"/>
      <c r="D3" s="444"/>
      <c r="E3" s="445"/>
      <c r="G3" s="714" t="s">
        <v>307</v>
      </c>
      <c r="H3" s="715"/>
      <c r="I3" s="715"/>
      <c r="J3" s="715"/>
      <c r="K3" s="715"/>
      <c r="L3" s="716"/>
      <c r="M3" s="234"/>
      <c r="N3" s="234"/>
      <c r="O3" s="234"/>
      <c r="P3" s="234"/>
      <c r="Q3" s="234"/>
      <c r="R3" s="234"/>
      <c r="S3" s="234"/>
      <c r="T3" s="234"/>
      <c r="U3" s="234"/>
      <c r="V3" s="234"/>
      <c r="W3" s="234"/>
      <c r="X3" s="234"/>
    </row>
    <row r="4" spans="1:31" x14ac:dyDescent="0.2">
      <c r="A4" s="9"/>
      <c r="B4" s="702" t="s">
        <v>111</v>
      </c>
      <c r="C4" s="703"/>
      <c r="D4" s="704"/>
      <c r="E4" s="236" t="s">
        <v>113</v>
      </c>
      <c r="G4" s="404"/>
      <c r="I4" s="700" t="s">
        <v>159</v>
      </c>
      <c r="J4" s="700"/>
      <c r="K4" s="700"/>
      <c r="L4" s="701"/>
      <c r="M4" s="235" t="s">
        <v>148</v>
      </c>
      <c r="N4" s="234"/>
      <c r="O4" s="234"/>
      <c r="P4" s="234"/>
      <c r="Q4" s="234"/>
      <c r="R4" s="234"/>
      <c r="S4" s="234"/>
      <c r="T4" s="234"/>
      <c r="U4" s="234"/>
      <c r="V4" s="234"/>
      <c r="W4" s="234"/>
      <c r="X4" s="234"/>
      <c r="AA4" s="708" t="s">
        <v>334</v>
      </c>
      <c r="AB4" s="708"/>
      <c r="AC4" s="708"/>
      <c r="AD4" s="708"/>
      <c r="AE4" s="708"/>
    </row>
    <row r="5" spans="1:31" x14ac:dyDescent="0.2">
      <c r="A5" s="9"/>
      <c r="B5" s="705" t="s">
        <v>112</v>
      </c>
      <c r="C5" s="706"/>
      <c r="D5" s="707"/>
      <c r="E5" s="168" t="s">
        <v>42</v>
      </c>
      <c r="G5" s="404"/>
      <c r="I5" s="405">
        <f>SUM(I7:I44)</f>
        <v>3789.6246875000002</v>
      </c>
      <c r="J5" s="405">
        <f>SUM(J7:J44)</f>
        <v>16421.706979166662</v>
      </c>
      <c r="K5" s="405">
        <f>SUM(K7:K44)</f>
        <v>197060.48375000001</v>
      </c>
      <c r="L5" s="406">
        <f>SUM(L7:L44)</f>
        <v>0.76841678202378638</v>
      </c>
      <c r="M5" s="210" t="s">
        <v>149</v>
      </c>
      <c r="N5" s="211"/>
      <c r="O5" s="211"/>
      <c r="P5" s="211"/>
      <c r="Q5" s="211"/>
      <c r="R5" s="211"/>
      <c r="S5" s="211"/>
      <c r="T5" s="211"/>
      <c r="U5" s="211"/>
      <c r="V5" s="211"/>
      <c r="W5" s="211"/>
      <c r="X5" s="211"/>
      <c r="Z5" s="59" t="s">
        <v>333</v>
      </c>
      <c r="AA5" s="33">
        <f>'8. P&amp;L and Cashflow'!P7</f>
        <v>256450</v>
      </c>
      <c r="AB5" s="33">
        <f>'8. P&amp;L and Cashflow'!AC7</f>
        <v>303060</v>
      </c>
      <c r="AC5" s="33">
        <f>'8. P&amp;L and Cashflow'!AD7</f>
        <v>343371</v>
      </c>
      <c r="AD5" s="33">
        <f>'8. P&amp;L and Cashflow'!AE7</f>
        <v>389213.85</v>
      </c>
      <c r="AE5" s="33">
        <f>'8. P&amp;L and Cashflow'!AF7</f>
        <v>441366.84749999997</v>
      </c>
    </row>
    <row r="6" spans="1:31" ht="13.5" thickBot="1" x14ac:dyDescent="0.25">
      <c r="A6" s="189" t="s">
        <v>127</v>
      </c>
      <c r="B6" s="165" t="s">
        <v>40</v>
      </c>
      <c r="C6" s="166" t="s">
        <v>38</v>
      </c>
      <c r="D6" s="166" t="s">
        <v>39</v>
      </c>
      <c r="E6" s="167" t="s">
        <v>0</v>
      </c>
      <c r="G6" s="407" t="s">
        <v>160</v>
      </c>
      <c r="H6" s="408"/>
      <c r="I6" s="409" t="s">
        <v>40</v>
      </c>
      <c r="J6" s="409" t="s">
        <v>38</v>
      </c>
      <c r="K6" s="409" t="s">
        <v>39</v>
      </c>
      <c r="L6" s="410" t="s">
        <v>162</v>
      </c>
      <c r="M6" s="234"/>
      <c r="N6" s="234"/>
      <c r="O6" s="234"/>
      <c r="P6" s="234"/>
      <c r="Q6" s="234"/>
      <c r="R6" s="234"/>
      <c r="S6" s="234"/>
      <c r="T6" s="234"/>
      <c r="U6" s="234"/>
      <c r="V6" s="234"/>
      <c r="W6" s="234"/>
      <c r="X6" s="234"/>
      <c r="Z6" s="3"/>
      <c r="AA6" s="4">
        <f>'8. P&amp;L and Cashflow'!P2</f>
        <v>2019</v>
      </c>
      <c r="AB6" s="4">
        <f>'8. P&amp;L and Cashflow'!AC2</f>
        <v>2020</v>
      </c>
      <c r="AC6" s="4">
        <f>'8. P&amp;L and Cashflow'!AD2</f>
        <v>2021</v>
      </c>
      <c r="AD6" s="4">
        <f>'8. P&amp;L and Cashflow'!AE2</f>
        <v>2022</v>
      </c>
      <c r="AE6" s="4">
        <f>'8. P&amp;L and Cashflow'!AF2</f>
        <v>2023</v>
      </c>
    </row>
    <row r="7" spans="1:31" x14ac:dyDescent="0.2">
      <c r="A7" s="174" t="s">
        <v>95</v>
      </c>
      <c r="B7" s="242"/>
      <c r="C7" s="243"/>
      <c r="D7" s="244"/>
      <c r="E7" s="241">
        <v>0.25</v>
      </c>
      <c r="G7" s="411" t="str">
        <f>IF(A7="","",A7)</f>
        <v>Worker Wages</v>
      </c>
      <c r="H7" s="412"/>
      <c r="I7" s="413">
        <f>K7/52</f>
        <v>1232.9326923076924</v>
      </c>
      <c r="J7" s="413">
        <f>K7/12</f>
        <v>5342.708333333333</v>
      </c>
      <c r="K7" s="413">
        <f>C7*12+D7+B7*52+($E7*L$1)</f>
        <v>64112.5</v>
      </c>
      <c r="L7" s="414">
        <f t="shared" ref="L7:L44" si="0">K7/$L$1</f>
        <v>0.25</v>
      </c>
      <c r="M7" s="234"/>
      <c r="N7" s="240" t="s">
        <v>150</v>
      </c>
      <c r="O7" s="240"/>
      <c r="P7" s="240"/>
      <c r="Q7" s="240"/>
      <c r="R7" s="240"/>
      <c r="S7" s="240"/>
      <c r="T7" s="234"/>
      <c r="U7" s="234"/>
      <c r="V7" s="234"/>
      <c r="W7" s="234"/>
      <c r="X7" s="234"/>
      <c r="Z7" s="3" t="str">
        <f t="shared" ref="Z7:Z44" si="1">G7</f>
        <v>Worker Wages</v>
      </c>
      <c r="AA7" s="41">
        <f>IF(K7/AA$5=0,,K7/AA$5)</f>
        <v>0.25</v>
      </c>
      <c r="AB7" s="41">
        <f>'8. P&amp;L and Cashflow'!AC13/AB$5</f>
        <v>0.25</v>
      </c>
      <c r="AC7" s="41">
        <f>'8. P&amp;L and Cashflow'!AD13/AC$5</f>
        <v>0.25</v>
      </c>
      <c r="AD7" s="41">
        <f>'8. P&amp;L and Cashflow'!AE13/AD$5</f>
        <v>0.25</v>
      </c>
      <c r="AE7" s="41">
        <f>'8. P&amp;L and Cashflow'!AF13/AE$5</f>
        <v>0.25</v>
      </c>
    </row>
    <row r="8" spans="1:31" ht="13.5" thickBot="1" x14ac:dyDescent="0.25">
      <c r="A8" s="35" t="s">
        <v>96</v>
      </c>
      <c r="B8" s="245"/>
      <c r="C8" s="246">
        <v>3000</v>
      </c>
      <c r="D8" s="247"/>
      <c r="E8" s="248"/>
      <c r="G8" s="415" t="str">
        <f t="shared" ref="G8:G44" si="2">IF(A8="","",A8)</f>
        <v>Owner Pay</v>
      </c>
      <c r="H8" s="416" t="str">
        <f t="shared" ref="H8" si="3">IF(B8="","",B8)</f>
        <v/>
      </c>
      <c r="I8" s="413">
        <f t="shared" ref="I8:I44" si="4">K8/52</f>
        <v>692.30769230769226</v>
      </c>
      <c r="J8" s="413">
        <f t="shared" ref="J8:J44" si="5">K8/12</f>
        <v>3000</v>
      </c>
      <c r="K8" s="413">
        <f>C8*12+D8+B8*52+($E8*L$1)</f>
        <v>36000</v>
      </c>
      <c r="L8" s="414">
        <f t="shared" si="0"/>
        <v>0.14037824137258725</v>
      </c>
      <c r="M8" s="234"/>
      <c r="N8" s="234"/>
      <c r="O8" s="234"/>
      <c r="P8" s="234"/>
      <c r="Q8" s="234"/>
      <c r="R8" s="234"/>
      <c r="S8" s="234"/>
      <c r="T8" s="234"/>
      <c r="U8" s="234"/>
      <c r="V8" s="234"/>
      <c r="W8" s="234"/>
      <c r="X8" s="234"/>
      <c r="Z8" s="3" t="str">
        <f t="shared" si="1"/>
        <v>Owner Pay</v>
      </c>
      <c r="AA8" s="41">
        <f t="shared" ref="AA8:AA44" si="6">K8/AA$5</f>
        <v>0.14037824137258725</v>
      </c>
      <c r="AB8" s="41">
        <f>'8. P&amp;L and Cashflow'!AC14/AB$5</f>
        <v>0.1187883587408434</v>
      </c>
      <c r="AC8" s="41">
        <f>'8. P&amp;L and Cashflow'!AD14/AC$5</f>
        <v>0.10484286675345326</v>
      </c>
      <c r="AD8" s="41">
        <f>'8. P&amp;L and Cashflow'!AE14/AD$5</f>
        <v>9.2494139147412155E-2</v>
      </c>
      <c r="AE8" s="41">
        <f>'8. P&amp;L and Cashflow'!AF14/AE$5</f>
        <v>8.1564803074612446E-2</v>
      </c>
    </row>
    <row r="9" spans="1:31" ht="13.5" thickBot="1" x14ac:dyDescent="0.25">
      <c r="A9" s="36">
        <v>0.15</v>
      </c>
      <c r="B9" s="80"/>
      <c r="C9" s="114"/>
      <c r="D9" s="79"/>
      <c r="E9" s="81"/>
      <c r="G9" s="717">
        <f t="shared" si="2"/>
        <v>0.15</v>
      </c>
      <c r="H9" s="718"/>
      <c r="I9" s="413">
        <f t="shared" si="4"/>
        <v>288.78605769230768</v>
      </c>
      <c r="J9" s="413">
        <f t="shared" si="5"/>
        <v>1251.40625</v>
      </c>
      <c r="K9" s="417">
        <f>G9*(K7+K8)</f>
        <v>15016.875</v>
      </c>
      <c r="L9" s="414">
        <f t="shared" si="0"/>
        <v>5.8556736205888089E-2</v>
      </c>
      <c r="M9" s="234"/>
      <c r="N9" s="234"/>
      <c r="O9" s="234" t="s">
        <v>151</v>
      </c>
      <c r="P9" s="234"/>
      <c r="Q9" s="234"/>
      <c r="R9" s="234"/>
      <c r="S9" s="234"/>
      <c r="T9" s="234"/>
      <c r="U9" s="234"/>
      <c r="V9" s="234"/>
      <c r="W9" s="234"/>
      <c r="X9" s="234"/>
      <c r="Z9" s="163">
        <f t="shared" si="1"/>
        <v>0.15</v>
      </c>
      <c r="AA9" s="41">
        <f t="shared" si="6"/>
        <v>5.8556736205888089E-2</v>
      </c>
      <c r="AB9" s="41">
        <f>'8. P&amp;L and Cashflow'!AC15/AB$5</f>
        <v>5.5318253811126511E-2</v>
      </c>
      <c r="AC9" s="41">
        <f>'8. P&amp;L and Cashflow'!AD15/AC$5</f>
        <v>5.3226430013017988E-2</v>
      </c>
      <c r="AD9" s="41">
        <f>'8. P&amp;L and Cashflow'!AE15/AD$5</f>
        <v>5.1374120872111823E-2</v>
      </c>
      <c r="AE9" s="41">
        <f>'8. P&amp;L and Cashflow'!AF15/AE$5</f>
        <v>4.9734720461191859E-2</v>
      </c>
    </row>
    <row r="10" spans="1:31" x14ac:dyDescent="0.2">
      <c r="A10" s="35" t="s">
        <v>12</v>
      </c>
      <c r="B10" s="697" t="s">
        <v>43</v>
      </c>
      <c r="C10" s="698"/>
      <c r="D10" s="699"/>
      <c r="E10" s="249">
        <v>3.03</v>
      </c>
      <c r="G10" s="411" t="str">
        <f t="shared" si="2"/>
        <v>Workers Comp</v>
      </c>
      <c r="H10" s="412"/>
      <c r="I10" s="413">
        <f t="shared" si="4"/>
        <v>37.357860576923073</v>
      </c>
      <c r="J10" s="413">
        <f t="shared" si="5"/>
        <v>161.8840625</v>
      </c>
      <c r="K10" s="417">
        <f>K7/100*E10</f>
        <v>1942.6087499999999</v>
      </c>
      <c r="L10" s="414">
        <f t="shared" si="0"/>
        <v>7.5749999999999993E-3</v>
      </c>
      <c r="M10" s="234"/>
      <c r="N10" s="234"/>
      <c r="O10" s="234" t="s">
        <v>152</v>
      </c>
      <c r="P10" s="234"/>
      <c r="Q10" s="234"/>
      <c r="R10" s="234"/>
      <c r="S10" s="234"/>
      <c r="T10" s="234"/>
      <c r="U10" s="234"/>
      <c r="V10" s="234"/>
      <c r="W10" s="234"/>
      <c r="X10" s="234"/>
      <c r="Z10" s="3" t="str">
        <f t="shared" si="1"/>
        <v>Workers Comp</v>
      </c>
      <c r="AA10" s="41">
        <f t="shared" si="6"/>
        <v>7.5749999999999993E-3</v>
      </c>
      <c r="AB10" s="41">
        <f>'8. P&amp;L and Cashflow'!AC16/AB$5</f>
        <v>7.5749999999999993E-3</v>
      </c>
      <c r="AC10" s="41">
        <f>'8. P&amp;L and Cashflow'!AD16/AC$5</f>
        <v>7.5749999999999993E-3</v>
      </c>
      <c r="AD10" s="41">
        <f>'8. P&amp;L and Cashflow'!AE16/AD$5</f>
        <v>7.5749999999999993E-3</v>
      </c>
      <c r="AE10" s="41">
        <f>'8. P&amp;L and Cashflow'!AF16/AE$5</f>
        <v>7.5749999999999993E-3</v>
      </c>
    </row>
    <row r="11" spans="1:31" x14ac:dyDescent="0.2">
      <c r="A11" s="85" t="s">
        <v>236</v>
      </c>
      <c r="B11" s="318"/>
      <c r="C11" s="93">
        <v>400</v>
      </c>
      <c r="D11" s="82"/>
      <c r="E11" s="84"/>
      <c r="G11" s="411" t="str">
        <f t="shared" si="2"/>
        <v>Rent</v>
      </c>
      <c r="H11" s="412"/>
      <c r="I11" s="413">
        <f t="shared" si="4"/>
        <v>92.307692307692307</v>
      </c>
      <c r="J11" s="413">
        <f t="shared" si="5"/>
        <v>400</v>
      </c>
      <c r="K11" s="417">
        <f t="shared" ref="K11:K44" si="7">C11*12+D11+B11*52+($E11*L$1)</f>
        <v>4800</v>
      </c>
      <c r="L11" s="414">
        <f t="shared" si="0"/>
        <v>1.8717098849678301E-2</v>
      </c>
      <c r="M11" s="234"/>
      <c r="N11" s="234"/>
      <c r="O11" s="234" t="s">
        <v>153</v>
      </c>
      <c r="P11" s="234"/>
      <c r="Q11" s="234"/>
      <c r="R11" s="234"/>
      <c r="S11" s="234"/>
      <c r="T11" s="234"/>
      <c r="U11" s="234"/>
      <c r="V11" s="234"/>
      <c r="W11" s="234"/>
      <c r="X11" s="234"/>
      <c r="Z11" s="3" t="str">
        <f t="shared" si="1"/>
        <v>Rent</v>
      </c>
      <c r="AA11" s="41">
        <f t="shared" si="6"/>
        <v>1.8717098849678301E-2</v>
      </c>
      <c r="AB11" s="41">
        <f>'8. P&amp;L and Cashflow'!AC17/AB$5</f>
        <v>1.5838447832112454E-2</v>
      </c>
      <c r="AC11" s="41">
        <f>'8. P&amp;L and Cashflow'!AD17/AC$5</f>
        <v>1.3979048900460435E-2</v>
      </c>
      <c r="AD11" s="41">
        <f>'8. P&amp;L and Cashflow'!AE17/AD$5</f>
        <v>1.2332551886321621E-2</v>
      </c>
      <c r="AE11" s="41">
        <f>'8. P&amp;L and Cashflow'!AF17/AE$5</f>
        <v>1.0875307076614993E-2</v>
      </c>
    </row>
    <row r="12" spans="1:31" x14ac:dyDescent="0.2">
      <c r="A12" s="85" t="s">
        <v>239</v>
      </c>
      <c r="B12" s="318"/>
      <c r="C12" s="93">
        <v>150</v>
      </c>
      <c r="D12" s="93"/>
      <c r="E12" s="84"/>
      <c r="G12" s="411" t="str">
        <f t="shared" si="2"/>
        <v>Phone/Internet/Cell</v>
      </c>
      <c r="H12" s="412"/>
      <c r="I12" s="413">
        <f t="shared" si="4"/>
        <v>34.615384615384613</v>
      </c>
      <c r="J12" s="413">
        <f t="shared" si="5"/>
        <v>150</v>
      </c>
      <c r="K12" s="417">
        <f t="shared" si="7"/>
        <v>1800</v>
      </c>
      <c r="L12" s="414">
        <f t="shared" si="0"/>
        <v>7.0189120686293622E-3</v>
      </c>
      <c r="M12" s="234"/>
      <c r="N12" s="234"/>
      <c r="O12" s="234" t="s">
        <v>154</v>
      </c>
      <c r="P12" s="234"/>
      <c r="Q12" s="234"/>
      <c r="R12" s="234"/>
      <c r="S12" s="234"/>
      <c r="T12" s="234"/>
      <c r="U12" s="234"/>
      <c r="V12" s="234"/>
      <c r="W12" s="234"/>
      <c r="X12" s="234"/>
      <c r="Z12" s="3" t="str">
        <f t="shared" si="1"/>
        <v>Phone/Internet/Cell</v>
      </c>
      <c r="AA12" s="41">
        <f t="shared" si="6"/>
        <v>7.0189120686293622E-3</v>
      </c>
      <c r="AB12" s="41">
        <f>'8. P&amp;L and Cashflow'!AC18/AB$5</f>
        <v>5.9394179370421702E-3</v>
      </c>
      <c r="AC12" s="41">
        <f>'8. P&amp;L and Cashflow'!AD18/AC$5</f>
        <v>5.2421433376726627E-3</v>
      </c>
      <c r="AD12" s="41">
        <f>'8. P&amp;L and Cashflow'!AE18/AD$5</f>
        <v>4.6247069573706074E-3</v>
      </c>
      <c r="AE12" s="41">
        <f>'8. P&amp;L and Cashflow'!AF18/AE$5</f>
        <v>4.0782401537306223E-3</v>
      </c>
    </row>
    <row r="13" spans="1:31" x14ac:dyDescent="0.2">
      <c r="A13" s="85" t="s">
        <v>318</v>
      </c>
      <c r="B13" s="318"/>
      <c r="C13" s="93"/>
      <c r="D13" s="93"/>
      <c r="E13" s="84"/>
      <c r="G13" s="411" t="str">
        <f t="shared" si="2"/>
        <v>Electricity/Heat/Water</v>
      </c>
      <c r="H13" s="412"/>
      <c r="I13" s="413">
        <f t="shared" si="4"/>
        <v>0</v>
      </c>
      <c r="J13" s="413">
        <f t="shared" si="5"/>
        <v>0</v>
      </c>
      <c r="K13" s="417">
        <f t="shared" si="7"/>
        <v>0</v>
      </c>
      <c r="L13" s="414">
        <f t="shared" si="0"/>
        <v>0</v>
      </c>
      <c r="M13" s="234"/>
      <c r="N13" s="210" t="s">
        <v>156</v>
      </c>
      <c r="O13" s="211"/>
      <c r="P13" s="211"/>
      <c r="Q13" s="211"/>
      <c r="R13" s="211"/>
      <c r="S13" s="211"/>
      <c r="T13" s="211"/>
      <c r="U13" s="211"/>
      <c r="V13" s="211"/>
      <c r="W13" s="211"/>
      <c r="X13" s="211"/>
      <c r="Z13" s="3" t="str">
        <f t="shared" si="1"/>
        <v>Electricity/Heat/Water</v>
      </c>
      <c r="AA13" s="41">
        <f t="shared" si="6"/>
        <v>0</v>
      </c>
      <c r="AB13" s="41">
        <f>'8. P&amp;L and Cashflow'!AC19/AB$5</f>
        <v>0</v>
      </c>
      <c r="AC13" s="41">
        <f>'8. P&amp;L and Cashflow'!AD19/AC$5</f>
        <v>0</v>
      </c>
      <c r="AD13" s="41">
        <f>'8. P&amp;L and Cashflow'!AE19/AD$5</f>
        <v>0</v>
      </c>
      <c r="AE13" s="41">
        <f>'8. P&amp;L and Cashflow'!AF19/AE$5</f>
        <v>0</v>
      </c>
    </row>
    <row r="14" spans="1:31" x14ac:dyDescent="0.2">
      <c r="A14" s="85" t="s">
        <v>240</v>
      </c>
      <c r="B14" s="318"/>
      <c r="C14" s="93"/>
      <c r="D14" s="93"/>
      <c r="E14" s="84"/>
      <c r="G14" s="411" t="str">
        <f t="shared" si="2"/>
        <v>Dumpster/Waste</v>
      </c>
      <c r="H14" s="412"/>
      <c r="I14" s="413">
        <f t="shared" si="4"/>
        <v>0</v>
      </c>
      <c r="J14" s="413">
        <f t="shared" si="5"/>
        <v>0</v>
      </c>
      <c r="K14" s="417">
        <f t="shared" si="7"/>
        <v>0</v>
      </c>
      <c r="L14" s="414">
        <f t="shared" si="0"/>
        <v>0</v>
      </c>
      <c r="M14" s="234"/>
      <c r="N14" s="235" t="s">
        <v>158</v>
      </c>
      <c r="O14" s="234"/>
      <c r="P14" s="234"/>
      <c r="Q14" s="234"/>
      <c r="R14" s="234"/>
      <c r="S14" s="234"/>
      <c r="T14" s="234"/>
      <c r="U14" s="234"/>
      <c r="V14" s="234"/>
      <c r="W14" s="234"/>
      <c r="X14" s="234"/>
      <c r="Z14" s="3" t="str">
        <f t="shared" si="1"/>
        <v>Dumpster/Waste</v>
      </c>
      <c r="AA14" s="41">
        <f t="shared" si="6"/>
        <v>0</v>
      </c>
      <c r="AB14" s="41">
        <f>'8. P&amp;L and Cashflow'!AC20/AB$5</f>
        <v>0</v>
      </c>
      <c r="AC14" s="41">
        <f>'8. P&amp;L and Cashflow'!AD20/AC$5</f>
        <v>0</v>
      </c>
      <c r="AD14" s="41">
        <f>'8. P&amp;L and Cashflow'!AE20/AD$5</f>
        <v>0</v>
      </c>
      <c r="AE14" s="41">
        <f>'8. P&amp;L and Cashflow'!AF20/AE$5</f>
        <v>0</v>
      </c>
    </row>
    <row r="15" spans="1:31" x14ac:dyDescent="0.2">
      <c r="A15" s="85" t="s">
        <v>237</v>
      </c>
      <c r="B15" s="318"/>
      <c r="C15" s="93"/>
      <c r="D15" s="93">
        <v>500</v>
      </c>
      <c r="E15" s="84"/>
      <c r="G15" s="411" t="str">
        <f t="shared" si="2"/>
        <v>Liability Insurance</v>
      </c>
      <c r="H15" s="412"/>
      <c r="I15" s="413">
        <f t="shared" si="4"/>
        <v>9.615384615384615</v>
      </c>
      <c r="J15" s="413">
        <f t="shared" si="5"/>
        <v>41.666666666666664</v>
      </c>
      <c r="K15" s="417">
        <f t="shared" si="7"/>
        <v>500</v>
      </c>
      <c r="L15" s="414">
        <f t="shared" si="0"/>
        <v>1.9496977968414895E-3</v>
      </c>
      <c r="M15" s="234"/>
      <c r="N15" s="235"/>
      <c r="O15" s="234"/>
      <c r="P15" s="234"/>
      <c r="Q15" s="234"/>
      <c r="R15" s="234"/>
      <c r="S15" s="234"/>
      <c r="T15" s="234"/>
      <c r="U15" s="234"/>
      <c r="V15" s="234"/>
      <c r="W15" s="234"/>
      <c r="X15" s="234"/>
      <c r="Z15" s="3" t="str">
        <f t="shared" si="1"/>
        <v>Liability Insurance</v>
      </c>
      <c r="AA15" s="41">
        <f t="shared" si="6"/>
        <v>1.9496977968414895E-3</v>
      </c>
      <c r="AB15" s="41">
        <f>'8. P&amp;L and Cashflow'!AC21/AB$5</f>
        <v>1.6498383158450474E-3</v>
      </c>
      <c r="AC15" s="41">
        <f>'8. P&amp;L and Cashflow'!AD21/AC$5</f>
        <v>1.4561509271312954E-3</v>
      </c>
      <c r="AD15" s="41">
        <f>'8. P&amp;L and Cashflow'!AE21/AD$5</f>
        <v>1.2846408214918356E-3</v>
      </c>
      <c r="AE15" s="41">
        <f>'8. P&amp;L and Cashflow'!AF21/AE$5</f>
        <v>1.1328444871473952E-3</v>
      </c>
    </row>
    <row r="16" spans="1:31" x14ac:dyDescent="0.2">
      <c r="A16" s="85" t="s">
        <v>329</v>
      </c>
      <c r="B16" s="318"/>
      <c r="C16" s="93">
        <v>129</v>
      </c>
      <c r="D16" s="93"/>
      <c r="E16" s="84"/>
      <c r="G16" s="411" t="str">
        <f t="shared" si="2"/>
        <v>Software/Online Subscriptions</v>
      </c>
      <c r="H16" s="412"/>
      <c r="I16" s="413">
        <f t="shared" si="4"/>
        <v>29.76923076923077</v>
      </c>
      <c r="J16" s="413">
        <f t="shared" si="5"/>
        <v>129</v>
      </c>
      <c r="K16" s="417">
        <f t="shared" si="7"/>
        <v>1548</v>
      </c>
      <c r="L16" s="414">
        <f t="shared" si="0"/>
        <v>6.0362643790212514E-3</v>
      </c>
      <c r="M16" s="234"/>
      <c r="N16" s="235" t="s">
        <v>157</v>
      </c>
      <c r="O16" s="234"/>
      <c r="P16" s="234"/>
      <c r="Q16" s="234"/>
      <c r="R16" s="234"/>
      <c r="S16" s="234"/>
      <c r="T16" s="234"/>
      <c r="U16" s="234"/>
      <c r="V16" s="234"/>
      <c r="W16" s="234"/>
      <c r="X16" s="234"/>
      <c r="Z16" s="3" t="str">
        <f t="shared" si="1"/>
        <v>Software/Online Subscriptions</v>
      </c>
      <c r="AA16" s="41">
        <f t="shared" si="6"/>
        <v>6.0362643790212514E-3</v>
      </c>
      <c r="AB16" s="41">
        <f>'8. P&amp;L and Cashflow'!AC22/AB$5</f>
        <v>5.107899425856266E-3</v>
      </c>
      <c r="AC16" s="41">
        <f>'8. P&amp;L and Cashflow'!AD22/AC$5</f>
        <v>4.5082432703984904E-3</v>
      </c>
      <c r="AD16" s="41">
        <f>'8. P&amp;L and Cashflow'!AE22/AD$5</f>
        <v>3.9772479833387227E-3</v>
      </c>
      <c r="AE16" s="41">
        <f>'8. P&amp;L and Cashflow'!AF22/AE$5</f>
        <v>3.5072865322083352E-3</v>
      </c>
    </row>
    <row r="17" spans="1:31" x14ac:dyDescent="0.2">
      <c r="A17" s="85" t="s">
        <v>317</v>
      </c>
      <c r="B17" s="318"/>
      <c r="C17" s="93">
        <v>40</v>
      </c>
      <c r="D17" s="93"/>
      <c r="E17" s="84"/>
      <c r="G17" s="411" t="str">
        <f t="shared" si="2"/>
        <v>Office Supplies</v>
      </c>
      <c r="H17" s="412"/>
      <c r="I17" s="413">
        <f t="shared" si="4"/>
        <v>9.2307692307692299</v>
      </c>
      <c r="J17" s="413">
        <f t="shared" si="5"/>
        <v>40</v>
      </c>
      <c r="K17" s="417">
        <f t="shared" si="7"/>
        <v>480</v>
      </c>
      <c r="L17" s="414">
        <f t="shared" si="0"/>
        <v>1.87170988496783E-3</v>
      </c>
      <c r="M17" s="234"/>
      <c r="N17" s="234" t="s">
        <v>155</v>
      </c>
      <c r="O17" s="234"/>
      <c r="P17" s="234"/>
      <c r="Q17" s="234"/>
      <c r="R17" s="234"/>
      <c r="S17" s="234"/>
      <c r="T17" s="234"/>
      <c r="U17" s="234"/>
      <c r="V17" s="234"/>
      <c r="W17" s="234"/>
      <c r="X17" s="234"/>
      <c r="Z17" s="3" t="str">
        <f t="shared" si="1"/>
        <v>Office Supplies</v>
      </c>
      <c r="AA17" s="41">
        <f t="shared" si="6"/>
        <v>1.87170988496783E-3</v>
      </c>
      <c r="AB17" s="41">
        <f>'8. P&amp;L and Cashflow'!AC23/AB$5</f>
        <v>1.5838447832112453E-3</v>
      </c>
      <c r="AC17" s="41">
        <f>'8. P&amp;L and Cashflow'!AD23/AC$5</f>
        <v>1.3979048900460435E-3</v>
      </c>
      <c r="AD17" s="41">
        <f>'8. P&amp;L and Cashflow'!AE23/AD$5</f>
        <v>1.2332551886321621E-3</v>
      </c>
      <c r="AE17" s="41">
        <f>'8. P&amp;L and Cashflow'!AF23/AE$5</f>
        <v>1.0875307076614992E-3</v>
      </c>
    </row>
    <row r="18" spans="1:31" x14ac:dyDescent="0.2">
      <c r="A18" s="85"/>
      <c r="B18" s="318"/>
      <c r="C18" s="93"/>
      <c r="D18" s="93"/>
      <c r="E18" s="84"/>
      <c r="G18" s="411" t="str">
        <f t="shared" si="2"/>
        <v/>
      </c>
      <c r="H18" s="412"/>
      <c r="I18" s="413">
        <f t="shared" si="4"/>
        <v>0</v>
      </c>
      <c r="J18" s="413">
        <f t="shared" si="5"/>
        <v>0</v>
      </c>
      <c r="K18" s="417">
        <f t="shared" si="7"/>
        <v>0</v>
      </c>
      <c r="L18" s="414">
        <f t="shared" si="0"/>
        <v>0</v>
      </c>
      <c r="Z18" s="3" t="str">
        <f t="shared" si="1"/>
        <v/>
      </c>
      <c r="AA18" s="41">
        <f t="shared" si="6"/>
        <v>0</v>
      </c>
      <c r="AB18" s="41">
        <f>'8. P&amp;L and Cashflow'!AC24/AB$5</f>
        <v>0</v>
      </c>
      <c r="AC18" s="41">
        <f>'8. P&amp;L and Cashflow'!AD24/AC$5</f>
        <v>0</v>
      </c>
      <c r="AD18" s="41">
        <f>'8. P&amp;L and Cashflow'!AE24/AD$5</f>
        <v>0</v>
      </c>
      <c r="AE18" s="41">
        <f>'8. P&amp;L and Cashflow'!AF24/AE$5</f>
        <v>0</v>
      </c>
    </row>
    <row r="19" spans="1:31" x14ac:dyDescent="0.2">
      <c r="A19" s="85"/>
      <c r="B19" s="318"/>
      <c r="C19" s="93"/>
      <c r="D19" s="93"/>
      <c r="E19" s="84"/>
      <c r="G19" s="411" t="str">
        <f t="shared" si="2"/>
        <v/>
      </c>
      <c r="H19" s="412"/>
      <c r="I19" s="413">
        <f t="shared" si="4"/>
        <v>0</v>
      </c>
      <c r="J19" s="413">
        <f t="shared" si="5"/>
        <v>0</v>
      </c>
      <c r="K19" s="417">
        <f t="shared" si="7"/>
        <v>0</v>
      </c>
      <c r="L19" s="414">
        <f t="shared" si="0"/>
        <v>0</v>
      </c>
      <c r="Z19" s="3" t="str">
        <f t="shared" si="1"/>
        <v/>
      </c>
      <c r="AA19" s="41">
        <f t="shared" si="6"/>
        <v>0</v>
      </c>
      <c r="AB19" s="41">
        <f>'8. P&amp;L and Cashflow'!AC25/AB$5</f>
        <v>0</v>
      </c>
      <c r="AC19" s="41">
        <f>'8. P&amp;L and Cashflow'!AD25/AC$5</f>
        <v>0</v>
      </c>
      <c r="AD19" s="41">
        <f>'8. P&amp;L and Cashflow'!AE25/AD$5</f>
        <v>0</v>
      </c>
      <c r="AE19" s="41">
        <f>'8. P&amp;L and Cashflow'!AF25/AE$5</f>
        <v>0</v>
      </c>
    </row>
    <row r="20" spans="1:31" x14ac:dyDescent="0.2">
      <c r="A20" s="85" t="s">
        <v>319</v>
      </c>
      <c r="B20" s="318"/>
      <c r="C20" s="93">
        <v>85</v>
      </c>
      <c r="D20" s="93"/>
      <c r="E20" s="84"/>
      <c r="G20" s="411" t="str">
        <f t="shared" si="2"/>
        <v>Website Hosting/Updates</v>
      </c>
      <c r="H20" s="412"/>
      <c r="I20" s="413">
        <f t="shared" si="4"/>
        <v>19.615384615384617</v>
      </c>
      <c r="J20" s="413">
        <f t="shared" si="5"/>
        <v>85</v>
      </c>
      <c r="K20" s="417">
        <f t="shared" si="7"/>
        <v>1020</v>
      </c>
      <c r="L20" s="414">
        <f t="shared" si="0"/>
        <v>3.9773835055566384E-3</v>
      </c>
      <c r="Z20" s="3" t="str">
        <f t="shared" si="1"/>
        <v>Website Hosting/Updates</v>
      </c>
      <c r="AA20" s="41">
        <f t="shared" si="6"/>
        <v>3.9773835055566384E-3</v>
      </c>
      <c r="AB20" s="41">
        <f>'8. P&amp;L and Cashflow'!AC26/AB$5</f>
        <v>3.3656701643238964E-3</v>
      </c>
      <c r="AC20" s="41">
        <f>'8. P&amp;L and Cashflow'!AD26/AC$5</f>
        <v>2.9705478913478424E-3</v>
      </c>
      <c r="AD20" s="41">
        <f>'8. P&amp;L and Cashflow'!AE26/AD$5</f>
        <v>2.6206672758433444E-3</v>
      </c>
      <c r="AE20" s="41">
        <f>'8. P&amp;L and Cashflow'!AF26/AE$5</f>
        <v>2.3110027537806858E-3</v>
      </c>
    </row>
    <row r="21" spans="1:31" x14ac:dyDescent="0.2">
      <c r="A21" s="85" t="s">
        <v>327</v>
      </c>
      <c r="B21" s="318"/>
      <c r="C21" s="93"/>
      <c r="D21" s="93"/>
      <c r="E21" s="84">
        <v>0.01</v>
      </c>
      <c r="G21" s="411" t="str">
        <f t="shared" si="2"/>
        <v>Misc Advertising Expenses</v>
      </c>
      <c r="H21" s="412"/>
      <c r="I21" s="413">
        <f t="shared" si="4"/>
        <v>49.317307692307693</v>
      </c>
      <c r="J21" s="413">
        <f t="shared" si="5"/>
        <v>213.70833333333334</v>
      </c>
      <c r="K21" s="417">
        <f t="shared" si="7"/>
        <v>2564.5</v>
      </c>
      <c r="L21" s="414">
        <f t="shared" si="0"/>
        <v>0.01</v>
      </c>
      <c r="Z21" s="3" t="str">
        <f t="shared" si="1"/>
        <v>Misc Advertising Expenses</v>
      </c>
      <c r="AA21" s="41">
        <f t="shared" si="6"/>
        <v>0.01</v>
      </c>
      <c r="AB21" s="41">
        <f>'8. P&amp;L and Cashflow'!AC27/AB$5</f>
        <v>1.0000000000000002E-2</v>
      </c>
      <c r="AC21" s="41">
        <f>'8. P&amp;L and Cashflow'!AD27/AC$5</f>
        <v>0.01</v>
      </c>
      <c r="AD21" s="41">
        <f>'8. P&amp;L and Cashflow'!AE27/AD$5</f>
        <v>0.01</v>
      </c>
      <c r="AE21" s="41">
        <f>'8. P&amp;L and Cashflow'!AF27/AE$5</f>
        <v>0.01</v>
      </c>
    </row>
    <row r="22" spans="1:31" x14ac:dyDescent="0.2">
      <c r="A22" s="85" t="s">
        <v>324</v>
      </c>
      <c r="B22" s="318"/>
      <c r="C22" s="93">
        <v>125</v>
      </c>
      <c r="D22" s="93"/>
      <c r="E22" s="84">
        <v>5.0000000000000001E-3</v>
      </c>
      <c r="G22" s="411" t="str">
        <f t="shared" si="2"/>
        <v>GoogleAd Words</v>
      </c>
      <c r="H22" s="412"/>
      <c r="I22" s="413">
        <f t="shared" si="4"/>
        <v>53.504807692307693</v>
      </c>
      <c r="J22" s="413">
        <f t="shared" si="5"/>
        <v>231.85416666666666</v>
      </c>
      <c r="K22" s="417">
        <f t="shared" si="7"/>
        <v>2782.25</v>
      </c>
      <c r="L22" s="414">
        <f t="shared" si="0"/>
        <v>1.0849093390524469E-2</v>
      </c>
      <c r="Z22" s="3" t="str">
        <f t="shared" si="1"/>
        <v>GoogleAd Words</v>
      </c>
      <c r="AA22" s="41">
        <f t="shared" si="6"/>
        <v>1.0849093390524469E-2</v>
      </c>
      <c r="AB22" s="41">
        <f>'8. P&amp;L and Cashflow'!AC28/AB$5</f>
        <v>9.9495149475351437E-3</v>
      </c>
      <c r="AC22" s="41">
        <f>'8. P&amp;L and Cashflow'!AD28/AC$5</f>
        <v>5.0000000000000001E-3</v>
      </c>
      <c r="AD22" s="41">
        <f>'8. P&amp;L and Cashflow'!AE28/AD$5</f>
        <v>5.0000000000000001E-3</v>
      </c>
      <c r="AE22" s="41">
        <f>'8. P&amp;L and Cashflow'!AF28/AE$5</f>
        <v>5.0000000000000001E-3</v>
      </c>
    </row>
    <row r="23" spans="1:31" x14ac:dyDescent="0.2">
      <c r="A23" s="85" t="s">
        <v>325</v>
      </c>
      <c r="B23" s="318"/>
      <c r="C23" s="93"/>
      <c r="D23" s="93"/>
      <c r="E23" s="84">
        <v>0.1</v>
      </c>
      <c r="G23" s="411" t="str">
        <f t="shared" si="2"/>
        <v>Amazon Seller Fees</v>
      </c>
      <c r="H23" s="412"/>
      <c r="I23" s="413">
        <f t="shared" si="4"/>
        <v>493.17307692307691</v>
      </c>
      <c r="J23" s="413">
        <f t="shared" si="5"/>
        <v>2137.0833333333335</v>
      </c>
      <c r="K23" s="417">
        <f t="shared" si="7"/>
        <v>25645</v>
      </c>
      <c r="L23" s="414">
        <f t="shared" si="0"/>
        <v>0.1</v>
      </c>
      <c r="Z23" s="3" t="str">
        <f t="shared" si="1"/>
        <v>Amazon Seller Fees</v>
      </c>
      <c r="AA23" s="41">
        <f t="shared" si="6"/>
        <v>0.1</v>
      </c>
      <c r="AB23" s="41">
        <f>'8. P&amp;L and Cashflow'!AC29/AB$5</f>
        <v>0.1</v>
      </c>
      <c r="AC23" s="41">
        <f>'8. P&amp;L and Cashflow'!AD29/AC$5</f>
        <v>9.9999999999999992E-2</v>
      </c>
      <c r="AD23" s="41">
        <f>'8. P&amp;L and Cashflow'!AE29/AD$5</f>
        <v>0.1</v>
      </c>
      <c r="AE23" s="41">
        <f>'8. P&amp;L and Cashflow'!AF29/AE$5</f>
        <v>0.1</v>
      </c>
    </row>
    <row r="24" spans="1:31" x14ac:dyDescent="0.2">
      <c r="A24" s="85" t="s">
        <v>320</v>
      </c>
      <c r="B24" s="318"/>
      <c r="C24" s="93"/>
      <c r="D24" s="93"/>
      <c r="E24" s="84">
        <v>5.0000000000000001E-3</v>
      </c>
      <c r="G24" s="411" t="str">
        <f t="shared" si="2"/>
        <v>Free Samples</v>
      </c>
      <c r="H24" s="412"/>
      <c r="I24" s="413">
        <f t="shared" si="4"/>
        <v>24.658653846153847</v>
      </c>
      <c r="J24" s="413">
        <f t="shared" si="5"/>
        <v>106.85416666666667</v>
      </c>
      <c r="K24" s="417">
        <f t="shared" si="7"/>
        <v>1282.25</v>
      </c>
      <c r="L24" s="414">
        <f t="shared" si="0"/>
        <v>5.0000000000000001E-3</v>
      </c>
      <c r="Z24" s="3" t="str">
        <f t="shared" si="1"/>
        <v>Free Samples</v>
      </c>
      <c r="AA24" s="41">
        <f t="shared" si="6"/>
        <v>5.0000000000000001E-3</v>
      </c>
      <c r="AB24" s="41">
        <f>'8. P&amp;L and Cashflow'!AC30/AB$5</f>
        <v>5.000000000000001E-3</v>
      </c>
      <c r="AC24" s="41">
        <f>'8. P&amp;L and Cashflow'!AD30/AC$5</f>
        <v>5.0000000000000001E-3</v>
      </c>
      <c r="AD24" s="41">
        <f>'8. P&amp;L and Cashflow'!AE30/AD$5</f>
        <v>5.0000000000000001E-3</v>
      </c>
      <c r="AE24" s="41">
        <f>'8. P&amp;L and Cashflow'!AF30/AE$5</f>
        <v>5.0000000000000001E-3</v>
      </c>
    </row>
    <row r="25" spans="1:31" x14ac:dyDescent="0.2">
      <c r="A25" s="85" t="s">
        <v>326</v>
      </c>
      <c r="B25" s="318"/>
      <c r="C25" s="93"/>
      <c r="D25" s="93">
        <v>2000</v>
      </c>
      <c r="E25" s="84"/>
      <c r="G25" s="411" t="str">
        <f t="shared" si="2"/>
        <v>Graphic Design for Flyers</v>
      </c>
      <c r="H25" s="412"/>
      <c r="I25" s="413">
        <f t="shared" si="4"/>
        <v>38.46153846153846</v>
      </c>
      <c r="J25" s="413">
        <f t="shared" si="5"/>
        <v>166.66666666666666</v>
      </c>
      <c r="K25" s="417">
        <f t="shared" si="7"/>
        <v>2000</v>
      </c>
      <c r="L25" s="414">
        <f t="shared" si="0"/>
        <v>7.798791187365958E-3</v>
      </c>
      <c r="Z25" s="3" t="str">
        <f t="shared" si="1"/>
        <v>Graphic Design for Flyers</v>
      </c>
      <c r="AA25" s="41">
        <f t="shared" si="6"/>
        <v>7.798791187365958E-3</v>
      </c>
      <c r="AB25" s="41">
        <f>'8. P&amp;L and Cashflow'!AC31/AB$5</f>
        <v>6.5993532633801897E-3</v>
      </c>
      <c r="AC25" s="41">
        <f>'8. P&amp;L and Cashflow'!AD31/AC$5</f>
        <v>5.8246037085251815E-3</v>
      </c>
      <c r="AD25" s="41">
        <f>'8. P&amp;L and Cashflow'!AE31/AD$5</f>
        <v>5.1385632859673423E-3</v>
      </c>
      <c r="AE25" s="41">
        <f>'8. P&amp;L and Cashflow'!AF31/AE$5</f>
        <v>4.5313779485895806E-3</v>
      </c>
    </row>
    <row r="26" spans="1:31" x14ac:dyDescent="0.2">
      <c r="A26" s="85" t="s">
        <v>328</v>
      </c>
      <c r="B26" s="318"/>
      <c r="C26" s="93"/>
      <c r="D26" s="93">
        <v>5000</v>
      </c>
      <c r="E26" s="84"/>
      <c r="G26" s="411" t="str">
        <f t="shared" si="2"/>
        <v>Tradeshows</v>
      </c>
      <c r="H26" s="412"/>
      <c r="I26" s="413">
        <f t="shared" si="4"/>
        <v>96.15384615384616</v>
      </c>
      <c r="J26" s="413">
        <f t="shared" si="5"/>
        <v>416.66666666666669</v>
      </c>
      <c r="K26" s="417">
        <f t="shared" si="7"/>
        <v>5000</v>
      </c>
      <c r="L26" s="414">
        <f t="shared" si="0"/>
        <v>1.9496977968414896E-2</v>
      </c>
      <c r="Z26" s="3" t="str">
        <f t="shared" si="1"/>
        <v>Tradeshows</v>
      </c>
      <c r="AA26" s="41">
        <f t="shared" si="6"/>
        <v>1.9496977968414896E-2</v>
      </c>
      <c r="AB26" s="41">
        <f>'8. P&amp;L and Cashflow'!AC32/AB$5</f>
        <v>1.6498383158450473E-2</v>
      </c>
      <c r="AC26" s="41">
        <f>'8. P&amp;L and Cashflow'!AD32/AC$5</f>
        <v>1.4561509271312953E-2</v>
      </c>
      <c r="AD26" s="41">
        <f>'8. P&amp;L and Cashflow'!AE32/AD$5</f>
        <v>1.2846408214918354E-2</v>
      </c>
      <c r="AE26" s="41">
        <f>'8. P&amp;L and Cashflow'!AF32/AE$5</f>
        <v>1.132844487147395E-2</v>
      </c>
    </row>
    <row r="27" spans="1:31" x14ac:dyDescent="0.2">
      <c r="A27" s="85" t="s">
        <v>228</v>
      </c>
      <c r="B27" s="318">
        <v>40</v>
      </c>
      <c r="C27" s="93"/>
      <c r="D27" s="93"/>
      <c r="E27" s="84"/>
      <c r="G27" s="411" t="str">
        <f t="shared" si="2"/>
        <v>Travel</v>
      </c>
      <c r="H27" s="412"/>
      <c r="I27" s="413">
        <f t="shared" si="4"/>
        <v>40</v>
      </c>
      <c r="J27" s="413">
        <f t="shared" si="5"/>
        <v>173.33333333333334</v>
      </c>
      <c r="K27" s="417">
        <f t="shared" si="7"/>
        <v>2080</v>
      </c>
      <c r="L27" s="414">
        <f t="shared" si="0"/>
        <v>8.1107428348605962E-3</v>
      </c>
      <c r="Z27" s="3" t="str">
        <f t="shared" si="1"/>
        <v>Travel</v>
      </c>
      <c r="AA27" s="41">
        <f t="shared" si="6"/>
        <v>8.1107428348605962E-3</v>
      </c>
      <c r="AB27" s="41">
        <f>'8. P&amp;L and Cashflow'!AC33/AB$5</f>
        <v>6.8105325678083544E-3</v>
      </c>
      <c r="AC27" s="41">
        <f>'8. P&amp;L and Cashflow'!AD33/AC$5</f>
        <v>6.0575878568661888E-3</v>
      </c>
      <c r="AD27" s="41">
        <f>'8. P&amp;L and Cashflow'!AE33/AD$5</f>
        <v>5.3441058174060353E-3</v>
      </c>
      <c r="AE27" s="41">
        <f>'8. P&amp;L and Cashflow'!AF33/AE$5</f>
        <v>4.7126330665331635E-3</v>
      </c>
    </row>
    <row r="28" spans="1:31" x14ac:dyDescent="0.2">
      <c r="A28" s="85" t="s">
        <v>322</v>
      </c>
      <c r="B28" s="318">
        <v>35</v>
      </c>
      <c r="C28" s="93"/>
      <c r="D28" s="93"/>
      <c r="E28" s="84"/>
      <c r="G28" s="411" t="str">
        <f t="shared" si="2"/>
        <v>Meals and Entertainment</v>
      </c>
      <c r="H28" s="412"/>
      <c r="I28" s="413">
        <f t="shared" si="4"/>
        <v>35</v>
      </c>
      <c r="J28" s="413">
        <f t="shared" si="5"/>
        <v>151.66666666666666</v>
      </c>
      <c r="K28" s="417">
        <f t="shared" si="7"/>
        <v>1820</v>
      </c>
      <c r="L28" s="414">
        <f t="shared" si="0"/>
        <v>7.0968999805030219E-3</v>
      </c>
      <c r="Z28" s="3" t="str">
        <f t="shared" si="1"/>
        <v>Meals and Entertainment</v>
      </c>
      <c r="AA28" s="41">
        <f t="shared" si="6"/>
        <v>7.0968999805030219E-3</v>
      </c>
      <c r="AB28" s="41">
        <f>'8. P&amp;L and Cashflow'!AC34/AB$5</f>
        <v>5.9592159968323106E-3</v>
      </c>
      <c r="AC28" s="41">
        <f>'8. P&amp;L and Cashflow'!AD34/AC$5</f>
        <v>5.3003893747579148E-3</v>
      </c>
      <c r="AD28" s="41">
        <f>'8. P&amp;L and Cashflow'!AE34/AD$5</f>
        <v>4.6760925902302811E-3</v>
      </c>
      <c r="AE28" s="41">
        <f>'8. P&amp;L and Cashflow'!AF34/AE$5</f>
        <v>4.1235539332165182E-3</v>
      </c>
    </row>
    <row r="29" spans="1:31" x14ac:dyDescent="0.2">
      <c r="A29" s="85" t="s">
        <v>332</v>
      </c>
      <c r="B29" s="318"/>
      <c r="C29" s="93">
        <v>90</v>
      </c>
      <c r="D29" s="93"/>
      <c r="E29" s="84"/>
      <c r="G29" s="411" t="str">
        <f t="shared" si="2"/>
        <v>Networking Events</v>
      </c>
      <c r="H29" s="412"/>
      <c r="I29" s="413">
        <f t="shared" si="4"/>
        <v>20.76923076923077</v>
      </c>
      <c r="J29" s="413">
        <f t="shared" si="5"/>
        <v>90</v>
      </c>
      <c r="K29" s="417">
        <f t="shared" si="7"/>
        <v>1080</v>
      </c>
      <c r="L29" s="414">
        <f t="shared" si="0"/>
        <v>4.2113472411776176E-3</v>
      </c>
      <c r="Z29" s="3" t="str">
        <f t="shared" si="1"/>
        <v>Networking Events</v>
      </c>
      <c r="AA29" s="41">
        <f t="shared" si="6"/>
        <v>4.2113472411776176E-3</v>
      </c>
      <c r="AB29" s="41">
        <f>'8. P&amp;L and Cashflow'!AC35/AB$5</f>
        <v>3.5636507622253018E-3</v>
      </c>
      <c r="AC29" s="41">
        <f>'8. P&amp;L and Cashflow'!AD35/AC$5</f>
        <v>3.1452860026035981E-3</v>
      </c>
      <c r="AD29" s="41">
        <f>'8. P&amp;L and Cashflow'!AE35/AD$5</f>
        <v>2.7748241744223645E-3</v>
      </c>
      <c r="AE29" s="41">
        <f>'8. P&amp;L and Cashflow'!AF35/AE$5</f>
        <v>2.4469440922383731E-3</v>
      </c>
    </row>
    <row r="30" spans="1:31" x14ac:dyDescent="0.2">
      <c r="A30" s="85"/>
      <c r="B30" s="318"/>
      <c r="C30" s="93"/>
      <c r="D30" s="93"/>
      <c r="E30" s="84"/>
      <c r="G30" s="411" t="str">
        <f t="shared" si="2"/>
        <v/>
      </c>
      <c r="H30" s="412"/>
      <c r="I30" s="413">
        <f t="shared" si="4"/>
        <v>0</v>
      </c>
      <c r="J30" s="413">
        <f t="shared" si="5"/>
        <v>0</v>
      </c>
      <c r="K30" s="417">
        <f t="shared" si="7"/>
        <v>0</v>
      </c>
      <c r="L30" s="414">
        <f t="shared" si="0"/>
        <v>0</v>
      </c>
      <c r="Z30" s="3" t="str">
        <f t="shared" si="1"/>
        <v/>
      </c>
      <c r="AA30" s="41">
        <f t="shared" si="6"/>
        <v>0</v>
      </c>
      <c r="AB30" s="41">
        <f>'8. P&amp;L and Cashflow'!AC36/AB$5</f>
        <v>0</v>
      </c>
      <c r="AC30" s="41">
        <f>'8. P&amp;L and Cashflow'!AD36/AC$5</f>
        <v>0</v>
      </c>
      <c r="AD30" s="41">
        <f>'8. P&amp;L and Cashflow'!AE36/AD$5</f>
        <v>0</v>
      </c>
      <c r="AE30" s="41">
        <f>'8. P&amp;L and Cashflow'!AF36/AE$5</f>
        <v>0</v>
      </c>
    </row>
    <row r="31" spans="1:31" x14ac:dyDescent="0.2">
      <c r="A31" s="85"/>
      <c r="B31" s="318"/>
      <c r="C31" s="93"/>
      <c r="D31" s="93"/>
      <c r="E31" s="84"/>
      <c r="G31" s="411" t="str">
        <f t="shared" si="2"/>
        <v/>
      </c>
      <c r="H31" s="412"/>
      <c r="I31" s="413">
        <f t="shared" si="4"/>
        <v>0</v>
      </c>
      <c r="J31" s="413">
        <f t="shared" si="5"/>
        <v>0</v>
      </c>
      <c r="K31" s="417">
        <f t="shared" si="7"/>
        <v>0</v>
      </c>
      <c r="L31" s="414">
        <f t="shared" si="0"/>
        <v>0</v>
      </c>
      <c r="Z31" s="3" t="str">
        <f t="shared" si="1"/>
        <v/>
      </c>
      <c r="AA31" s="41">
        <f t="shared" si="6"/>
        <v>0</v>
      </c>
      <c r="AB31" s="41">
        <f>'8. P&amp;L and Cashflow'!AC37/AB$5</f>
        <v>0</v>
      </c>
      <c r="AC31" s="41">
        <f>'8. P&amp;L and Cashflow'!AD37/AC$5</f>
        <v>0</v>
      </c>
      <c r="AD31" s="41">
        <f>'8. P&amp;L and Cashflow'!AE37/AD$5</f>
        <v>0</v>
      </c>
      <c r="AE31" s="41">
        <f>'8. P&amp;L and Cashflow'!AF37/AE$5</f>
        <v>0</v>
      </c>
    </row>
    <row r="32" spans="1:31" x14ac:dyDescent="0.2">
      <c r="A32" s="85" t="s">
        <v>331</v>
      </c>
      <c r="B32" s="318"/>
      <c r="C32" s="93"/>
      <c r="D32" s="93">
        <v>3500</v>
      </c>
      <c r="E32" s="84"/>
      <c r="G32" s="411" t="str">
        <f t="shared" si="2"/>
        <v>Professional Development</v>
      </c>
      <c r="H32" s="412"/>
      <c r="I32" s="413">
        <f t="shared" si="4"/>
        <v>67.307692307692307</v>
      </c>
      <c r="J32" s="413">
        <f t="shared" si="5"/>
        <v>291.66666666666669</v>
      </c>
      <c r="K32" s="417">
        <f t="shared" si="7"/>
        <v>3500</v>
      </c>
      <c r="L32" s="414">
        <f t="shared" si="0"/>
        <v>1.3647884577890427E-2</v>
      </c>
      <c r="Z32" s="3" t="str">
        <f t="shared" si="1"/>
        <v>Professional Development</v>
      </c>
      <c r="AA32" s="41">
        <f t="shared" si="6"/>
        <v>1.3647884577890427E-2</v>
      </c>
      <c r="AB32" s="41">
        <f>'8. P&amp;L and Cashflow'!AC38/AB$5</f>
        <v>1.1548868210915329E-2</v>
      </c>
      <c r="AC32" s="41">
        <f>'8. P&amp;L and Cashflow'!AD38/AC$5</f>
        <v>1.0193056489919068E-2</v>
      </c>
      <c r="AD32" s="41">
        <f>'8. P&amp;L and Cashflow'!AE38/AD$5</f>
        <v>8.9924857504428482E-3</v>
      </c>
      <c r="AE32" s="41">
        <f>'8. P&amp;L and Cashflow'!AF38/AE$5</f>
        <v>7.929911410031765E-3</v>
      </c>
    </row>
    <row r="33" spans="1:31" x14ac:dyDescent="0.2">
      <c r="A33" s="85" t="s">
        <v>41</v>
      </c>
      <c r="B33" s="318"/>
      <c r="C33" s="93">
        <v>300</v>
      </c>
      <c r="D33" s="93"/>
      <c r="E33" s="84"/>
      <c r="G33" s="411" t="str">
        <f t="shared" si="2"/>
        <v>Accounting Services</v>
      </c>
      <c r="H33" s="412"/>
      <c r="I33" s="413">
        <f t="shared" si="4"/>
        <v>69.230769230769226</v>
      </c>
      <c r="J33" s="413">
        <f t="shared" si="5"/>
        <v>300</v>
      </c>
      <c r="K33" s="417">
        <f t="shared" si="7"/>
        <v>3600</v>
      </c>
      <c r="L33" s="414">
        <f t="shared" si="0"/>
        <v>1.4037824137258724E-2</v>
      </c>
      <c r="Z33" s="3" t="str">
        <f t="shared" si="1"/>
        <v>Accounting Services</v>
      </c>
      <c r="AA33" s="41">
        <f t="shared" si="6"/>
        <v>1.4037824137258724E-2</v>
      </c>
      <c r="AB33" s="41">
        <f>'8. P&amp;L and Cashflow'!AC39/AB$5</f>
        <v>1.187883587408434E-2</v>
      </c>
      <c r="AC33" s="41">
        <f>'8. P&amp;L and Cashflow'!AD39/AC$5</f>
        <v>1.0484286675345325E-2</v>
      </c>
      <c r="AD33" s="41">
        <f>'8. P&amp;L and Cashflow'!AE39/AD$5</f>
        <v>9.2494139147412148E-3</v>
      </c>
      <c r="AE33" s="41">
        <f>'8. P&amp;L and Cashflow'!AF39/AE$5</f>
        <v>8.1564803074612446E-3</v>
      </c>
    </row>
    <row r="34" spans="1:31" x14ac:dyDescent="0.2">
      <c r="A34" s="85" t="s">
        <v>321</v>
      </c>
      <c r="B34" s="318"/>
      <c r="C34" s="93"/>
      <c r="D34" s="93">
        <v>450</v>
      </c>
      <c r="E34" s="84"/>
      <c r="G34" s="411" t="str">
        <f t="shared" si="2"/>
        <v>Legal Services</v>
      </c>
      <c r="H34" s="412"/>
      <c r="I34" s="413">
        <f t="shared" si="4"/>
        <v>8.6538461538461533</v>
      </c>
      <c r="J34" s="413">
        <f t="shared" si="5"/>
        <v>37.5</v>
      </c>
      <c r="K34" s="417">
        <f t="shared" si="7"/>
        <v>450</v>
      </c>
      <c r="L34" s="414">
        <f t="shared" si="0"/>
        <v>1.7547280171573405E-3</v>
      </c>
      <c r="Z34" s="3" t="str">
        <f t="shared" si="1"/>
        <v>Legal Services</v>
      </c>
      <c r="AA34" s="41">
        <f t="shared" si="6"/>
        <v>1.7547280171573405E-3</v>
      </c>
      <c r="AB34" s="41">
        <f>'8. P&amp;L and Cashflow'!AC40/AB$5</f>
        <v>1.4848544842605426E-3</v>
      </c>
      <c r="AC34" s="41">
        <f>'8. P&amp;L and Cashflow'!AD40/AC$5</f>
        <v>1.3105358344181657E-3</v>
      </c>
      <c r="AD34" s="41">
        <f>'8. P&amp;L and Cashflow'!AE40/AD$5</f>
        <v>1.1561767393426518E-3</v>
      </c>
      <c r="AE34" s="41">
        <f>'8. P&amp;L and Cashflow'!AF40/AE$5</f>
        <v>1.0195600384326556E-3</v>
      </c>
    </row>
    <row r="35" spans="1:31" x14ac:dyDescent="0.2">
      <c r="A35" s="85" t="s">
        <v>330</v>
      </c>
      <c r="B35" s="318"/>
      <c r="C35" s="93"/>
      <c r="D35" s="93"/>
      <c r="E35" s="84">
        <v>5.0000000000000001E-3</v>
      </c>
      <c r="G35" s="411" t="str">
        <f t="shared" si="2"/>
        <v>Bad Debt</v>
      </c>
      <c r="H35" s="412"/>
      <c r="I35" s="413">
        <f t="shared" si="4"/>
        <v>24.658653846153847</v>
      </c>
      <c r="J35" s="413">
        <f t="shared" si="5"/>
        <v>106.85416666666667</v>
      </c>
      <c r="K35" s="417">
        <f t="shared" si="7"/>
        <v>1282.25</v>
      </c>
      <c r="L35" s="414">
        <f t="shared" si="0"/>
        <v>5.0000000000000001E-3</v>
      </c>
      <c r="Z35" s="3" t="str">
        <f t="shared" si="1"/>
        <v>Bad Debt</v>
      </c>
      <c r="AA35" s="41">
        <f t="shared" si="6"/>
        <v>5.0000000000000001E-3</v>
      </c>
      <c r="AB35" s="41">
        <f>'8. P&amp;L and Cashflow'!AC41/AB$5</f>
        <v>5.000000000000001E-3</v>
      </c>
      <c r="AC35" s="41">
        <f>'8. P&amp;L and Cashflow'!AD41/AC$5</f>
        <v>5.0000000000000001E-3</v>
      </c>
      <c r="AD35" s="41">
        <f>'8. P&amp;L and Cashflow'!AE41/AD$5</f>
        <v>5.0000000000000001E-3</v>
      </c>
      <c r="AE35" s="41">
        <f>'8. P&amp;L and Cashflow'!AF41/AE$5</f>
        <v>5.0000000000000001E-3</v>
      </c>
    </row>
    <row r="36" spans="1:31" x14ac:dyDescent="0.2">
      <c r="A36" s="85"/>
      <c r="B36" s="318"/>
      <c r="C36" s="93"/>
      <c r="D36" s="93"/>
      <c r="E36" s="84"/>
      <c r="G36" s="411" t="str">
        <f t="shared" si="2"/>
        <v/>
      </c>
      <c r="H36" s="412"/>
      <c r="I36" s="413">
        <f t="shared" si="4"/>
        <v>0</v>
      </c>
      <c r="J36" s="413">
        <f t="shared" si="5"/>
        <v>0</v>
      </c>
      <c r="K36" s="417">
        <f t="shared" si="7"/>
        <v>0</v>
      </c>
      <c r="L36" s="414">
        <f t="shared" si="0"/>
        <v>0</v>
      </c>
      <c r="Z36" s="3" t="str">
        <f t="shared" si="1"/>
        <v/>
      </c>
      <c r="AA36" s="41">
        <f t="shared" si="6"/>
        <v>0</v>
      </c>
      <c r="AB36" s="41">
        <f>'8. P&amp;L and Cashflow'!AC42/AB$5</f>
        <v>0</v>
      </c>
      <c r="AC36" s="41">
        <f>'8. P&amp;L and Cashflow'!AD42/AC$5</f>
        <v>0</v>
      </c>
      <c r="AD36" s="41">
        <f>'8. P&amp;L and Cashflow'!AE42/AD$5</f>
        <v>0</v>
      </c>
      <c r="AE36" s="41">
        <f>'8. P&amp;L and Cashflow'!AF42/AE$5</f>
        <v>0</v>
      </c>
    </row>
    <row r="37" spans="1:31" x14ac:dyDescent="0.2">
      <c r="A37" s="85" t="s">
        <v>241</v>
      </c>
      <c r="B37" s="318"/>
      <c r="C37" s="93"/>
      <c r="D37" s="93">
        <v>85</v>
      </c>
      <c r="E37" s="84"/>
      <c r="G37" s="411" t="str">
        <f t="shared" si="2"/>
        <v>Banking Fees</v>
      </c>
      <c r="H37" s="412"/>
      <c r="I37" s="413">
        <f t="shared" si="4"/>
        <v>1.6346153846153846</v>
      </c>
      <c r="J37" s="413">
        <f t="shared" si="5"/>
        <v>7.083333333333333</v>
      </c>
      <c r="K37" s="417">
        <f t="shared" si="7"/>
        <v>85</v>
      </c>
      <c r="L37" s="414">
        <f t="shared" si="0"/>
        <v>3.3144862546305323E-4</v>
      </c>
      <c r="Z37" s="3" t="str">
        <f t="shared" si="1"/>
        <v>Banking Fees</v>
      </c>
      <c r="AA37" s="41">
        <f t="shared" si="6"/>
        <v>3.3144862546305323E-4</v>
      </c>
      <c r="AB37" s="41">
        <f>'8. P&amp;L and Cashflow'!AC43/AB$5</f>
        <v>2.8047251369365801E-4</v>
      </c>
      <c r="AC37" s="41">
        <f>'8. P&amp;L and Cashflow'!AD43/AC$5</f>
        <v>2.4754565761232018E-4</v>
      </c>
      <c r="AD37" s="41">
        <f>'8. P&amp;L and Cashflow'!AE43/AD$5</f>
        <v>2.1838893965361202E-4</v>
      </c>
      <c r="AE37" s="41">
        <f>'8. P&amp;L and Cashflow'!AF43/AE$5</f>
        <v>1.9258356281505717E-4</v>
      </c>
    </row>
    <row r="38" spans="1:31" x14ac:dyDescent="0.2">
      <c r="A38" s="85" t="s">
        <v>323</v>
      </c>
      <c r="B38" s="318"/>
      <c r="C38" s="93"/>
      <c r="D38" s="93"/>
      <c r="E38" s="84">
        <v>3.5000000000000003E-2</v>
      </c>
      <c r="G38" s="411" t="str">
        <f t="shared" si="2"/>
        <v>Merchant Account Fees</v>
      </c>
      <c r="H38" s="412"/>
      <c r="I38" s="413">
        <f t="shared" si="4"/>
        <v>172.61057692307693</v>
      </c>
      <c r="J38" s="413">
        <f t="shared" si="5"/>
        <v>747.97916666666663</v>
      </c>
      <c r="K38" s="417">
        <f t="shared" si="7"/>
        <v>8975.75</v>
      </c>
      <c r="L38" s="414">
        <f t="shared" si="0"/>
        <v>3.5000000000000003E-2</v>
      </c>
      <c r="Z38" s="3" t="str">
        <f t="shared" si="1"/>
        <v>Merchant Account Fees</v>
      </c>
      <c r="AA38" s="41">
        <f t="shared" si="6"/>
        <v>3.5000000000000003E-2</v>
      </c>
      <c r="AB38" s="41">
        <f>'8. P&amp;L and Cashflow'!AC44/AB$5</f>
        <v>3.4999999999999996E-2</v>
      </c>
      <c r="AC38" s="41">
        <f>'8. P&amp;L and Cashflow'!AD44/AC$5</f>
        <v>3.5000000000000003E-2</v>
      </c>
      <c r="AD38" s="41">
        <f>'8. P&amp;L and Cashflow'!AE44/AD$5</f>
        <v>3.5000000000000003E-2</v>
      </c>
      <c r="AE38" s="41">
        <f>'8. P&amp;L and Cashflow'!AF44/AE$5</f>
        <v>3.5000000000000003E-2</v>
      </c>
    </row>
    <row r="39" spans="1:31" x14ac:dyDescent="0.2">
      <c r="A39" s="85"/>
      <c r="B39" s="318"/>
      <c r="C39" s="93"/>
      <c r="D39" s="93"/>
      <c r="E39" s="84"/>
      <c r="G39" s="411" t="str">
        <f t="shared" si="2"/>
        <v/>
      </c>
      <c r="H39" s="412"/>
      <c r="I39" s="413">
        <f t="shared" si="4"/>
        <v>0</v>
      </c>
      <c r="J39" s="413">
        <f t="shared" si="5"/>
        <v>0</v>
      </c>
      <c r="K39" s="417">
        <f t="shared" si="7"/>
        <v>0</v>
      </c>
      <c r="L39" s="414">
        <f t="shared" si="0"/>
        <v>0</v>
      </c>
      <c r="Z39" s="3" t="str">
        <f t="shared" si="1"/>
        <v/>
      </c>
      <c r="AA39" s="41">
        <f t="shared" si="6"/>
        <v>0</v>
      </c>
      <c r="AB39" s="41">
        <f>'8. P&amp;L and Cashflow'!AC45/AB$5</f>
        <v>0</v>
      </c>
      <c r="AC39" s="41">
        <f>'8. P&amp;L and Cashflow'!AD45/AC$5</f>
        <v>0</v>
      </c>
      <c r="AD39" s="41">
        <f>'8. P&amp;L and Cashflow'!AE45/AD$5</f>
        <v>0</v>
      </c>
      <c r="AE39" s="41">
        <f>'8. P&amp;L and Cashflow'!AF45/AE$5</f>
        <v>0</v>
      </c>
    </row>
    <row r="40" spans="1:31" x14ac:dyDescent="0.2">
      <c r="A40" s="85"/>
      <c r="B40" s="113"/>
      <c r="C40" s="93"/>
      <c r="D40" s="93"/>
      <c r="E40" s="84"/>
      <c r="G40" s="411" t="str">
        <f t="shared" si="2"/>
        <v/>
      </c>
      <c r="H40" s="412"/>
      <c r="I40" s="413">
        <f t="shared" si="4"/>
        <v>0</v>
      </c>
      <c r="J40" s="413">
        <f t="shared" si="5"/>
        <v>0</v>
      </c>
      <c r="K40" s="417">
        <f t="shared" si="7"/>
        <v>0</v>
      </c>
      <c r="L40" s="414">
        <f t="shared" si="0"/>
        <v>0</v>
      </c>
      <c r="Z40" s="3" t="str">
        <f t="shared" si="1"/>
        <v/>
      </c>
      <c r="AA40" s="41">
        <f t="shared" si="6"/>
        <v>0</v>
      </c>
      <c r="AB40" s="41">
        <f>'8. P&amp;L and Cashflow'!AC46/AB$5</f>
        <v>0</v>
      </c>
      <c r="AC40" s="41">
        <f>'8. P&amp;L and Cashflow'!AD46/AC$5</f>
        <v>0</v>
      </c>
      <c r="AD40" s="41">
        <f>'8. P&amp;L and Cashflow'!AE46/AD$5</f>
        <v>0</v>
      </c>
      <c r="AE40" s="41">
        <f>'8. P&amp;L and Cashflow'!AF46/AE$5</f>
        <v>0</v>
      </c>
    </row>
    <row r="41" spans="1:31" x14ac:dyDescent="0.2">
      <c r="A41" s="85"/>
      <c r="B41" s="113"/>
      <c r="C41" s="93"/>
      <c r="D41" s="93"/>
      <c r="E41" s="84"/>
      <c r="G41" s="411" t="str">
        <f t="shared" si="2"/>
        <v/>
      </c>
      <c r="H41" s="412"/>
      <c r="I41" s="413">
        <f t="shared" si="4"/>
        <v>0</v>
      </c>
      <c r="J41" s="413">
        <f t="shared" si="5"/>
        <v>0</v>
      </c>
      <c r="K41" s="417">
        <f t="shared" si="7"/>
        <v>0</v>
      </c>
      <c r="L41" s="414">
        <f t="shared" si="0"/>
        <v>0</v>
      </c>
      <c r="Z41" s="3" t="str">
        <f t="shared" si="1"/>
        <v/>
      </c>
      <c r="AA41" s="41">
        <f t="shared" si="6"/>
        <v>0</v>
      </c>
      <c r="AB41" s="41">
        <f>'8. P&amp;L and Cashflow'!AC47/AB$5</f>
        <v>0</v>
      </c>
      <c r="AC41" s="41">
        <f>'8. P&amp;L and Cashflow'!AD47/AC$5</f>
        <v>0</v>
      </c>
      <c r="AD41" s="41">
        <f>'8. P&amp;L and Cashflow'!AE47/AD$5</f>
        <v>0</v>
      </c>
      <c r="AE41" s="41">
        <f>'8. P&amp;L and Cashflow'!AF47/AE$5</f>
        <v>0</v>
      </c>
    </row>
    <row r="42" spans="1:31" x14ac:dyDescent="0.2">
      <c r="A42" s="85"/>
      <c r="B42" s="113"/>
      <c r="C42" s="93"/>
      <c r="D42" s="93"/>
      <c r="E42" s="84"/>
      <c r="G42" s="411" t="str">
        <f t="shared" si="2"/>
        <v/>
      </c>
      <c r="H42" s="412"/>
      <c r="I42" s="413">
        <f t="shared" si="4"/>
        <v>0</v>
      </c>
      <c r="J42" s="413">
        <f t="shared" si="5"/>
        <v>0</v>
      </c>
      <c r="K42" s="417">
        <f t="shared" si="7"/>
        <v>0</v>
      </c>
      <c r="L42" s="414">
        <f t="shared" si="0"/>
        <v>0</v>
      </c>
      <c r="Z42" s="3" t="str">
        <f t="shared" si="1"/>
        <v/>
      </c>
      <c r="AA42" s="41">
        <f t="shared" si="6"/>
        <v>0</v>
      </c>
      <c r="AB42" s="41">
        <f>'8. P&amp;L and Cashflow'!AC48/AB$5</f>
        <v>0</v>
      </c>
      <c r="AC42" s="41">
        <f>'8. P&amp;L and Cashflow'!AD48/AC$5</f>
        <v>0</v>
      </c>
      <c r="AD42" s="41">
        <f>'8. P&amp;L and Cashflow'!AE48/AD$5</f>
        <v>0</v>
      </c>
      <c r="AE42" s="41">
        <f>'8. P&amp;L and Cashflow'!AF48/AE$5</f>
        <v>0</v>
      </c>
    </row>
    <row r="43" spans="1:31" x14ac:dyDescent="0.2">
      <c r="A43" s="85"/>
      <c r="B43" s="113"/>
      <c r="C43" s="93"/>
      <c r="D43" s="93"/>
      <c r="E43" s="84"/>
      <c r="G43" s="411" t="str">
        <f t="shared" si="2"/>
        <v/>
      </c>
      <c r="H43" s="412"/>
      <c r="I43" s="413">
        <f t="shared" si="4"/>
        <v>0</v>
      </c>
      <c r="J43" s="413">
        <f t="shared" si="5"/>
        <v>0</v>
      </c>
      <c r="K43" s="417">
        <f t="shared" si="7"/>
        <v>0</v>
      </c>
      <c r="L43" s="414">
        <f t="shared" si="0"/>
        <v>0</v>
      </c>
      <c r="Z43" s="3" t="str">
        <f t="shared" si="1"/>
        <v/>
      </c>
      <c r="AA43" s="41">
        <f t="shared" si="6"/>
        <v>0</v>
      </c>
      <c r="AB43" s="41">
        <f>'8. P&amp;L and Cashflow'!AC49/AB$5</f>
        <v>0</v>
      </c>
      <c r="AC43" s="41">
        <f>'8. P&amp;L and Cashflow'!AD49/AC$5</f>
        <v>0</v>
      </c>
      <c r="AD43" s="41">
        <f>'8. P&amp;L and Cashflow'!AE49/AD$5</f>
        <v>0</v>
      </c>
      <c r="AE43" s="41">
        <f>'8. P&amp;L and Cashflow'!AF49/AE$5</f>
        <v>0</v>
      </c>
    </row>
    <row r="44" spans="1:31" ht="13.5" thickBot="1" x14ac:dyDescent="0.25">
      <c r="A44" s="250" t="s">
        <v>9</v>
      </c>
      <c r="B44" s="251"/>
      <c r="C44" s="94"/>
      <c r="D44" s="94"/>
      <c r="E44" s="252">
        <v>0.03</v>
      </c>
      <c r="G44" s="418" t="str">
        <f t="shared" si="2"/>
        <v>Other</v>
      </c>
      <c r="H44" s="419"/>
      <c r="I44" s="420">
        <f t="shared" si="4"/>
        <v>147.95192307692307</v>
      </c>
      <c r="J44" s="420">
        <f t="shared" si="5"/>
        <v>641.125</v>
      </c>
      <c r="K44" s="420">
        <f t="shared" si="7"/>
        <v>7693.5</v>
      </c>
      <c r="L44" s="421">
        <f t="shared" si="0"/>
        <v>0.03</v>
      </c>
      <c r="Z44" s="3" t="str">
        <f t="shared" si="1"/>
        <v>Other</v>
      </c>
      <c r="AA44" s="41">
        <f t="shared" si="6"/>
        <v>0.03</v>
      </c>
      <c r="AB44" s="41">
        <f>'8. P&amp;L and Cashflow'!AC50/AB$5</f>
        <v>2.9999999999999992E-2</v>
      </c>
      <c r="AC44" s="41">
        <f>'8. P&amp;L and Cashflow'!AD50/AC$5</f>
        <v>0.03</v>
      </c>
      <c r="AD44" s="41">
        <f>'8. P&amp;L and Cashflow'!AE50/AD$5</f>
        <v>0.03</v>
      </c>
      <c r="AE44" s="41">
        <f>'8. P&amp;L and Cashflow'!AF50/AE$5</f>
        <v>0.03</v>
      </c>
    </row>
  </sheetData>
  <mergeCells count="9">
    <mergeCell ref="M1:O1"/>
    <mergeCell ref="P1:S1"/>
    <mergeCell ref="G3:L3"/>
    <mergeCell ref="G9:H9"/>
    <mergeCell ref="B10:D10"/>
    <mergeCell ref="I4:L4"/>
    <mergeCell ref="B4:D4"/>
    <mergeCell ref="B5:D5"/>
    <mergeCell ref="AA4:AE4"/>
  </mergeCells>
  <hyperlinks>
    <hyperlink ref="B10" r:id="rId1" xr:uid="{00000000-0004-0000-0300-000000000000}"/>
  </hyperlinks>
  <printOptions horizontalCentered="1" verticalCentered="1"/>
  <pageMargins left="0.24" right="0.24" top="0.24" bottom="0.24" header="0.17" footer="0.17"/>
  <pageSetup orientation="landscape" r:id="rId2"/>
  <headerFooter>
    <oddHeader>&amp;LTab 2: Operating Budget&amp;CRapid Business Plan</oddHeader>
    <oddFooter>&amp;L&amp;D&amp;CHeartland Information Research, Inc&amp;RPage 3 of 9</oddFooter>
  </headerFooter>
  <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fitToPage="1"/>
  </sheetPr>
  <dimension ref="A1:G64"/>
  <sheetViews>
    <sheetView showGridLines="0" zoomScaleNormal="100" workbookViewId="0">
      <pane ySplit="3" topLeftCell="A4" activePane="bottomLeft" state="frozenSplit"/>
      <selection pane="bottomLeft" activeCell="A4" sqref="A4"/>
    </sheetView>
  </sheetViews>
  <sheetFormatPr defaultColWidth="0" defaultRowHeight="12.75" customHeight="1" zeroHeight="1" x14ac:dyDescent="0.2"/>
  <cols>
    <col min="1" max="1" width="7.140625" style="10" customWidth="1"/>
    <col min="2" max="2" width="19.28515625" style="11" customWidth="1"/>
    <col min="3" max="3" width="12.7109375" style="10" customWidth="1"/>
    <col min="4" max="4" width="31.85546875" style="11" customWidth="1"/>
    <col min="5" max="5" width="12.28515625" style="11" customWidth="1"/>
    <col min="6" max="6" width="14.85546875" style="11" customWidth="1"/>
    <col min="7" max="7" width="10.42578125" style="11" bestFit="1" customWidth="1"/>
    <col min="8" max="16384" width="18.7109375" style="11" hidden="1"/>
  </cols>
  <sheetData>
    <row r="1" spans="1:7" x14ac:dyDescent="0.2">
      <c r="A1" s="78" t="str">
        <f>'0. Basic Info'!D11</f>
        <v>My Business</v>
      </c>
      <c r="B1" s="78"/>
      <c r="C1" s="29" t="s">
        <v>15</v>
      </c>
      <c r="F1" s="27">
        <f>SUM(F4:F63)</f>
        <v>3350</v>
      </c>
    </row>
    <row r="2" spans="1:7" ht="13.5" thickBot="1" x14ac:dyDescent="0.25">
      <c r="C2" s="29"/>
      <c r="D2" s="110" t="s">
        <v>11</v>
      </c>
      <c r="E2" s="190">
        <v>0</v>
      </c>
      <c r="F2" s="28">
        <f>E2*F1</f>
        <v>0</v>
      </c>
      <c r="G2" s="10" t="s">
        <v>34</v>
      </c>
    </row>
    <row r="3" spans="1:7" ht="13.5" thickBot="1" x14ac:dyDescent="0.25">
      <c r="A3" s="108" t="s">
        <v>32</v>
      </c>
      <c r="B3" s="107" t="s">
        <v>36</v>
      </c>
      <c r="C3" s="108" t="s">
        <v>35</v>
      </c>
      <c r="D3" s="107" t="s">
        <v>7</v>
      </c>
      <c r="E3" s="105"/>
      <c r="F3" s="106">
        <f>F1+F2</f>
        <v>3350</v>
      </c>
      <c r="G3" s="27">
        <f>SUM(G4:G63)</f>
        <v>350</v>
      </c>
    </row>
    <row r="4" spans="1:7" x14ac:dyDescent="0.2">
      <c r="A4" s="298"/>
      <c r="B4" s="297"/>
      <c r="C4" s="298"/>
      <c r="D4" s="299" t="s">
        <v>302</v>
      </c>
      <c r="E4" s="300"/>
      <c r="F4" s="301">
        <f t="shared" ref="F4:F63" si="0">A4*E4</f>
        <v>0</v>
      </c>
      <c r="G4" s="12">
        <f t="shared" ref="G4:G63" si="1">IF(C4="y",F4,0)</f>
        <v>0</v>
      </c>
    </row>
    <row r="5" spans="1:7" x14ac:dyDescent="0.2">
      <c r="A5" s="302"/>
      <c r="B5" s="303"/>
      <c r="C5" s="304"/>
      <c r="D5" s="99" t="s">
        <v>303</v>
      </c>
      <c r="E5" s="306"/>
      <c r="F5" s="301">
        <f t="shared" si="0"/>
        <v>0</v>
      </c>
      <c r="G5" s="12">
        <f t="shared" si="1"/>
        <v>0</v>
      </c>
    </row>
    <row r="6" spans="1:7" x14ac:dyDescent="0.2">
      <c r="A6" s="302"/>
      <c r="B6" s="303"/>
      <c r="C6" s="304"/>
      <c r="D6" s="305" t="s">
        <v>304</v>
      </c>
      <c r="E6" s="306"/>
      <c r="F6" s="301">
        <f t="shared" si="0"/>
        <v>0</v>
      </c>
      <c r="G6" s="12">
        <f t="shared" si="1"/>
        <v>0</v>
      </c>
    </row>
    <row r="7" spans="1:7" x14ac:dyDescent="0.2">
      <c r="A7" s="302"/>
      <c r="B7" s="303"/>
      <c r="C7" s="304"/>
      <c r="D7" s="305" t="s">
        <v>305</v>
      </c>
      <c r="E7" s="306"/>
      <c r="F7" s="301">
        <f t="shared" si="0"/>
        <v>0</v>
      </c>
      <c r="G7" s="12">
        <f t="shared" si="1"/>
        <v>0</v>
      </c>
    </row>
    <row r="8" spans="1:7" x14ac:dyDescent="0.2">
      <c r="A8" s="302"/>
      <c r="B8" s="303"/>
      <c r="C8" s="304"/>
      <c r="D8" s="305" t="s">
        <v>306</v>
      </c>
      <c r="E8" s="306"/>
      <c r="F8" s="301">
        <f t="shared" si="0"/>
        <v>0</v>
      </c>
      <c r="G8" s="12">
        <f t="shared" si="1"/>
        <v>0</v>
      </c>
    </row>
    <row r="9" spans="1:7" x14ac:dyDescent="0.2">
      <c r="A9" s="302"/>
      <c r="B9" s="303"/>
      <c r="C9" s="304"/>
      <c r="D9" s="305"/>
      <c r="E9" s="300"/>
      <c r="F9" s="301">
        <f t="shared" si="0"/>
        <v>0</v>
      </c>
      <c r="G9" s="12">
        <f t="shared" si="1"/>
        <v>0</v>
      </c>
    </row>
    <row r="10" spans="1:7" x14ac:dyDescent="0.2">
      <c r="A10" s="302"/>
      <c r="B10" s="303"/>
      <c r="C10" s="304"/>
      <c r="D10" s="305" t="s">
        <v>347</v>
      </c>
      <c r="E10" s="306"/>
      <c r="F10" s="301">
        <f t="shared" si="0"/>
        <v>0</v>
      </c>
      <c r="G10" s="12">
        <f t="shared" si="1"/>
        <v>0</v>
      </c>
    </row>
    <row r="11" spans="1:7" x14ac:dyDescent="0.2">
      <c r="A11" s="302">
        <v>1</v>
      </c>
      <c r="B11" s="303" t="s">
        <v>351</v>
      </c>
      <c r="C11" s="304"/>
      <c r="D11" s="305" t="s">
        <v>350</v>
      </c>
      <c r="E11" s="306">
        <v>2500</v>
      </c>
      <c r="F11" s="301">
        <f t="shared" si="0"/>
        <v>2500</v>
      </c>
      <c r="G11" s="12">
        <f t="shared" si="1"/>
        <v>0</v>
      </c>
    </row>
    <row r="12" spans="1:7" x14ac:dyDescent="0.2">
      <c r="A12" s="302">
        <v>1</v>
      </c>
      <c r="B12" s="303" t="s">
        <v>351</v>
      </c>
      <c r="C12" s="304" t="s">
        <v>80</v>
      </c>
      <c r="D12" s="305" t="s">
        <v>352</v>
      </c>
      <c r="E12" s="306">
        <v>100</v>
      </c>
      <c r="F12" s="301">
        <f t="shared" si="0"/>
        <v>100</v>
      </c>
      <c r="G12" s="12">
        <f t="shared" si="1"/>
        <v>100</v>
      </c>
    </row>
    <row r="13" spans="1:7" x14ac:dyDescent="0.2">
      <c r="A13" s="302">
        <v>1</v>
      </c>
      <c r="B13" s="303" t="s">
        <v>351</v>
      </c>
      <c r="C13" s="304" t="s">
        <v>80</v>
      </c>
      <c r="D13" s="305" t="s">
        <v>353</v>
      </c>
      <c r="E13" s="306">
        <v>250</v>
      </c>
      <c r="F13" s="301">
        <f t="shared" si="0"/>
        <v>250</v>
      </c>
      <c r="G13" s="12">
        <f t="shared" si="1"/>
        <v>250</v>
      </c>
    </row>
    <row r="14" spans="1:7" x14ac:dyDescent="0.2">
      <c r="A14" s="302">
        <v>1</v>
      </c>
      <c r="B14" s="303" t="s">
        <v>188</v>
      </c>
      <c r="C14" s="304"/>
      <c r="D14" s="305" t="s">
        <v>197</v>
      </c>
      <c r="E14" s="300">
        <v>500</v>
      </c>
      <c r="F14" s="301">
        <f t="shared" si="0"/>
        <v>500</v>
      </c>
      <c r="G14" s="12">
        <f t="shared" si="1"/>
        <v>0</v>
      </c>
    </row>
    <row r="15" spans="1:7" x14ac:dyDescent="0.2">
      <c r="A15" s="302"/>
      <c r="B15" s="303"/>
      <c r="C15" s="304"/>
      <c r="D15" s="305"/>
      <c r="E15" s="306"/>
      <c r="F15" s="301">
        <f t="shared" si="0"/>
        <v>0</v>
      </c>
      <c r="G15" s="12">
        <f t="shared" si="1"/>
        <v>0</v>
      </c>
    </row>
    <row r="16" spans="1:7" x14ac:dyDescent="0.2">
      <c r="A16" s="302"/>
      <c r="B16" s="303"/>
      <c r="C16" s="304"/>
      <c r="D16" s="305"/>
      <c r="E16" s="306"/>
      <c r="F16" s="301">
        <f t="shared" si="0"/>
        <v>0</v>
      </c>
      <c r="G16" s="12">
        <f t="shared" si="1"/>
        <v>0</v>
      </c>
    </row>
    <row r="17" spans="1:7" x14ac:dyDescent="0.2">
      <c r="A17" s="302"/>
      <c r="B17" s="303"/>
      <c r="C17" s="304"/>
      <c r="D17" s="305"/>
      <c r="E17" s="300"/>
      <c r="F17" s="301">
        <f t="shared" si="0"/>
        <v>0</v>
      </c>
      <c r="G17" s="12">
        <f t="shared" si="1"/>
        <v>0</v>
      </c>
    </row>
    <row r="18" spans="1:7" x14ac:dyDescent="0.2">
      <c r="A18" s="302"/>
      <c r="B18" s="303"/>
      <c r="C18" s="304"/>
      <c r="D18" s="305"/>
      <c r="E18" s="306"/>
      <c r="F18" s="301">
        <f t="shared" si="0"/>
        <v>0</v>
      </c>
      <c r="G18" s="12">
        <f t="shared" si="1"/>
        <v>0</v>
      </c>
    </row>
    <row r="19" spans="1:7" x14ac:dyDescent="0.2">
      <c r="A19" s="302"/>
      <c r="B19" s="303"/>
      <c r="C19" s="304"/>
      <c r="D19" s="305"/>
      <c r="E19" s="306"/>
      <c r="F19" s="301">
        <f t="shared" si="0"/>
        <v>0</v>
      </c>
      <c r="G19" s="12">
        <f t="shared" si="1"/>
        <v>0</v>
      </c>
    </row>
    <row r="20" spans="1:7" x14ac:dyDescent="0.2">
      <c r="A20" s="302"/>
      <c r="B20" s="303"/>
      <c r="C20" s="304"/>
      <c r="D20" s="305"/>
      <c r="E20" s="306"/>
      <c r="F20" s="301">
        <f t="shared" si="0"/>
        <v>0</v>
      </c>
      <c r="G20" s="12">
        <f t="shared" si="1"/>
        <v>0</v>
      </c>
    </row>
    <row r="21" spans="1:7" x14ac:dyDescent="0.2">
      <c r="A21" s="302"/>
      <c r="B21" s="303"/>
      <c r="C21" s="304"/>
      <c r="D21" s="305"/>
      <c r="E21" s="306"/>
      <c r="F21" s="301">
        <f t="shared" si="0"/>
        <v>0</v>
      </c>
      <c r="G21" s="12">
        <f t="shared" si="1"/>
        <v>0</v>
      </c>
    </row>
    <row r="22" spans="1:7" x14ac:dyDescent="0.2">
      <c r="A22" s="302"/>
      <c r="B22" s="303"/>
      <c r="C22" s="304"/>
      <c r="D22" s="305"/>
      <c r="E22" s="306"/>
      <c r="F22" s="301">
        <f t="shared" si="0"/>
        <v>0</v>
      </c>
      <c r="G22" s="12">
        <f t="shared" si="1"/>
        <v>0</v>
      </c>
    </row>
    <row r="23" spans="1:7" x14ac:dyDescent="0.2">
      <c r="A23" s="302"/>
      <c r="B23" s="303"/>
      <c r="C23" s="304"/>
      <c r="D23" s="305"/>
      <c r="E23" s="306"/>
      <c r="F23" s="301">
        <f t="shared" si="0"/>
        <v>0</v>
      </c>
      <c r="G23" s="12">
        <f t="shared" si="1"/>
        <v>0</v>
      </c>
    </row>
    <row r="24" spans="1:7" ht="12" customHeight="1" x14ac:dyDescent="0.2">
      <c r="A24" s="302"/>
      <c r="B24" s="303"/>
      <c r="C24" s="304"/>
      <c r="D24" s="305"/>
      <c r="E24" s="306"/>
      <c r="F24" s="301">
        <f t="shared" si="0"/>
        <v>0</v>
      </c>
      <c r="G24" s="12">
        <f t="shared" si="1"/>
        <v>0</v>
      </c>
    </row>
    <row r="25" spans="1:7" ht="12" customHeight="1" x14ac:dyDescent="0.2">
      <c r="A25" s="302"/>
      <c r="B25" s="303"/>
      <c r="C25" s="304"/>
      <c r="D25" s="305"/>
      <c r="E25" s="300"/>
      <c r="F25" s="301">
        <f t="shared" si="0"/>
        <v>0</v>
      </c>
      <c r="G25" s="12">
        <f t="shared" si="1"/>
        <v>0</v>
      </c>
    </row>
    <row r="26" spans="1:7" ht="12" customHeight="1" x14ac:dyDescent="0.2">
      <c r="A26" s="302"/>
      <c r="B26" s="303"/>
      <c r="C26" s="304"/>
      <c r="D26" s="305"/>
      <c r="E26" s="306"/>
      <c r="F26" s="301">
        <f t="shared" si="0"/>
        <v>0</v>
      </c>
      <c r="G26" s="12">
        <f t="shared" si="1"/>
        <v>0</v>
      </c>
    </row>
    <row r="27" spans="1:7" ht="12" customHeight="1" x14ac:dyDescent="0.2">
      <c r="A27" s="302"/>
      <c r="B27" s="303"/>
      <c r="C27" s="304"/>
      <c r="D27" s="305"/>
      <c r="E27" s="306"/>
      <c r="F27" s="301">
        <f t="shared" si="0"/>
        <v>0</v>
      </c>
      <c r="G27" s="12">
        <f t="shared" si="1"/>
        <v>0</v>
      </c>
    </row>
    <row r="28" spans="1:7" ht="12" customHeight="1" x14ac:dyDescent="0.2">
      <c r="A28" s="302"/>
      <c r="B28" s="303"/>
      <c r="C28" s="304"/>
      <c r="D28" s="305"/>
      <c r="E28" s="306"/>
      <c r="F28" s="301">
        <f t="shared" si="0"/>
        <v>0</v>
      </c>
      <c r="G28" s="12">
        <f t="shared" si="1"/>
        <v>0</v>
      </c>
    </row>
    <row r="29" spans="1:7" ht="12" customHeight="1" x14ac:dyDescent="0.2">
      <c r="A29" s="302"/>
      <c r="B29" s="303"/>
      <c r="C29" s="304"/>
      <c r="D29" s="305"/>
      <c r="E29" s="306"/>
      <c r="F29" s="301">
        <f t="shared" si="0"/>
        <v>0</v>
      </c>
      <c r="G29" s="12">
        <f t="shared" si="1"/>
        <v>0</v>
      </c>
    </row>
    <row r="30" spans="1:7" ht="12" customHeight="1" x14ac:dyDescent="0.2">
      <c r="A30" s="302"/>
      <c r="B30" s="303"/>
      <c r="C30" s="304"/>
      <c r="D30" s="305"/>
      <c r="E30" s="306"/>
      <c r="F30" s="301">
        <f t="shared" si="0"/>
        <v>0</v>
      </c>
      <c r="G30" s="12">
        <f t="shared" si="1"/>
        <v>0</v>
      </c>
    </row>
    <row r="31" spans="1:7" ht="12" customHeight="1" x14ac:dyDescent="0.2">
      <c r="A31" s="302"/>
      <c r="B31" s="303"/>
      <c r="C31" s="304"/>
      <c r="D31" s="305"/>
      <c r="E31" s="306"/>
      <c r="F31" s="301">
        <f t="shared" si="0"/>
        <v>0</v>
      </c>
      <c r="G31" s="12">
        <f t="shared" si="1"/>
        <v>0</v>
      </c>
    </row>
    <row r="32" spans="1:7" ht="12" customHeight="1" x14ac:dyDescent="0.2">
      <c r="A32" s="302"/>
      <c r="B32" s="303"/>
      <c r="C32" s="304"/>
      <c r="D32" s="305"/>
      <c r="E32" s="306"/>
      <c r="F32" s="301">
        <f t="shared" si="0"/>
        <v>0</v>
      </c>
      <c r="G32" s="12">
        <f t="shared" si="1"/>
        <v>0</v>
      </c>
    </row>
    <row r="33" spans="1:7" ht="12" customHeight="1" x14ac:dyDescent="0.2">
      <c r="A33" s="302"/>
      <c r="B33" s="303"/>
      <c r="C33" s="304"/>
      <c r="D33" s="305"/>
      <c r="E33" s="306"/>
      <c r="F33" s="301">
        <f t="shared" si="0"/>
        <v>0</v>
      </c>
      <c r="G33" s="12">
        <f t="shared" si="1"/>
        <v>0</v>
      </c>
    </row>
    <row r="34" spans="1:7" ht="12" customHeight="1" x14ac:dyDescent="0.2">
      <c r="A34" s="302"/>
      <c r="B34" s="303"/>
      <c r="C34" s="304"/>
      <c r="D34" s="305"/>
      <c r="E34" s="306"/>
      <c r="F34" s="301">
        <f t="shared" si="0"/>
        <v>0</v>
      </c>
      <c r="G34" s="12">
        <f t="shared" si="1"/>
        <v>0</v>
      </c>
    </row>
    <row r="35" spans="1:7" ht="12" customHeight="1" x14ac:dyDescent="0.2">
      <c r="A35" s="302"/>
      <c r="B35" s="303"/>
      <c r="C35" s="304"/>
      <c r="D35" s="305"/>
      <c r="E35" s="306"/>
      <c r="F35" s="301">
        <f t="shared" si="0"/>
        <v>0</v>
      </c>
      <c r="G35" s="12">
        <f t="shared" si="1"/>
        <v>0</v>
      </c>
    </row>
    <row r="36" spans="1:7" ht="12" customHeight="1" x14ac:dyDescent="0.2">
      <c r="A36" s="302"/>
      <c r="B36" s="303"/>
      <c r="C36" s="304"/>
      <c r="D36" s="305"/>
      <c r="E36" s="306"/>
      <c r="F36" s="301">
        <f t="shared" si="0"/>
        <v>0</v>
      </c>
      <c r="G36" s="12">
        <f t="shared" si="1"/>
        <v>0</v>
      </c>
    </row>
    <row r="37" spans="1:7" ht="12" customHeight="1" x14ac:dyDescent="0.2">
      <c r="A37" s="302"/>
      <c r="B37" s="303"/>
      <c r="C37" s="304"/>
      <c r="D37" s="305"/>
      <c r="E37" s="306"/>
      <c r="F37" s="301">
        <f t="shared" si="0"/>
        <v>0</v>
      </c>
      <c r="G37" s="12">
        <f t="shared" si="1"/>
        <v>0</v>
      </c>
    </row>
    <row r="38" spans="1:7" ht="12" customHeight="1" x14ac:dyDescent="0.2">
      <c r="A38" s="302"/>
      <c r="B38" s="303"/>
      <c r="C38" s="304"/>
      <c r="D38" s="305"/>
      <c r="E38" s="306"/>
      <c r="F38" s="301">
        <f t="shared" si="0"/>
        <v>0</v>
      </c>
      <c r="G38" s="12">
        <f t="shared" si="1"/>
        <v>0</v>
      </c>
    </row>
    <row r="39" spans="1:7" ht="12" customHeight="1" x14ac:dyDescent="0.2">
      <c r="A39" s="302"/>
      <c r="B39" s="303"/>
      <c r="C39" s="304"/>
      <c r="D39" s="305"/>
      <c r="E39" s="306"/>
      <c r="F39" s="301">
        <f t="shared" si="0"/>
        <v>0</v>
      </c>
      <c r="G39" s="12">
        <f t="shared" si="1"/>
        <v>0</v>
      </c>
    </row>
    <row r="40" spans="1:7" ht="12" customHeight="1" x14ac:dyDescent="0.2">
      <c r="A40" s="302"/>
      <c r="B40" s="303"/>
      <c r="C40" s="304"/>
      <c r="D40" s="305"/>
      <c r="E40" s="306"/>
      <c r="F40" s="301">
        <f t="shared" si="0"/>
        <v>0</v>
      </c>
      <c r="G40" s="12">
        <f t="shared" si="1"/>
        <v>0</v>
      </c>
    </row>
    <row r="41" spans="1:7" ht="12" customHeight="1" x14ac:dyDescent="0.2">
      <c r="A41" s="302"/>
      <c r="B41" s="303"/>
      <c r="C41" s="304"/>
      <c r="D41" s="305"/>
      <c r="E41" s="306"/>
      <c r="F41" s="301">
        <f t="shared" si="0"/>
        <v>0</v>
      </c>
      <c r="G41" s="12">
        <f t="shared" si="1"/>
        <v>0</v>
      </c>
    </row>
    <row r="42" spans="1:7" ht="12" customHeight="1" x14ac:dyDescent="0.2">
      <c r="A42" s="302"/>
      <c r="B42" s="303"/>
      <c r="C42" s="304"/>
      <c r="D42" s="305"/>
      <c r="E42" s="306"/>
      <c r="F42" s="301">
        <f t="shared" si="0"/>
        <v>0</v>
      </c>
      <c r="G42" s="12">
        <f t="shared" si="1"/>
        <v>0</v>
      </c>
    </row>
    <row r="43" spans="1:7" ht="12" customHeight="1" x14ac:dyDescent="0.2">
      <c r="A43" s="302"/>
      <c r="B43" s="303"/>
      <c r="C43" s="304"/>
      <c r="D43" s="305"/>
      <c r="E43" s="306"/>
      <c r="F43" s="301">
        <f t="shared" si="0"/>
        <v>0</v>
      </c>
      <c r="G43" s="12">
        <f t="shared" si="1"/>
        <v>0</v>
      </c>
    </row>
    <row r="44" spans="1:7" ht="12" customHeight="1" x14ac:dyDescent="0.2">
      <c r="A44" s="302"/>
      <c r="B44" s="303"/>
      <c r="C44" s="304"/>
      <c r="D44" s="305"/>
      <c r="E44" s="306"/>
      <c r="F44" s="301">
        <f t="shared" si="0"/>
        <v>0</v>
      </c>
      <c r="G44" s="12">
        <f t="shared" si="1"/>
        <v>0</v>
      </c>
    </row>
    <row r="45" spans="1:7" ht="12" customHeight="1" x14ac:dyDescent="0.2">
      <c r="A45" s="302"/>
      <c r="B45" s="303"/>
      <c r="C45" s="304"/>
      <c r="D45" s="305"/>
      <c r="E45" s="306"/>
      <c r="F45" s="301">
        <f t="shared" si="0"/>
        <v>0</v>
      </c>
      <c r="G45" s="12">
        <f t="shared" si="1"/>
        <v>0</v>
      </c>
    </row>
    <row r="46" spans="1:7" ht="12" customHeight="1" x14ac:dyDescent="0.2">
      <c r="A46" s="302"/>
      <c r="B46" s="303"/>
      <c r="C46" s="304"/>
      <c r="D46" s="305"/>
      <c r="E46" s="306"/>
      <c r="F46" s="301">
        <f t="shared" si="0"/>
        <v>0</v>
      </c>
      <c r="G46" s="12">
        <f t="shared" si="1"/>
        <v>0</v>
      </c>
    </row>
    <row r="47" spans="1:7" ht="12" customHeight="1" x14ac:dyDescent="0.2">
      <c r="A47" s="302"/>
      <c r="B47" s="303"/>
      <c r="C47" s="304"/>
      <c r="D47" s="305"/>
      <c r="E47" s="306"/>
      <c r="F47" s="301">
        <f t="shared" si="0"/>
        <v>0</v>
      </c>
      <c r="G47" s="12">
        <f t="shared" si="1"/>
        <v>0</v>
      </c>
    </row>
    <row r="48" spans="1:7" ht="12" customHeight="1" x14ac:dyDescent="0.2">
      <c r="A48" s="302"/>
      <c r="B48" s="303"/>
      <c r="C48" s="304"/>
      <c r="D48" s="305"/>
      <c r="E48" s="306"/>
      <c r="F48" s="301">
        <f t="shared" si="0"/>
        <v>0</v>
      </c>
      <c r="G48" s="12">
        <f t="shared" si="1"/>
        <v>0</v>
      </c>
    </row>
    <row r="49" spans="1:7" ht="12" customHeight="1" x14ac:dyDescent="0.2">
      <c r="A49" s="302"/>
      <c r="B49" s="303"/>
      <c r="C49" s="304"/>
      <c r="D49" s="305"/>
      <c r="E49" s="306"/>
      <c r="F49" s="301">
        <f t="shared" si="0"/>
        <v>0</v>
      </c>
      <c r="G49" s="12">
        <f t="shared" si="1"/>
        <v>0</v>
      </c>
    </row>
    <row r="50" spans="1:7" ht="12" customHeight="1" x14ac:dyDescent="0.2">
      <c r="A50" s="302"/>
      <c r="B50" s="303"/>
      <c r="C50" s="304"/>
      <c r="D50" s="305"/>
      <c r="E50" s="306"/>
      <c r="F50" s="301">
        <f t="shared" si="0"/>
        <v>0</v>
      </c>
      <c r="G50" s="12">
        <f t="shared" si="1"/>
        <v>0</v>
      </c>
    </row>
    <row r="51" spans="1:7" ht="12" customHeight="1" x14ac:dyDescent="0.2">
      <c r="A51" s="302"/>
      <c r="B51" s="303"/>
      <c r="C51" s="304"/>
      <c r="D51" s="305"/>
      <c r="E51" s="306"/>
      <c r="F51" s="301">
        <f t="shared" si="0"/>
        <v>0</v>
      </c>
      <c r="G51" s="12">
        <f t="shared" si="1"/>
        <v>0</v>
      </c>
    </row>
    <row r="52" spans="1:7" ht="12" customHeight="1" x14ac:dyDescent="0.2">
      <c r="A52" s="302"/>
      <c r="B52" s="303"/>
      <c r="C52" s="304"/>
      <c r="D52" s="305"/>
      <c r="E52" s="306"/>
      <c r="F52" s="301">
        <f t="shared" si="0"/>
        <v>0</v>
      </c>
      <c r="G52" s="12">
        <f t="shared" si="1"/>
        <v>0</v>
      </c>
    </row>
    <row r="53" spans="1:7" ht="12" customHeight="1" x14ac:dyDescent="0.2">
      <c r="A53" s="302"/>
      <c r="B53" s="303"/>
      <c r="C53" s="304"/>
      <c r="D53" s="305"/>
      <c r="E53" s="306"/>
      <c r="F53" s="301">
        <f t="shared" si="0"/>
        <v>0</v>
      </c>
      <c r="G53" s="12">
        <f t="shared" si="1"/>
        <v>0</v>
      </c>
    </row>
    <row r="54" spans="1:7" ht="12" customHeight="1" x14ac:dyDescent="0.2">
      <c r="A54" s="302"/>
      <c r="B54" s="303"/>
      <c r="C54" s="304"/>
      <c r="D54" s="305"/>
      <c r="E54" s="306"/>
      <c r="F54" s="301">
        <f t="shared" si="0"/>
        <v>0</v>
      </c>
      <c r="G54" s="12">
        <f t="shared" si="1"/>
        <v>0</v>
      </c>
    </row>
    <row r="55" spans="1:7" ht="12" customHeight="1" x14ac:dyDescent="0.2">
      <c r="A55" s="302"/>
      <c r="B55" s="303"/>
      <c r="C55" s="304"/>
      <c r="D55" s="305"/>
      <c r="E55" s="306"/>
      <c r="F55" s="301">
        <f t="shared" si="0"/>
        <v>0</v>
      </c>
      <c r="G55" s="12">
        <f t="shared" si="1"/>
        <v>0</v>
      </c>
    </row>
    <row r="56" spans="1:7" ht="12" customHeight="1" x14ac:dyDescent="0.2">
      <c r="A56" s="302"/>
      <c r="B56" s="303"/>
      <c r="C56" s="304"/>
      <c r="D56" s="305"/>
      <c r="E56" s="306"/>
      <c r="F56" s="301">
        <f t="shared" si="0"/>
        <v>0</v>
      </c>
      <c r="G56" s="12">
        <f t="shared" si="1"/>
        <v>0</v>
      </c>
    </row>
    <row r="57" spans="1:7" ht="12" customHeight="1" x14ac:dyDescent="0.2">
      <c r="A57" s="302"/>
      <c r="B57" s="303"/>
      <c r="C57" s="304"/>
      <c r="D57" s="305"/>
      <c r="E57" s="306"/>
      <c r="F57" s="301">
        <f t="shared" si="0"/>
        <v>0</v>
      </c>
      <c r="G57" s="12">
        <f t="shared" si="1"/>
        <v>0</v>
      </c>
    </row>
    <row r="58" spans="1:7" ht="12" customHeight="1" x14ac:dyDescent="0.2">
      <c r="A58" s="302"/>
      <c r="B58" s="303"/>
      <c r="C58" s="304"/>
      <c r="D58" s="305"/>
      <c r="E58" s="306"/>
      <c r="F58" s="301">
        <f t="shared" si="0"/>
        <v>0</v>
      </c>
      <c r="G58" s="12">
        <f t="shared" si="1"/>
        <v>0</v>
      </c>
    </row>
    <row r="59" spans="1:7" ht="12" customHeight="1" x14ac:dyDescent="0.2">
      <c r="A59" s="302"/>
      <c r="B59" s="303"/>
      <c r="C59" s="304"/>
      <c r="D59" s="305"/>
      <c r="E59" s="306"/>
      <c r="F59" s="301">
        <f t="shared" si="0"/>
        <v>0</v>
      </c>
      <c r="G59" s="12">
        <f t="shared" si="1"/>
        <v>0</v>
      </c>
    </row>
    <row r="60" spans="1:7" ht="12" customHeight="1" x14ac:dyDescent="0.2">
      <c r="A60" s="302"/>
      <c r="B60" s="303"/>
      <c r="C60" s="304"/>
      <c r="D60" s="305"/>
      <c r="E60" s="306"/>
      <c r="F60" s="301">
        <f t="shared" si="0"/>
        <v>0</v>
      </c>
      <c r="G60" s="12">
        <f t="shared" si="1"/>
        <v>0</v>
      </c>
    </row>
    <row r="61" spans="1:7" ht="12" customHeight="1" x14ac:dyDescent="0.2">
      <c r="A61" s="302"/>
      <c r="B61" s="303"/>
      <c r="C61" s="304"/>
      <c r="D61" s="305"/>
      <c r="E61" s="306"/>
      <c r="F61" s="301">
        <f t="shared" si="0"/>
        <v>0</v>
      </c>
      <c r="G61" s="12">
        <f t="shared" si="1"/>
        <v>0</v>
      </c>
    </row>
    <row r="62" spans="1:7" ht="12" customHeight="1" x14ac:dyDescent="0.2">
      <c r="A62" s="302"/>
      <c r="B62" s="303"/>
      <c r="C62" s="304"/>
      <c r="D62" s="305"/>
      <c r="E62" s="306"/>
      <c r="F62" s="301">
        <f t="shared" si="0"/>
        <v>0</v>
      </c>
      <c r="G62" s="12">
        <f t="shared" si="1"/>
        <v>0</v>
      </c>
    </row>
    <row r="63" spans="1:7" ht="12" customHeight="1" x14ac:dyDescent="0.2">
      <c r="A63" s="302"/>
      <c r="B63" s="303"/>
      <c r="C63" s="304"/>
      <c r="D63" s="305"/>
      <c r="E63" s="306"/>
      <c r="F63" s="301">
        <f t="shared" si="0"/>
        <v>0</v>
      </c>
      <c r="G63" s="12">
        <f t="shared" si="1"/>
        <v>0</v>
      </c>
    </row>
    <row r="64" spans="1:7" ht="12.75" customHeight="1" x14ac:dyDescent="0.2"/>
  </sheetData>
  <phoneticPr fontId="10" type="noConversion"/>
  <pageMargins left="0.32" right="0.24" top="0.57999999999999996" bottom="0.48" header="0.22" footer="0.17"/>
  <pageSetup scale="95" fitToHeight="0" orientation="portrait" r:id="rId1"/>
  <headerFooter alignWithMargins="0">
    <oddHeader>&amp;LTab 4: Start-Up Costs&amp;CRapid Business Plan</oddHeader>
    <oddFooter>&amp;LDate Printed: &amp;D&amp;CHeartland Information Research, Inc&amp;R4 of 9</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printstartup">
                <anchor moveWithCells="1" sizeWithCells="1">
                  <from>
                    <xdr:col>3</xdr:col>
                    <xdr:colOff>723900</xdr:colOff>
                    <xdr:row>0</xdr:row>
                    <xdr:rowOff>95250</xdr:rowOff>
                  </from>
                  <to>
                    <xdr:col>3</xdr:col>
                    <xdr:colOff>1590675</xdr:colOff>
                    <xdr:row>2</xdr:row>
                    <xdr:rowOff>57150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fitToPage="1"/>
  </sheetPr>
  <dimension ref="A1:G85"/>
  <sheetViews>
    <sheetView showGridLines="0" zoomScaleNormal="100" workbookViewId="0"/>
  </sheetViews>
  <sheetFormatPr defaultColWidth="0" defaultRowHeight="12.75" customHeight="1" zeroHeight="1" x14ac:dyDescent="0.2"/>
  <cols>
    <col min="1" max="1" width="6.85546875" style="11" customWidth="1"/>
    <col min="2" max="2" width="15.7109375" style="11" customWidth="1"/>
    <col min="3" max="3" width="6.140625" style="10" customWidth="1"/>
    <col min="4" max="4" width="38.5703125" style="11" customWidth="1"/>
    <col min="5" max="5" width="12.28515625" style="11" customWidth="1"/>
    <col min="6" max="6" width="14.85546875" style="11" customWidth="1"/>
    <col min="7" max="7" width="10.28515625" style="11" customWidth="1"/>
    <col min="8" max="16384" width="18.7109375" style="11" hidden="1"/>
  </cols>
  <sheetData>
    <row r="1" spans="1:7" x14ac:dyDescent="0.2">
      <c r="A1" s="78" t="str">
        <f>'0. Basic Info'!D11</f>
        <v>My Business</v>
      </c>
      <c r="D1" s="11" t="s">
        <v>13</v>
      </c>
    </row>
    <row r="2" spans="1:7" x14ac:dyDescent="0.2">
      <c r="F2" s="27">
        <f>SUM(F5:F85)</f>
        <v>6785</v>
      </c>
      <c r="G2" s="719" t="s">
        <v>104</v>
      </c>
    </row>
    <row r="3" spans="1:7" ht="13.5" thickBot="1" x14ac:dyDescent="0.25">
      <c r="A3" s="422"/>
      <c r="B3" s="422"/>
      <c r="C3" s="423"/>
      <c r="D3" s="424" t="s">
        <v>11</v>
      </c>
      <c r="E3" s="425">
        <v>0</v>
      </c>
      <c r="F3" s="426">
        <f>E3*F2</f>
        <v>0</v>
      </c>
      <c r="G3" s="720"/>
    </row>
    <row r="4" spans="1:7" ht="13.5" thickBot="1" x14ac:dyDescent="0.25">
      <c r="A4" s="423" t="s">
        <v>32</v>
      </c>
      <c r="B4" s="423" t="s">
        <v>33</v>
      </c>
      <c r="C4" s="423" t="s">
        <v>35</v>
      </c>
      <c r="D4" s="422" t="s">
        <v>7</v>
      </c>
      <c r="E4" s="451" t="s">
        <v>249</v>
      </c>
      <c r="F4" s="452">
        <f>F2+F3</f>
        <v>6785</v>
      </c>
      <c r="G4" s="453">
        <f>SUM(G5:G85)</f>
        <v>4785</v>
      </c>
    </row>
    <row r="5" spans="1:7" x14ac:dyDescent="0.2">
      <c r="A5" s="302"/>
      <c r="B5" s="303"/>
      <c r="C5" s="304"/>
      <c r="D5" s="305" t="s">
        <v>339</v>
      </c>
      <c r="E5" s="300"/>
      <c r="F5" s="427">
        <f>A5*E5</f>
        <v>0</v>
      </c>
      <c r="G5" s="427">
        <f>IF(C5="y",F5,0)</f>
        <v>0</v>
      </c>
    </row>
    <row r="6" spans="1:7" x14ac:dyDescent="0.2">
      <c r="A6" s="302"/>
      <c r="B6" s="303"/>
      <c r="C6" s="304"/>
      <c r="D6" s="305" t="s">
        <v>340</v>
      </c>
      <c r="E6" s="306"/>
      <c r="F6" s="427">
        <f t="shared" ref="F6:F67" si="0">A6*E6</f>
        <v>0</v>
      </c>
      <c r="G6" s="427">
        <f t="shared" ref="G6:G67" si="1">IF(C6="y",F6,0)</f>
        <v>0</v>
      </c>
    </row>
    <row r="7" spans="1:7" x14ac:dyDescent="0.2">
      <c r="A7" s="302"/>
      <c r="B7" s="303"/>
      <c r="C7" s="454" t="s">
        <v>80</v>
      </c>
      <c r="D7" s="305" t="s">
        <v>341</v>
      </c>
      <c r="E7" s="306"/>
      <c r="F7" s="427">
        <f t="shared" si="0"/>
        <v>0</v>
      </c>
      <c r="G7" s="427">
        <f t="shared" si="1"/>
        <v>0</v>
      </c>
    </row>
    <row r="8" spans="1:7" x14ac:dyDescent="0.2">
      <c r="A8" s="302"/>
      <c r="B8" s="303"/>
      <c r="C8" s="304"/>
      <c r="D8" s="305" t="s">
        <v>342</v>
      </c>
      <c r="E8" s="306"/>
      <c r="F8" s="427">
        <f t="shared" si="0"/>
        <v>0</v>
      </c>
      <c r="G8" s="427">
        <f t="shared" si="1"/>
        <v>0</v>
      </c>
    </row>
    <row r="9" spans="1:7" x14ac:dyDescent="0.2">
      <c r="A9" s="302"/>
      <c r="B9" s="303"/>
      <c r="C9" s="304"/>
      <c r="D9" s="305" t="s">
        <v>343</v>
      </c>
      <c r="E9" s="306"/>
      <c r="F9" s="427">
        <f t="shared" si="0"/>
        <v>0</v>
      </c>
      <c r="G9" s="427">
        <f t="shared" si="1"/>
        <v>0</v>
      </c>
    </row>
    <row r="10" spans="1:7" x14ac:dyDescent="0.2">
      <c r="A10" s="302"/>
      <c r="B10" s="303"/>
      <c r="C10" s="304"/>
      <c r="D10" s="305" t="s">
        <v>347</v>
      </c>
      <c r="E10" s="306"/>
      <c r="F10" s="427">
        <f t="shared" si="0"/>
        <v>0</v>
      </c>
      <c r="G10" s="427">
        <f t="shared" si="1"/>
        <v>0</v>
      </c>
    </row>
    <row r="11" spans="1:7" x14ac:dyDescent="0.2">
      <c r="A11" s="302">
        <v>1</v>
      </c>
      <c r="B11" s="303" t="s">
        <v>250</v>
      </c>
      <c r="C11" s="304" t="s">
        <v>80</v>
      </c>
      <c r="D11" s="305" t="s">
        <v>344</v>
      </c>
      <c r="E11" s="300">
        <v>3500</v>
      </c>
      <c r="F11" s="427">
        <f t="shared" si="0"/>
        <v>3500</v>
      </c>
      <c r="G11" s="427">
        <f t="shared" si="1"/>
        <v>3500</v>
      </c>
    </row>
    <row r="12" spans="1:7" x14ac:dyDescent="0.2">
      <c r="A12" s="302">
        <v>1</v>
      </c>
      <c r="B12" s="303" t="s">
        <v>250</v>
      </c>
      <c r="C12" s="304" t="s">
        <v>80</v>
      </c>
      <c r="D12" s="305" t="s">
        <v>238</v>
      </c>
      <c r="E12" s="300">
        <v>850</v>
      </c>
      <c r="F12" s="427">
        <f t="shared" si="0"/>
        <v>850</v>
      </c>
      <c r="G12" s="427">
        <f t="shared" si="1"/>
        <v>850</v>
      </c>
    </row>
    <row r="13" spans="1:7" x14ac:dyDescent="0.2">
      <c r="A13" s="302">
        <v>1</v>
      </c>
      <c r="B13" s="303" t="s">
        <v>250</v>
      </c>
      <c r="C13" s="304" t="s">
        <v>80</v>
      </c>
      <c r="D13" s="455" t="s">
        <v>345</v>
      </c>
      <c r="E13" s="306">
        <v>250</v>
      </c>
      <c r="F13" s="427">
        <f t="shared" si="0"/>
        <v>250</v>
      </c>
      <c r="G13" s="427">
        <f t="shared" si="1"/>
        <v>250</v>
      </c>
    </row>
    <row r="14" spans="1:7" x14ac:dyDescent="0.2">
      <c r="A14" s="302">
        <v>1</v>
      </c>
      <c r="B14" s="303" t="s">
        <v>250</v>
      </c>
      <c r="C14" s="304" t="s">
        <v>80</v>
      </c>
      <c r="D14" s="305" t="s">
        <v>346</v>
      </c>
      <c r="E14" s="306">
        <v>185</v>
      </c>
      <c r="F14" s="427">
        <f t="shared" si="0"/>
        <v>185</v>
      </c>
      <c r="G14" s="427">
        <f t="shared" si="1"/>
        <v>185</v>
      </c>
    </row>
    <row r="15" spans="1:7" x14ac:dyDescent="0.2">
      <c r="A15" s="302"/>
      <c r="B15" s="303"/>
      <c r="C15" s="304"/>
      <c r="D15" s="305"/>
      <c r="E15" s="306"/>
      <c r="F15" s="427">
        <f t="shared" si="0"/>
        <v>0</v>
      </c>
      <c r="G15" s="427">
        <f t="shared" si="1"/>
        <v>0</v>
      </c>
    </row>
    <row r="16" spans="1:7" x14ac:dyDescent="0.2">
      <c r="A16" s="302">
        <v>1</v>
      </c>
      <c r="B16" s="303" t="s">
        <v>349</v>
      </c>
      <c r="C16" s="304"/>
      <c r="D16" s="305" t="s">
        <v>348</v>
      </c>
      <c r="E16" s="306">
        <v>2000</v>
      </c>
      <c r="F16" s="427">
        <f t="shared" si="0"/>
        <v>2000</v>
      </c>
      <c r="G16" s="427">
        <f t="shared" si="1"/>
        <v>0</v>
      </c>
    </row>
    <row r="17" spans="1:7" x14ac:dyDescent="0.2">
      <c r="A17" s="302"/>
      <c r="B17" s="303"/>
      <c r="C17" s="304"/>
      <c r="D17" s="305"/>
      <c r="E17" s="306"/>
      <c r="F17" s="427">
        <f t="shared" si="0"/>
        <v>0</v>
      </c>
      <c r="G17" s="427">
        <f t="shared" si="1"/>
        <v>0</v>
      </c>
    </row>
    <row r="18" spans="1:7" x14ac:dyDescent="0.2">
      <c r="A18" s="302"/>
      <c r="B18" s="303"/>
      <c r="C18" s="304"/>
      <c r="D18" s="305"/>
      <c r="E18" s="306"/>
      <c r="F18" s="427">
        <f t="shared" si="0"/>
        <v>0</v>
      </c>
      <c r="G18" s="427">
        <f t="shared" si="1"/>
        <v>0</v>
      </c>
    </row>
    <row r="19" spans="1:7" x14ac:dyDescent="0.2">
      <c r="A19" s="302"/>
      <c r="B19" s="303"/>
      <c r="C19" s="304"/>
      <c r="D19" s="305"/>
      <c r="E19" s="306"/>
      <c r="F19" s="427">
        <f t="shared" si="0"/>
        <v>0</v>
      </c>
      <c r="G19" s="427">
        <f t="shared" si="1"/>
        <v>0</v>
      </c>
    </row>
    <row r="20" spans="1:7" x14ac:dyDescent="0.2">
      <c r="A20" s="302"/>
      <c r="B20" s="303"/>
      <c r="C20" s="304"/>
      <c r="D20" s="305"/>
      <c r="E20" s="306"/>
      <c r="F20" s="427">
        <f t="shared" si="0"/>
        <v>0</v>
      </c>
      <c r="G20" s="427">
        <f t="shared" si="1"/>
        <v>0</v>
      </c>
    </row>
    <row r="21" spans="1:7" x14ac:dyDescent="0.2">
      <c r="A21" s="302"/>
      <c r="B21" s="307"/>
      <c r="C21" s="302"/>
      <c r="D21" s="308"/>
      <c r="E21" s="300"/>
      <c r="F21" s="427">
        <f t="shared" si="0"/>
        <v>0</v>
      </c>
      <c r="G21" s="427">
        <f t="shared" si="1"/>
        <v>0</v>
      </c>
    </row>
    <row r="22" spans="1:7" ht="12" customHeight="1" x14ac:dyDescent="0.2">
      <c r="A22" s="302"/>
      <c r="B22" s="303"/>
      <c r="C22" s="304"/>
      <c r="D22" s="305"/>
      <c r="E22" s="306"/>
      <c r="F22" s="427">
        <f t="shared" si="0"/>
        <v>0</v>
      </c>
      <c r="G22" s="427">
        <f t="shared" si="1"/>
        <v>0</v>
      </c>
    </row>
    <row r="23" spans="1:7" ht="12" customHeight="1" x14ac:dyDescent="0.2">
      <c r="A23" s="302"/>
      <c r="B23" s="303"/>
      <c r="C23" s="304"/>
      <c r="D23" s="305"/>
      <c r="E23" s="306"/>
      <c r="F23" s="427">
        <f t="shared" si="0"/>
        <v>0</v>
      </c>
      <c r="G23" s="427">
        <f t="shared" si="1"/>
        <v>0</v>
      </c>
    </row>
    <row r="24" spans="1:7" ht="12" customHeight="1" x14ac:dyDescent="0.2">
      <c r="A24" s="302"/>
      <c r="B24" s="303"/>
      <c r="C24" s="304"/>
      <c r="D24" s="305"/>
      <c r="E24" s="306"/>
      <c r="F24" s="427">
        <f t="shared" si="0"/>
        <v>0</v>
      </c>
      <c r="G24" s="427">
        <f t="shared" si="1"/>
        <v>0</v>
      </c>
    </row>
    <row r="25" spans="1:7" ht="12" customHeight="1" x14ac:dyDescent="0.2">
      <c r="A25" s="302"/>
      <c r="B25" s="303"/>
      <c r="C25" s="304"/>
      <c r="D25" s="305"/>
      <c r="E25" s="306"/>
      <c r="F25" s="427">
        <f t="shared" si="0"/>
        <v>0</v>
      </c>
      <c r="G25" s="427">
        <f t="shared" si="1"/>
        <v>0</v>
      </c>
    </row>
    <row r="26" spans="1:7" ht="12" customHeight="1" x14ac:dyDescent="0.2">
      <c r="A26" s="302"/>
      <c r="B26" s="303"/>
      <c r="C26" s="304"/>
      <c r="D26" s="305"/>
      <c r="E26" s="306"/>
      <c r="F26" s="427">
        <f t="shared" si="0"/>
        <v>0</v>
      </c>
      <c r="G26" s="427">
        <f t="shared" si="1"/>
        <v>0</v>
      </c>
    </row>
    <row r="27" spans="1:7" ht="12" customHeight="1" x14ac:dyDescent="0.2">
      <c r="A27" s="302"/>
      <c r="B27" s="303"/>
      <c r="C27" s="304"/>
      <c r="D27" s="99"/>
      <c r="E27" s="306"/>
      <c r="F27" s="427">
        <f t="shared" si="0"/>
        <v>0</v>
      </c>
      <c r="G27" s="427">
        <f t="shared" si="1"/>
        <v>0</v>
      </c>
    </row>
    <row r="28" spans="1:7" ht="12" customHeight="1" x14ac:dyDescent="0.2">
      <c r="A28" s="302"/>
      <c r="B28" s="303"/>
      <c r="C28" s="304"/>
      <c r="D28" s="305"/>
      <c r="E28" s="306"/>
      <c r="F28" s="427">
        <f t="shared" si="0"/>
        <v>0</v>
      </c>
      <c r="G28" s="427">
        <f t="shared" si="1"/>
        <v>0</v>
      </c>
    </row>
    <row r="29" spans="1:7" ht="12" customHeight="1" x14ac:dyDescent="0.2">
      <c r="A29" s="302"/>
      <c r="B29" s="303"/>
      <c r="C29" s="304"/>
      <c r="D29" s="305"/>
      <c r="E29" s="306"/>
      <c r="F29" s="427">
        <f t="shared" si="0"/>
        <v>0</v>
      </c>
      <c r="G29" s="427">
        <f t="shared" si="1"/>
        <v>0</v>
      </c>
    </row>
    <row r="30" spans="1:7" ht="12" customHeight="1" x14ac:dyDescent="0.2">
      <c r="A30" s="302"/>
      <c r="B30" s="303"/>
      <c r="C30" s="304"/>
      <c r="D30" s="305"/>
      <c r="E30" s="306"/>
      <c r="F30" s="427">
        <f t="shared" si="0"/>
        <v>0</v>
      </c>
      <c r="G30" s="427">
        <f t="shared" si="1"/>
        <v>0</v>
      </c>
    </row>
    <row r="31" spans="1:7" ht="12" customHeight="1" x14ac:dyDescent="0.2">
      <c r="A31" s="302"/>
      <c r="B31" s="303"/>
      <c r="C31" s="304"/>
      <c r="D31" s="305"/>
      <c r="E31" s="306"/>
      <c r="F31" s="427">
        <f t="shared" si="0"/>
        <v>0</v>
      </c>
      <c r="G31" s="427">
        <f t="shared" si="1"/>
        <v>0</v>
      </c>
    </row>
    <row r="32" spans="1:7" ht="12" customHeight="1" x14ac:dyDescent="0.2">
      <c r="A32" s="302"/>
      <c r="B32" s="303"/>
      <c r="C32" s="304"/>
      <c r="D32" s="305"/>
      <c r="E32" s="306"/>
      <c r="F32" s="427">
        <f t="shared" si="0"/>
        <v>0</v>
      </c>
      <c r="G32" s="427">
        <f t="shared" si="1"/>
        <v>0</v>
      </c>
    </row>
    <row r="33" spans="1:7" ht="12" customHeight="1" x14ac:dyDescent="0.2">
      <c r="A33" s="302"/>
      <c r="B33" s="303"/>
      <c r="C33" s="304"/>
      <c r="D33" s="305"/>
      <c r="E33" s="306"/>
      <c r="F33" s="427">
        <f t="shared" si="0"/>
        <v>0</v>
      </c>
      <c r="G33" s="427">
        <f t="shared" si="1"/>
        <v>0</v>
      </c>
    </row>
    <row r="34" spans="1:7" ht="12" customHeight="1" x14ac:dyDescent="0.2">
      <c r="A34" s="302"/>
      <c r="B34" s="303"/>
      <c r="C34" s="304"/>
      <c r="D34" s="305"/>
      <c r="E34" s="306"/>
      <c r="F34" s="427">
        <f t="shared" si="0"/>
        <v>0</v>
      </c>
      <c r="G34" s="427">
        <f t="shared" si="1"/>
        <v>0</v>
      </c>
    </row>
    <row r="35" spans="1:7" ht="12" customHeight="1" x14ac:dyDescent="0.2">
      <c r="A35" s="302"/>
      <c r="B35" s="303"/>
      <c r="C35" s="304"/>
      <c r="D35" s="305"/>
      <c r="E35" s="306"/>
      <c r="F35" s="427">
        <f t="shared" si="0"/>
        <v>0</v>
      </c>
      <c r="G35" s="427">
        <f t="shared" si="1"/>
        <v>0</v>
      </c>
    </row>
    <row r="36" spans="1:7" ht="12" customHeight="1" x14ac:dyDescent="0.2">
      <c r="A36" s="302"/>
      <c r="B36" s="303"/>
      <c r="C36" s="304"/>
      <c r="D36" s="305"/>
      <c r="E36" s="306"/>
      <c r="F36" s="427">
        <f t="shared" si="0"/>
        <v>0</v>
      </c>
      <c r="G36" s="427">
        <f t="shared" si="1"/>
        <v>0</v>
      </c>
    </row>
    <row r="37" spans="1:7" ht="12" customHeight="1" x14ac:dyDescent="0.2">
      <c r="A37" s="302"/>
      <c r="B37" s="310"/>
      <c r="C37" s="311"/>
      <c r="D37" s="305"/>
      <c r="E37" s="306"/>
      <c r="F37" s="427">
        <f t="shared" si="0"/>
        <v>0</v>
      </c>
      <c r="G37" s="427">
        <f t="shared" si="1"/>
        <v>0</v>
      </c>
    </row>
    <row r="38" spans="1:7" ht="12" customHeight="1" x14ac:dyDescent="0.2">
      <c r="A38" s="302"/>
      <c r="B38" s="303"/>
      <c r="C38" s="304"/>
      <c r="D38" s="305"/>
      <c r="E38" s="306"/>
      <c r="F38" s="427">
        <f t="shared" si="0"/>
        <v>0</v>
      </c>
      <c r="G38" s="427">
        <f t="shared" si="1"/>
        <v>0</v>
      </c>
    </row>
    <row r="39" spans="1:7" ht="12" customHeight="1" x14ac:dyDescent="0.2">
      <c r="A39" s="302"/>
      <c r="B39" s="303"/>
      <c r="C39" s="304"/>
      <c r="D39" s="305"/>
      <c r="E39" s="306"/>
      <c r="F39" s="427">
        <f t="shared" si="0"/>
        <v>0</v>
      </c>
      <c r="G39" s="427">
        <f t="shared" si="1"/>
        <v>0</v>
      </c>
    </row>
    <row r="40" spans="1:7" ht="12" customHeight="1" x14ac:dyDescent="0.2">
      <c r="A40" s="302"/>
      <c r="B40" s="303"/>
      <c r="C40" s="304"/>
      <c r="D40" s="305"/>
      <c r="E40" s="306"/>
      <c r="F40" s="427">
        <f t="shared" si="0"/>
        <v>0</v>
      </c>
      <c r="G40" s="427">
        <f t="shared" si="1"/>
        <v>0</v>
      </c>
    </row>
    <row r="41" spans="1:7" ht="12" customHeight="1" x14ac:dyDescent="0.2">
      <c r="A41" s="302"/>
      <c r="B41" s="303"/>
      <c r="C41" s="304"/>
      <c r="D41" s="305"/>
      <c r="E41" s="306"/>
      <c r="F41" s="427">
        <f t="shared" si="0"/>
        <v>0</v>
      </c>
      <c r="G41" s="427">
        <f t="shared" si="1"/>
        <v>0</v>
      </c>
    </row>
    <row r="42" spans="1:7" ht="12" customHeight="1" x14ac:dyDescent="0.2">
      <c r="A42" s="302"/>
      <c r="B42" s="303"/>
      <c r="C42" s="304"/>
      <c r="D42" s="305"/>
      <c r="E42" s="306"/>
      <c r="F42" s="427">
        <f t="shared" si="0"/>
        <v>0</v>
      </c>
      <c r="G42" s="427">
        <f t="shared" si="1"/>
        <v>0</v>
      </c>
    </row>
    <row r="43" spans="1:7" ht="12" customHeight="1" x14ac:dyDescent="0.2">
      <c r="A43" s="302"/>
      <c r="B43" s="303"/>
      <c r="C43" s="304"/>
      <c r="D43" s="305"/>
      <c r="E43" s="306"/>
      <c r="F43" s="427">
        <f t="shared" si="0"/>
        <v>0</v>
      </c>
      <c r="G43" s="427">
        <f t="shared" si="1"/>
        <v>0</v>
      </c>
    </row>
    <row r="44" spans="1:7" ht="12" customHeight="1" x14ac:dyDescent="0.2">
      <c r="A44" s="302"/>
      <c r="B44" s="303"/>
      <c r="C44" s="304"/>
      <c r="D44" s="305"/>
      <c r="E44" s="306"/>
      <c r="F44" s="427">
        <f t="shared" si="0"/>
        <v>0</v>
      </c>
      <c r="G44" s="427">
        <f t="shared" si="1"/>
        <v>0</v>
      </c>
    </row>
    <row r="45" spans="1:7" ht="12" customHeight="1" x14ac:dyDescent="0.2">
      <c r="A45" s="302"/>
      <c r="B45" s="303"/>
      <c r="C45" s="304"/>
      <c r="D45" s="305"/>
      <c r="E45" s="306"/>
      <c r="F45" s="427">
        <f t="shared" si="0"/>
        <v>0</v>
      </c>
      <c r="G45" s="427">
        <f t="shared" si="1"/>
        <v>0</v>
      </c>
    </row>
    <row r="46" spans="1:7" ht="12" customHeight="1" x14ac:dyDescent="0.2">
      <c r="A46" s="302"/>
      <c r="B46" s="303"/>
      <c r="C46" s="304"/>
      <c r="D46" s="305"/>
      <c r="E46" s="319"/>
      <c r="F46" s="427">
        <f t="shared" si="0"/>
        <v>0</v>
      </c>
      <c r="G46" s="427">
        <f t="shared" si="1"/>
        <v>0</v>
      </c>
    </row>
    <row r="47" spans="1:7" ht="12" customHeight="1" x14ac:dyDescent="0.2">
      <c r="A47" s="302"/>
      <c r="B47" s="303"/>
      <c r="C47" s="304"/>
      <c r="D47" s="305"/>
      <c r="E47" s="319"/>
      <c r="F47" s="427">
        <f t="shared" si="0"/>
        <v>0</v>
      </c>
      <c r="G47" s="427">
        <f t="shared" si="1"/>
        <v>0</v>
      </c>
    </row>
    <row r="48" spans="1:7" ht="12" customHeight="1" x14ac:dyDescent="0.2">
      <c r="A48" s="302"/>
      <c r="B48" s="303"/>
      <c r="C48" s="304"/>
      <c r="D48" s="305"/>
      <c r="E48" s="319"/>
      <c r="F48" s="427">
        <f t="shared" si="0"/>
        <v>0</v>
      </c>
      <c r="G48" s="427">
        <f t="shared" si="1"/>
        <v>0</v>
      </c>
    </row>
    <row r="49" spans="1:7" ht="12" customHeight="1" x14ac:dyDescent="0.2">
      <c r="A49" s="302"/>
      <c r="B49" s="303"/>
      <c r="C49" s="304"/>
      <c r="D49" s="305"/>
      <c r="E49" s="319"/>
      <c r="F49" s="427">
        <f t="shared" si="0"/>
        <v>0</v>
      </c>
      <c r="G49" s="427">
        <f t="shared" si="1"/>
        <v>0</v>
      </c>
    </row>
    <row r="50" spans="1:7" ht="12" customHeight="1" x14ac:dyDescent="0.2">
      <c r="A50" s="302"/>
      <c r="B50" s="303"/>
      <c r="C50" s="304"/>
      <c r="D50" s="305"/>
      <c r="E50" s="319"/>
      <c r="F50" s="427">
        <f t="shared" si="0"/>
        <v>0</v>
      </c>
      <c r="G50" s="427">
        <f t="shared" si="1"/>
        <v>0</v>
      </c>
    </row>
    <row r="51" spans="1:7" ht="12" customHeight="1" x14ac:dyDescent="0.2">
      <c r="A51" s="302"/>
      <c r="B51" s="303"/>
      <c r="C51" s="304"/>
      <c r="D51" s="305"/>
      <c r="E51" s="319"/>
      <c r="F51" s="427">
        <f t="shared" si="0"/>
        <v>0</v>
      </c>
      <c r="G51" s="427">
        <f t="shared" si="1"/>
        <v>0</v>
      </c>
    </row>
    <row r="52" spans="1:7" ht="12" customHeight="1" x14ac:dyDescent="0.2">
      <c r="A52" s="302"/>
      <c r="B52" s="303"/>
      <c r="C52" s="304"/>
      <c r="D52" s="305"/>
      <c r="E52" s="319"/>
      <c r="F52" s="427">
        <f t="shared" si="0"/>
        <v>0</v>
      </c>
      <c r="G52" s="427">
        <f t="shared" si="1"/>
        <v>0</v>
      </c>
    </row>
    <row r="53" spans="1:7" ht="12" customHeight="1" x14ac:dyDescent="0.2">
      <c r="A53" s="302"/>
      <c r="B53" s="303"/>
      <c r="C53" s="304"/>
      <c r="D53" s="305"/>
      <c r="E53" s="319"/>
      <c r="F53" s="427">
        <f t="shared" si="0"/>
        <v>0</v>
      </c>
      <c r="G53" s="427">
        <f t="shared" si="1"/>
        <v>0</v>
      </c>
    </row>
    <row r="54" spans="1:7" ht="12" customHeight="1" x14ac:dyDescent="0.2">
      <c r="A54" s="302"/>
      <c r="B54" s="303"/>
      <c r="C54" s="304"/>
      <c r="D54" s="305"/>
      <c r="E54" s="319"/>
      <c r="F54" s="427">
        <f t="shared" si="0"/>
        <v>0</v>
      </c>
      <c r="G54" s="427">
        <f t="shared" si="1"/>
        <v>0</v>
      </c>
    </row>
    <row r="55" spans="1:7" ht="12" customHeight="1" x14ac:dyDescent="0.2">
      <c r="A55" s="302"/>
      <c r="B55" s="303"/>
      <c r="C55" s="304"/>
      <c r="D55" s="305"/>
      <c r="E55" s="319"/>
      <c r="F55" s="427">
        <f t="shared" si="0"/>
        <v>0</v>
      </c>
      <c r="G55" s="427">
        <f t="shared" si="1"/>
        <v>0</v>
      </c>
    </row>
    <row r="56" spans="1:7" ht="12" customHeight="1" x14ac:dyDescent="0.2">
      <c r="A56" s="302"/>
      <c r="B56" s="303"/>
      <c r="C56" s="304"/>
      <c r="D56" s="305"/>
      <c r="E56" s="319"/>
      <c r="F56" s="427">
        <f t="shared" si="0"/>
        <v>0</v>
      </c>
      <c r="G56" s="427">
        <f t="shared" si="1"/>
        <v>0</v>
      </c>
    </row>
    <row r="57" spans="1:7" ht="12" customHeight="1" x14ac:dyDescent="0.2">
      <c r="A57" s="302"/>
      <c r="B57" s="303"/>
      <c r="C57" s="304"/>
      <c r="D57" s="305"/>
      <c r="E57" s="319"/>
      <c r="F57" s="427">
        <f t="shared" si="0"/>
        <v>0</v>
      </c>
      <c r="G57" s="427">
        <f t="shared" si="1"/>
        <v>0</v>
      </c>
    </row>
    <row r="58" spans="1:7" ht="12" customHeight="1" x14ac:dyDescent="0.2">
      <c r="A58" s="302"/>
      <c r="B58" s="303"/>
      <c r="C58" s="304"/>
      <c r="D58" s="305"/>
      <c r="E58" s="319"/>
      <c r="F58" s="427">
        <f t="shared" si="0"/>
        <v>0</v>
      </c>
      <c r="G58" s="427">
        <f t="shared" si="1"/>
        <v>0</v>
      </c>
    </row>
    <row r="59" spans="1:7" ht="12" customHeight="1" x14ac:dyDescent="0.2">
      <c r="A59" s="302"/>
      <c r="B59" s="303"/>
      <c r="C59" s="304"/>
      <c r="D59" s="305"/>
      <c r="E59" s="319"/>
      <c r="F59" s="427">
        <f t="shared" si="0"/>
        <v>0</v>
      </c>
      <c r="G59" s="427">
        <f t="shared" si="1"/>
        <v>0</v>
      </c>
    </row>
    <row r="60" spans="1:7" ht="12" customHeight="1" x14ac:dyDescent="0.2">
      <c r="A60" s="302"/>
      <c r="B60" s="303"/>
      <c r="C60" s="304"/>
      <c r="D60" s="305"/>
      <c r="E60" s="319"/>
      <c r="F60" s="427">
        <f t="shared" si="0"/>
        <v>0</v>
      </c>
      <c r="G60" s="427">
        <f t="shared" si="1"/>
        <v>0</v>
      </c>
    </row>
    <row r="61" spans="1:7" x14ac:dyDescent="0.2">
      <c r="A61" s="302"/>
      <c r="B61" s="303"/>
      <c r="C61" s="304"/>
      <c r="D61" s="305"/>
      <c r="E61" s="319"/>
      <c r="F61" s="427">
        <f t="shared" si="0"/>
        <v>0</v>
      </c>
      <c r="G61" s="427">
        <f t="shared" si="1"/>
        <v>0</v>
      </c>
    </row>
    <row r="62" spans="1:7" x14ac:dyDescent="0.2">
      <c r="A62" s="302"/>
      <c r="B62" s="303"/>
      <c r="C62" s="304"/>
      <c r="D62" s="305"/>
      <c r="E62" s="319"/>
      <c r="F62" s="427">
        <f t="shared" si="0"/>
        <v>0</v>
      </c>
      <c r="G62" s="427">
        <f t="shared" si="1"/>
        <v>0</v>
      </c>
    </row>
    <row r="63" spans="1:7" x14ac:dyDescent="0.2">
      <c r="A63" s="302"/>
      <c r="B63" s="303"/>
      <c r="C63" s="304"/>
      <c r="D63" s="305"/>
      <c r="E63" s="319"/>
      <c r="F63" s="427">
        <f t="shared" si="0"/>
        <v>0</v>
      </c>
      <c r="G63" s="427">
        <f t="shared" si="1"/>
        <v>0</v>
      </c>
    </row>
    <row r="64" spans="1:7" x14ac:dyDescent="0.2">
      <c r="A64" s="302"/>
      <c r="B64" s="303"/>
      <c r="C64" s="304"/>
      <c r="D64" s="305"/>
      <c r="E64" s="319"/>
      <c r="F64" s="427">
        <f t="shared" si="0"/>
        <v>0</v>
      </c>
      <c r="G64" s="427">
        <f t="shared" si="1"/>
        <v>0</v>
      </c>
    </row>
    <row r="65" spans="1:7" x14ac:dyDescent="0.2">
      <c r="A65" s="302"/>
      <c r="B65" s="303"/>
      <c r="C65" s="304"/>
      <c r="D65" s="305"/>
      <c r="E65" s="319"/>
      <c r="F65" s="427">
        <f t="shared" si="0"/>
        <v>0</v>
      </c>
      <c r="G65" s="427">
        <f t="shared" si="1"/>
        <v>0</v>
      </c>
    </row>
    <row r="66" spans="1:7" x14ac:dyDescent="0.2">
      <c r="A66" s="302"/>
      <c r="B66" s="303"/>
      <c r="C66" s="304"/>
      <c r="D66" s="305"/>
      <c r="E66" s="319"/>
      <c r="F66" s="427">
        <f t="shared" si="0"/>
        <v>0</v>
      </c>
      <c r="G66" s="427">
        <f t="shared" si="1"/>
        <v>0</v>
      </c>
    </row>
    <row r="67" spans="1:7" x14ac:dyDescent="0.2">
      <c r="A67" s="302"/>
      <c r="B67" s="303"/>
      <c r="C67" s="304"/>
      <c r="D67" s="305"/>
      <c r="E67" s="309"/>
      <c r="F67" s="427">
        <f t="shared" si="0"/>
        <v>0</v>
      </c>
      <c r="G67" s="427">
        <f t="shared" si="1"/>
        <v>0</v>
      </c>
    </row>
    <row r="68" spans="1:7" hidden="1" x14ac:dyDescent="0.2">
      <c r="A68" s="95"/>
      <c r="B68" s="96"/>
      <c r="C68" s="109"/>
      <c r="D68" s="97"/>
      <c r="E68" s="100"/>
      <c r="F68" s="26">
        <f t="shared" ref="F68:F82" si="2">A68*E68</f>
        <v>0</v>
      </c>
      <c r="G68" s="26">
        <f t="shared" ref="G68:G82" si="3">IF(C68="y",F68,0)</f>
        <v>0</v>
      </c>
    </row>
    <row r="69" spans="1:7" hidden="1" x14ac:dyDescent="0.2">
      <c r="A69" s="95"/>
      <c r="B69" s="96"/>
      <c r="C69" s="109"/>
      <c r="D69" s="97"/>
      <c r="E69" s="100"/>
      <c r="F69" s="26">
        <f t="shared" si="2"/>
        <v>0</v>
      </c>
      <c r="G69" s="26">
        <f t="shared" si="3"/>
        <v>0</v>
      </c>
    </row>
    <row r="70" spans="1:7" hidden="1" x14ac:dyDescent="0.2">
      <c r="A70" s="95"/>
      <c r="B70" s="96"/>
      <c r="C70" s="109"/>
      <c r="D70" s="97"/>
      <c r="E70" s="100"/>
      <c r="F70" s="26">
        <f t="shared" si="2"/>
        <v>0</v>
      </c>
      <c r="G70" s="26">
        <f t="shared" si="3"/>
        <v>0</v>
      </c>
    </row>
    <row r="71" spans="1:7" hidden="1" x14ac:dyDescent="0.2">
      <c r="A71" s="95"/>
      <c r="B71" s="96"/>
      <c r="C71" s="109"/>
      <c r="D71" s="97"/>
      <c r="E71" s="100"/>
      <c r="F71" s="26">
        <f t="shared" si="2"/>
        <v>0</v>
      </c>
      <c r="G71" s="26">
        <f t="shared" si="3"/>
        <v>0</v>
      </c>
    </row>
    <row r="72" spans="1:7" hidden="1" x14ac:dyDescent="0.2">
      <c r="A72" s="95"/>
      <c r="B72" s="96"/>
      <c r="C72" s="109"/>
      <c r="D72" s="97"/>
      <c r="E72" s="100"/>
      <c r="F72" s="26">
        <f t="shared" si="2"/>
        <v>0</v>
      </c>
      <c r="G72" s="26">
        <f t="shared" si="3"/>
        <v>0</v>
      </c>
    </row>
    <row r="73" spans="1:7" hidden="1" x14ac:dyDescent="0.2">
      <c r="A73" s="95"/>
      <c r="B73" s="96"/>
      <c r="C73" s="109"/>
      <c r="D73" s="97"/>
      <c r="E73" s="100"/>
      <c r="F73" s="26">
        <f t="shared" si="2"/>
        <v>0</v>
      </c>
      <c r="G73" s="26">
        <f t="shared" si="3"/>
        <v>0</v>
      </c>
    </row>
    <row r="74" spans="1:7" hidden="1" x14ac:dyDescent="0.2">
      <c r="A74" s="95"/>
      <c r="B74" s="96"/>
      <c r="C74" s="109"/>
      <c r="D74" s="97"/>
      <c r="E74" s="100"/>
      <c r="F74" s="26">
        <f t="shared" si="2"/>
        <v>0</v>
      </c>
      <c r="G74" s="26">
        <f t="shared" si="3"/>
        <v>0</v>
      </c>
    </row>
    <row r="75" spans="1:7" hidden="1" x14ac:dyDescent="0.2">
      <c r="A75" s="95"/>
      <c r="B75" s="96"/>
      <c r="C75" s="109"/>
      <c r="D75" s="97"/>
      <c r="E75" s="100"/>
      <c r="F75" s="26">
        <f t="shared" si="2"/>
        <v>0</v>
      </c>
      <c r="G75" s="26">
        <f t="shared" si="3"/>
        <v>0</v>
      </c>
    </row>
    <row r="76" spans="1:7" hidden="1" x14ac:dyDescent="0.2">
      <c r="A76" s="95"/>
      <c r="B76" s="96"/>
      <c r="C76" s="109"/>
      <c r="D76" s="97"/>
      <c r="E76" s="100"/>
      <c r="F76" s="26">
        <f t="shared" si="2"/>
        <v>0</v>
      </c>
      <c r="G76" s="26">
        <f t="shared" si="3"/>
        <v>0</v>
      </c>
    </row>
    <row r="77" spans="1:7" hidden="1" x14ac:dyDescent="0.2">
      <c r="A77" s="95"/>
      <c r="B77" s="96"/>
      <c r="C77" s="109"/>
      <c r="D77" s="97"/>
      <c r="E77" s="100"/>
      <c r="F77" s="26">
        <f t="shared" si="2"/>
        <v>0</v>
      </c>
      <c r="G77" s="26">
        <f t="shared" si="3"/>
        <v>0</v>
      </c>
    </row>
    <row r="78" spans="1:7" hidden="1" x14ac:dyDescent="0.2">
      <c r="A78" s="95"/>
      <c r="B78" s="96"/>
      <c r="C78" s="109"/>
      <c r="D78" s="97"/>
      <c r="E78" s="100"/>
      <c r="F78" s="26">
        <f t="shared" si="2"/>
        <v>0</v>
      </c>
      <c r="G78" s="26">
        <f t="shared" si="3"/>
        <v>0</v>
      </c>
    </row>
    <row r="79" spans="1:7" hidden="1" x14ac:dyDescent="0.2">
      <c r="A79" s="95"/>
      <c r="B79" s="96"/>
      <c r="C79" s="109"/>
      <c r="D79" s="97"/>
      <c r="E79" s="100"/>
      <c r="F79" s="26">
        <f t="shared" si="2"/>
        <v>0</v>
      </c>
      <c r="G79" s="26">
        <f t="shared" si="3"/>
        <v>0</v>
      </c>
    </row>
    <row r="80" spans="1:7" hidden="1" x14ac:dyDescent="0.2">
      <c r="A80" s="95"/>
      <c r="B80" s="96"/>
      <c r="C80" s="109"/>
      <c r="D80" s="97"/>
      <c r="E80" s="100"/>
      <c r="F80" s="26">
        <f t="shared" si="2"/>
        <v>0</v>
      </c>
      <c r="G80" s="26">
        <f t="shared" si="3"/>
        <v>0</v>
      </c>
    </row>
    <row r="81" spans="1:7" hidden="1" x14ac:dyDescent="0.2">
      <c r="A81" s="95"/>
      <c r="B81" s="96"/>
      <c r="C81" s="109"/>
      <c r="D81" s="97"/>
      <c r="E81" s="100"/>
      <c r="F81" s="26">
        <f t="shared" si="2"/>
        <v>0</v>
      </c>
      <c r="G81" s="26">
        <f t="shared" si="3"/>
        <v>0</v>
      </c>
    </row>
    <row r="82" spans="1:7" hidden="1" x14ac:dyDescent="0.2">
      <c r="A82" s="95"/>
      <c r="B82" s="96"/>
      <c r="C82" s="109"/>
      <c r="D82" s="97"/>
      <c r="E82" s="100"/>
      <c r="F82" s="26">
        <f t="shared" si="2"/>
        <v>0</v>
      </c>
      <c r="G82" s="26">
        <f t="shared" si="3"/>
        <v>0</v>
      </c>
    </row>
    <row r="83" spans="1:7" hidden="1" x14ac:dyDescent="0.2">
      <c r="B83" s="98">
        <v>7</v>
      </c>
      <c r="C83" s="11" t="s">
        <v>28</v>
      </c>
      <c r="D83" s="1"/>
    </row>
    <row r="84" spans="1:7" hidden="1" x14ac:dyDescent="0.2">
      <c r="B84" s="30">
        <f>'4. Equipment &amp; Vehicle Costs'!F4</f>
        <v>6785</v>
      </c>
      <c r="C84" s="11" t="s">
        <v>18</v>
      </c>
      <c r="D84" s="1"/>
    </row>
    <row r="85" spans="1:7" hidden="1" x14ac:dyDescent="0.2">
      <c r="B85" s="30">
        <f>B84/B83</f>
        <v>969.28571428571433</v>
      </c>
      <c r="C85" s="11" t="s">
        <v>19</v>
      </c>
      <c r="D85" s="1"/>
    </row>
  </sheetData>
  <autoFilter ref="A4:E66" xr:uid="{00000000-0009-0000-0000-000005000000}">
    <sortState xmlns:xlrd2="http://schemas.microsoft.com/office/spreadsheetml/2017/richdata2" ref="A5:E66">
      <sortCondition ref="B4:B66"/>
    </sortState>
  </autoFilter>
  <mergeCells count="1">
    <mergeCell ref="G2:G3"/>
  </mergeCells>
  <phoneticPr fontId="2" type="noConversion"/>
  <pageMargins left="0.5" right="0.5" top="0.41" bottom="0.32" header="0.17" footer="0.09"/>
  <pageSetup scale="92" orientation="portrait" r:id="rId1"/>
  <headerFooter alignWithMargins="0">
    <oddHeader>&amp;LTab 5: Equipment &amp; Vehicles&amp;CRapid Business Plan</oddHeader>
    <oddFooter>&amp;LDate Printed: &amp;D&amp;CHeartland Information Research, Inc&amp;R5 of 9</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printequip">
                <anchor>
                  <from>
                    <xdr:col>0</xdr:col>
                    <xdr:colOff>9525</xdr:colOff>
                    <xdr:row>1</xdr:row>
                    <xdr:rowOff>19050</xdr:rowOff>
                  </from>
                  <to>
                    <xdr:col>1</xdr:col>
                    <xdr:colOff>552450</xdr:colOff>
                    <xdr:row>3</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G65"/>
  <sheetViews>
    <sheetView showGridLines="0" zoomScaleNormal="100" workbookViewId="0"/>
  </sheetViews>
  <sheetFormatPr defaultColWidth="13.5703125" defaultRowHeight="12.75" customHeight="1" zeroHeight="1" x14ac:dyDescent="0.2"/>
  <cols>
    <col min="1" max="1" width="26.140625" customWidth="1"/>
    <col min="2" max="2" width="6.7109375" style="1" customWidth="1"/>
    <col min="3" max="3" width="9.140625" hidden="1" customWidth="1"/>
    <col min="4" max="4" width="38.28515625" customWidth="1"/>
    <col min="5" max="5" width="14.28515625" customWidth="1"/>
    <col min="6" max="7" width="13.5703125" style="9"/>
  </cols>
  <sheetData>
    <row r="1" spans="1:7" ht="12" customHeight="1" x14ac:dyDescent="0.2">
      <c r="A1" s="78" t="str">
        <f>'0. Basic Info'!D11</f>
        <v>My Business</v>
      </c>
      <c r="B1" s="542"/>
      <c r="C1" s="11" t="s">
        <v>14</v>
      </c>
    </row>
    <row r="2" spans="1:7" ht="12" customHeight="1" x14ac:dyDescent="0.2">
      <c r="A2" s="11"/>
      <c r="B2" s="10"/>
      <c r="C2" s="11"/>
      <c r="D2" s="11"/>
      <c r="F2" s="544">
        <f>SUM(F5:F62)</f>
        <v>6000</v>
      </c>
      <c r="G2" s="719" t="s">
        <v>104</v>
      </c>
    </row>
    <row r="3" spans="1:7" ht="12" customHeight="1" thickBot="1" x14ac:dyDescent="0.25">
      <c r="A3" s="11"/>
      <c r="B3" s="10"/>
      <c r="C3" s="11"/>
      <c r="D3" s="110" t="s">
        <v>11</v>
      </c>
      <c r="E3" s="190">
        <v>5.0999999999999997E-2</v>
      </c>
      <c r="F3" s="545">
        <f>E3*F2</f>
        <v>306</v>
      </c>
      <c r="G3" s="721"/>
    </row>
    <row r="4" spans="1:7" ht="13.5" thickBot="1" x14ac:dyDescent="0.25">
      <c r="A4" s="9" t="s">
        <v>61</v>
      </c>
      <c r="B4" s="61" t="s">
        <v>35</v>
      </c>
      <c r="C4" s="61" t="s">
        <v>33</v>
      </c>
      <c r="D4" s="9" t="s">
        <v>60</v>
      </c>
      <c r="E4" s="642" t="s">
        <v>10</v>
      </c>
      <c r="F4" s="643">
        <f>F2+F3</f>
        <v>6306</v>
      </c>
      <c r="G4" s="644">
        <f>SUM(G5:G62)</f>
        <v>0</v>
      </c>
    </row>
    <row r="5" spans="1:7" ht="12" customHeight="1" x14ac:dyDescent="0.2">
      <c r="A5" s="307"/>
      <c r="B5" s="302"/>
      <c r="C5" s="307"/>
      <c r="D5" s="308" t="s">
        <v>354</v>
      </c>
      <c r="E5" s="645"/>
      <c r="F5" s="646">
        <f>E5</f>
        <v>0</v>
      </c>
      <c r="G5" s="647">
        <f>IF(B5="y",F5,0)</f>
        <v>0</v>
      </c>
    </row>
    <row r="6" spans="1:7" ht="12" customHeight="1" x14ac:dyDescent="0.2">
      <c r="A6" s="307"/>
      <c r="B6" s="302"/>
      <c r="C6" s="303"/>
      <c r="D6" s="305" t="s">
        <v>355</v>
      </c>
      <c r="E6" s="645">
        <v>0</v>
      </c>
      <c r="F6" s="646">
        <f t="shared" ref="F6:F62" si="0">E6</f>
        <v>0</v>
      </c>
      <c r="G6" s="647">
        <f t="shared" ref="G6:G62" si="1">IF(B6="y",F6,0)</f>
        <v>0</v>
      </c>
    </row>
    <row r="7" spans="1:7" ht="12" customHeight="1" x14ac:dyDescent="0.2">
      <c r="A7" s="307"/>
      <c r="B7" s="302"/>
      <c r="C7" s="303"/>
      <c r="D7" s="305" t="s">
        <v>347</v>
      </c>
      <c r="E7" s="645">
        <v>0</v>
      </c>
      <c r="F7" s="646">
        <f t="shared" si="0"/>
        <v>0</v>
      </c>
      <c r="G7" s="647">
        <f t="shared" si="1"/>
        <v>0</v>
      </c>
    </row>
    <row r="8" spans="1:7" ht="12" customHeight="1" x14ac:dyDescent="0.2">
      <c r="A8" s="307" t="s">
        <v>356</v>
      </c>
      <c r="B8" s="302"/>
      <c r="C8" s="303"/>
      <c r="D8" s="305" t="s">
        <v>357</v>
      </c>
      <c r="E8" s="645">
        <v>3000</v>
      </c>
      <c r="F8" s="646">
        <f t="shared" si="0"/>
        <v>3000</v>
      </c>
      <c r="G8" s="647">
        <f t="shared" si="1"/>
        <v>0</v>
      </c>
    </row>
    <row r="9" spans="1:7" ht="12" customHeight="1" x14ac:dyDescent="0.2">
      <c r="A9" s="307" t="s">
        <v>358</v>
      </c>
      <c r="B9" s="302"/>
      <c r="C9" s="303"/>
      <c r="D9" s="305" t="s">
        <v>359</v>
      </c>
      <c r="E9" s="645">
        <v>1200</v>
      </c>
      <c r="F9" s="646">
        <f t="shared" si="0"/>
        <v>1200</v>
      </c>
      <c r="G9" s="647">
        <f t="shared" si="1"/>
        <v>0</v>
      </c>
    </row>
    <row r="10" spans="1:7" ht="12" customHeight="1" x14ac:dyDescent="0.2">
      <c r="A10" s="307" t="s">
        <v>360</v>
      </c>
      <c r="B10" s="302"/>
      <c r="C10" s="303"/>
      <c r="D10" s="305" t="s">
        <v>361</v>
      </c>
      <c r="E10" s="645">
        <v>1800</v>
      </c>
      <c r="F10" s="646">
        <f t="shared" si="0"/>
        <v>1800</v>
      </c>
      <c r="G10" s="647">
        <f t="shared" si="1"/>
        <v>0</v>
      </c>
    </row>
    <row r="11" spans="1:7" ht="12" customHeight="1" x14ac:dyDescent="0.2">
      <c r="A11" s="307"/>
      <c r="B11" s="302"/>
      <c r="C11" s="303"/>
      <c r="D11" s="305"/>
      <c r="E11" s="645">
        <v>0</v>
      </c>
      <c r="F11" s="646">
        <f t="shared" si="0"/>
        <v>0</v>
      </c>
      <c r="G11" s="647">
        <f t="shared" si="1"/>
        <v>0</v>
      </c>
    </row>
    <row r="12" spans="1:7" ht="12" customHeight="1" x14ac:dyDescent="0.2">
      <c r="A12" s="307"/>
      <c r="B12" s="302"/>
      <c r="C12" s="303"/>
      <c r="D12" s="305"/>
      <c r="E12" s="645">
        <v>0</v>
      </c>
      <c r="F12" s="646">
        <f t="shared" si="0"/>
        <v>0</v>
      </c>
      <c r="G12" s="647">
        <f t="shared" si="1"/>
        <v>0</v>
      </c>
    </row>
    <row r="13" spans="1:7" ht="12" customHeight="1" x14ac:dyDescent="0.2">
      <c r="A13" s="307"/>
      <c r="B13" s="302"/>
      <c r="C13" s="303"/>
      <c r="D13" s="305"/>
      <c r="E13" s="645">
        <v>0</v>
      </c>
      <c r="F13" s="646">
        <f t="shared" si="0"/>
        <v>0</v>
      </c>
      <c r="G13" s="647">
        <f t="shared" si="1"/>
        <v>0</v>
      </c>
    </row>
    <row r="14" spans="1:7" ht="12" customHeight="1" x14ac:dyDescent="0.2">
      <c r="A14" s="307"/>
      <c r="B14" s="302"/>
      <c r="C14" s="303"/>
      <c r="D14" s="305"/>
      <c r="E14" s="645">
        <v>0</v>
      </c>
      <c r="F14" s="646">
        <f t="shared" si="0"/>
        <v>0</v>
      </c>
      <c r="G14" s="647">
        <f t="shared" si="1"/>
        <v>0</v>
      </c>
    </row>
    <row r="15" spans="1:7" ht="12" customHeight="1" x14ac:dyDescent="0.2">
      <c r="A15" s="307"/>
      <c r="B15" s="302"/>
      <c r="C15" s="303"/>
      <c r="D15" s="305"/>
      <c r="E15" s="645">
        <v>0</v>
      </c>
      <c r="F15" s="646">
        <f t="shared" si="0"/>
        <v>0</v>
      </c>
      <c r="G15" s="647">
        <f t="shared" si="1"/>
        <v>0</v>
      </c>
    </row>
    <row r="16" spans="1:7" ht="12" customHeight="1" x14ac:dyDescent="0.2">
      <c r="A16" s="307"/>
      <c r="B16" s="302"/>
      <c r="C16" s="303"/>
      <c r="D16" s="305"/>
      <c r="E16" s="645">
        <v>0</v>
      </c>
      <c r="F16" s="646">
        <f t="shared" si="0"/>
        <v>0</v>
      </c>
      <c r="G16" s="647">
        <f t="shared" si="1"/>
        <v>0</v>
      </c>
    </row>
    <row r="17" spans="1:7" ht="12" customHeight="1" x14ac:dyDescent="0.2">
      <c r="A17" s="307"/>
      <c r="B17" s="302"/>
      <c r="C17" s="303"/>
      <c r="D17" s="305"/>
      <c r="E17" s="645">
        <v>0</v>
      </c>
      <c r="F17" s="646">
        <f t="shared" si="0"/>
        <v>0</v>
      </c>
      <c r="G17" s="647">
        <f t="shared" si="1"/>
        <v>0</v>
      </c>
    </row>
    <row r="18" spans="1:7" ht="12" customHeight="1" x14ac:dyDescent="0.2">
      <c r="A18" s="307"/>
      <c r="B18" s="302"/>
      <c r="C18" s="303"/>
      <c r="D18" s="305"/>
      <c r="E18" s="645">
        <v>0</v>
      </c>
      <c r="F18" s="646">
        <f t="shared" si="0"/>
        <v>0</v>
      </c>
      <c r="G18" s="647">
        <f t="shared" si="1"/>
        <v>0</v>
      </c>
    </row>
    <row r="19" spans="1:7" ht="12" customHeight="1" x14ac:dyDescent="0.2">
      <c r="A19" s="307"/>
      <c r="B19" s="302"/>
      <c r="C19" s="303"/>
      <c r="D19" s="305"/>
      <c r="E19" s="645">
        <v>0</v>
      </c>
      <c r="F19" s="646">
        <f t="shared" si="0"/>
        <v>0</v>
      </c>
      <c r="G19" s="647">
        <f t="shared" si="1"/>
        <v>0</v>
      </c>
    </row>
    <row r="20" spans="1:7" ht="12" customHeight="1" x14ac:dyDescent="0.2">
      <c r="A20" s="307"/>
      <c r="B20" s="302"/>
      <c r="C20" s="303"/>
      <c r="D20" s="305"/>
      <c r="E20" s="645">
        <v>0</v>
      </c>
      <c r="F20" s="646">
        <f t="shared" si="0"/>
        <v>0</v>
      </c>
      <c r="G20" s="647">
        <f t="shared" si="1"/>
        <v>0</v>
      </c>
    </row>
    <row r="21" spans="1:7" ht="12" customHeight="1" x14ac:dyDescent="0.2">
      <c r="A21" s="307"/>
      <c r="B21" s="302"/>
      <c r="C21" s="303"/>
      <c r="D21" s="305"/>
      <c r="E21" s="645">
        <v>0</v>
      </c>
      <c r="F21" s="646">
        <f t="shared" si="0"/>
        <v>0</v>
      </c>
      <c r="G21" s="647">
        <f t="shared" si="1"/>
        <v>0</v>
      </c>
    </row>
    <row r="22" spans="1:7" ht="12" customHeight="1" x14ac:dyDescent="0.2">
      <c r="A22" s="307"/>
      <c r="B22" s="302"/>
      <c r="C22" s="303"/>
      <c r="D22" s="305"/>
      <c r="E22" s="645">
        <v>0</v>
      </c>
      <c r="F22" s="646">
        <f t="shared" si="0"/>
        <v>0</v>
      </c>
      <c r="G22" s="647">
        <f t="shared" si="1"/>
        <v>0</v>
      </c>
    </row>
    <row r="23" spans="1:7" ht="12" customHeight="1" x14ac:dyDescent="0.2">
      <c r="A23" s="307"/>
      <c r="B23" s="302"/>
      <c r="C23" s="303"/>
      <c r="D23" s="305"/>
      <c r="E23" s="645">
        <v>0</v>
      </c>
      <c r="F23" s="646">
        <f t="shared" si="0"/>
        <v>0</v>
      </c>
      <c r="G23" s="647">
        <f t="shared" si="1"/>
        <v>0</v>
      </c>
    </row>
    <row r="24" spans="1:7" ht="12" customHeight="1" x14ac:dyDescent="0.2">
      <c r="A24" s="307"/>
      <c r="B24" s="302"/>
      <c r="C24" s="303"/>
      <c r="D24" s="305"/>
      <c r="E24" s="645">
        <v>0</v>
      </c>
      <c r="F24" s="646">
        <f t="shared" si="0"/>
        <v>0</v>
      </c>
      <c r="G24" s="647">
        <f t="shared" si="1"/>
        <v>0</v>
      </c>
    </row>
    <row r="25" spans="1:7" ht="12" customHeight="1" x14ac:dyDescent="0.2">
      <c r="A25" s="307"/>
      <c r="B25" s="302"/>
      <c r="C25" s="303"/>
      <c r="D25" s="305"/>
      <c r="E25" s="645">
        <v>0</v>
      </c>
      <c r="F25" s="646">
        <f t="shared" si="0"/>
        <v>0</v>
      </c>
      <c r="G25" s="647">
        <f t="shared" si="1"/>
        <v>0</v>
      </c>
    </row>
    <row r="26" spans="1:7" ht="12" customHeight="1" x14ac:dyDescent="0.2">
      <c r="A26" s="307"/>
      <c r="B26" s="302"/>
      <c r="C26" s="303"/>
      <c r="D26" s="305"/>
      <c r="E26" s="645">
        <v>0</v>
      </c>
      <c r="F26" s="646">
        <f t="shared" si="0"/>
        <v>0</v>
      </c>
      <c r="G26" s="647">
        <f t="shared" si="1"/>
        <v>0</v>
      </c>
    </row>
    <row r="27" spans="1:7" ht="12" customHeight="1" x14ac:dyDescent="0.2">
      <c r="A27" s="307"/>
      <c r="B27" s="302"/>
      <c r="C27" s="303"/>
      <c r="D27" s="305"/>
      <c r="E27" s="645">
        <v>0</v>
      </c>
      <c r="F27" s="646">
        <f t="shared" si="0"/>
        <v>0</v>
      </c>
      <c r="G27" s="647">
        <f t="shared" si="1"/>
        <v>0</v>
      </c>
    </row>
    <row r="28" spans="1:7" ht="12" customHeight="1" x14ac:dyDescent="0.2">
      <c r="A28" s="307"/>
      <c r="B28" s="302"/>
      <c r="C28" s="303"/>
      <c r="D28" s="305"/>
      <c r="E28" s="645">
        <v>0</v>
      </c>
      <c r="F28" s="646">
        <f t="shared" si="0"/>
        <v>0</v>
      </c>
      <c r="G28" s="647">
        <f t="shared" si="1"/>
        <v>0</v>
      </c>
    </row>
    <row r="29" spans="1:7" ht="12" customHeight="1" x14ac:dyDescent="0.2">
      <c r="A29" s="307"/>
      <c r="B29" s="302"/>
      <c r="C29" s="303"/>
      <c r="D29" s="305"/>
      <c r="E29" s="645">
        <v>0</v>
      </c>
      <c r="F29" s="646">
        <f t="shared" si="0"/>
        <v>0</v>
      </c>
      <c r="G29" s="647">
        <f t="shared" si="1"/>
        <v>0</v>
      </c>
    </row>
    <row r="30" spans="1:7" ht="12" customHeight="1" x14ac:dyDescent="0.2">
      <c r="A30" s="307"/>
      <c r="B30" s="302"/>
      <c r="C30" s="303"/>
      <c r="D30" s="305"/>
      <c r="E30" s="645">
        <v>0</v>
      </c>
      <c r="F30" s="646">
        <f t="shared" si="0"/>
        <v>0</v>
      </c>
      <c r="G30" s="647">
        <f t="shared" si="1"/>
        <v>0</v>
      </c>
    </row>
    <row r="31" spans="1:7" ht="12" customHeight="1" x14ac:dyDescent="0.2">
      <c r="A31" s="307"/>
      <c r="B31" s="302"/>
      <c r="C31" s="303"/>
      <c r="D31" s="305"/>
      <c r="E31" s="645">
        <v>0</v>
      </c>
      <c r="F31" s="646">
        <f t="shared" si="0"/>
        <v>0</v>
      </c>
      <c r="G31" s="647">
        <f t="shared" si="1"/>
        <v>0</v>
      </c>
    </row>
    <row r="32" spans="1:7" ht="12" customHeight="1" x14ac:dyDescent="0.2">
      <c r="A32" s="307"/>
      <c r="B32" s="302"/>
      <c r="C32" s="303"/>
      <c r="D32" s="305"/>
      <c r="E32" s="645">
        <v>0</v>
      </c>
      <c r="F32" s="646">
        <f t="shared" si="0"/>
        <v>0</v>
      </c>
      <c r="G32" s="647">
        <f t="shared" si="1"/>
        <v>0</v>
      </c>
    </row>
    <row r="33" spans="1:7" ht="12" customHeight="1" x14ac:dyDescent="0.2">
      <c r="A33" s="307"/>
      <c r="B33" s="302"/>
      <c r="C33" s="303"/>
      <c r="D33" s="305"/>
      <c r="E33" s="645">
        <v>0</v>
      </c>
      <c r="F33" s="646">
        <f t="shared" si="0"/>
        <v>0</v>
      </c>
      <c r="G33" s="647">
        <f t="shared" si="1"/>
        <v>0</v>
      </c>
    </row>
    <row r="34" spans="1:7" ht="12" customHeight="1" x14ac:dyDescent="0.2">
      <c r="A34" s="307"/>
      <c r="B34" s="302"/>
      <c r="C34" s="303"/>
      <c r="D34" s="305"/>
      <c r="E34" s="645">
        <v>0</v>
      </c>
      <c r="F34" s="646">
        <f t="shared" si="0"/>
        <v>0</v>
      </c>
      <c r="G34" s="647">
        <f t="shared" si="1"/>
        <v>0</v>
      </c>
    </row>
    <row r="35" spans="1:7" ht="12" customHeight="1" x14ac:dyDescent="0.2">
      <c r="A35" s="307"/>
      <c r="B35" s="302"/>
      <c r="C35" s="303"/>
      <c r="D35" s="305"/>
      <c r="E35" s="645">
        <v>0</v>
      </c>
      <c r="F35" s="646">
        <f t="shared" si="0"/>
        <v>0</v>
      </c>
      <c r="G35" s="647">
        <f t="shared" si="1"/>
        <v>0</v>
      </c>
    </row>
    <row r="36" spans="1:7" ht="12" customHeight="1" x14ac:dyDescent="0.2">
      <c r="A36" s="307"/>
      <c r="B36" s="302"/>
      <c r="C36" s="303"/>
      <c r="D36" s="305"/>
      <c r="E36" s="645">
        <v>0</v>
      </c>
      <c r="F36" s="646">
        <f t="shared" si="0"/>
        <v>0</v>
      </c>
      <c r="G36" s="647">
        <f t="shared" si="1"/>
        <v>0</v>
      </c>
    </row>
    <row r="37" spans="1:7" ht="12" customHeight="1" x14ac:dyDescent="0.2">
      <c r="A37" s="307"/>
      <c r="B37" s="302"/>
      <c r="C37" s="303"/>
      <c r="D37" s="305"/>
      <c r="E37" s="645">
        <v>0</v>
      </c>
      <c r="F37" s="646">
        <f t="shared" si="0"/>
        <v>0</v>
      </c>
      <c r="G37" s="647">
        <f t="shared" si="1"/>
        <v>0</v>
      </c>
    </row>
    <row r="38" spans="1:7" ht="12" customHeight="1" x14ac:dyDescent="0.2">
      <c r="A38" s="307"/>
      <c r="B38" s="302"/>
      <c r="C38" s="303"/>
      <c r="D38" s="305"/>
      <c r="E38" s="645">
        <v>0</v>
      </c>
      <c r="F38" s="646">
        <f t="shared" si="0"/>
        <v>0</v>
      </c>
      <c r="G38" s="647">
        <f t="shared" si="1"/>
        <v>0</v>
      </c>
    </row>
    <row r="39" spans="1:7" ht="12" customHeight="1" x14ac:dyDescent="0.2">
      <c r="A39" s="307"/>
      <c r="B39" s="302"/>
      <c r="C39" s="303"/>
      <c r="D39" s="305"/>
      <c r="E39" s="645">
        <v>0</v>
      </c>
      <c r="F39" s="646">
        <f t="shared" si="0"/>
        <v>0</v>
      </c>
      <c r="G39" s="647">
        <f t="shared" si="1"/>
        <v>0</v>
      </c>
    </row>
    <row r="40" spans="1:7" ht="12" customHeight="1" x14ac:dyDescent="0.2">
      <c r="A40" s="307"/>
      <c r="B40" s="302"/>
      <c r="C40" s="303"/>
      <c r="D40" s="305"/>
      <c r="E40" s="645">
        <v>0</v>
      </c>
      <c r="F40" s="646">
        <f t="shared" si="0"/>
        <v>0</v>
      </c>
      <c r="G40" s="647">
        <f t="shared" si="1"/>
        <v>0</v>
      </c>
    </row>
    <row r="41" spans="1:7" ht="12" customHeight="1" x14ac:dyDescent="0.2">
      <c r="A41" s="307"/>
      <c r="B41" s="302"/>
      <c r="C41" s="303"/>
      <c r="D41" s="305"/>
      <c r="E41" s="645">
        <v>0</v>
      </c>
      <c r="F41" s="646">
        <f t="shared" si="0"/>
        <v>0</v>
      </c>
      <c r="G41" s="647">
        <f t="shared" si="1"/>
        <v>0</v>
      </c>
    </row>
    <row r="42" spans="1:7" ht="12" customHeight="1" x14ac:dyDescent="0.2">
      <c r="A42" s="307"/>
      <c r="B42" s="302"/>
      <c r="C42" s="303"/>
      <c r="D42" s="305"/>
      <c r="E42" s="645">
        <v>0</v>
      </c>
      <c r="F42" s="646">
        <f t="shared" si="0"/>
        <v>0</v>
      </c>
      <c r="G42" s="647">
        <f t="shared" si="1"/>
        <v>0</v>
      </c>
    </row>
    <row r="43" spans="1:7" ht="12" customHeight="1" x14ac:dyDescent="0.2">
      <c r="A43" s="307"/>
      <c r="B43" s="302"/>
      <c r="C43" s="303"/>
      <c r="D43" s="305"/>
      <c r="E43" s="645">
        <v>0</v>
      </c>
      <c r="F43" s="646">
        <f t="shared" si="0"/>
        <v>0</v>
      </c>
      <c r="G43" s="647">
        <f t="shared" si="1"/>
        <v>0</v>
      </c>
    </row>
    <row r="44" spans="1:7" ht="12" customHeight="1" x14ac:dyDescent="0.2">
      <c r="A44" s="307"/>
      <c r="B44" s="302"/>
      <c r="C44" s="303"/>
      <c r="D44" s="305"/>
      <c r="E44" s="645">
        <v>0</v>
      </c>
      <c r="F44" s="646">
        <f t="shared" si="0"/>
        <v>0</v>
      </c>
      <c r="G44" s="647">
        <f t="shared" si="1"/>
        <v>0</v>
      </c>
    </row>
    <row r="45" spans="1:7" ht="12" customHeight="1" x14ac:dyDescent="0.2">
      <c r="A45" s="307"/>
      <c r="B45" s="302"/>
      <c r="C45" s="303"/>
      <c r="D45" s="305"/>
      <c r="E45" s="645">
        <v>0</v>
      </c>
      <c r="F45" s="646">
        <f t="shared" si="0"/>
        <v>0</v>
      </c>
      <c r="G45" s="647">
        <f t="shared" si="1"/>
        <v>0</v>
      </c>
    </row>
    <row r="46" spans="1:7" ht="12" customHeight="1" x14ac:dyDescent="0.2">
      <c r="A46" s="307"/>
      <c r="B46" s="302"/>
      <c r="C46" s="303"/>
      <c r="D46" s="305"/>
      <c r="E46" s="645">
        <v>0</v>
      </c>
      <c r="F46" s="646">
        <f t="shared" si="0"/>
        <v>0</v>
      </c>
      <c r="G46" s="647">
        <f t="shared" si="1"/>
        <v>0</v>
      </c>
    </row>
    <row r="47" spans="1:7" ht="12" customHeight="1" x14ac:dyDescent="0.2">
      <c r="A47" s="307"/>
      <c r="B47" s="302"/>
      <c r="C47" s="303"/>
      <c r="D47" s="305"/>
      <c r="E47" s="645">
        <v>0</v>
      </c>
      <c r="F47" s="646">
        <f t="shared" si="0"/>
        <v>0</v>
      </c>
      <c r="G47" s="647">
        <f t="shared" si="1"/>
        <v>0</v>
      </c>
    </row>
    <row r="48" spans="1:7" ht="12" customHeight="1" x14ac:dyDescent="0.2">
      <c r="A48" s="307"/>
      <c r="B48" s="302"/>
      <c r="C48" s="303"/>
      <c r="D48" s="305"/>
      <c r="E48" s="645">
        <v>0</v>
      </c>
      <c r="F48" s="646">
        <f t="shared" si="0"/>
        <v>0</v>
      </c>
      <c r="G48" s="647">
        <f t="shared" si="1"/>
        <v>0</v>
      </c>
    </row>
    <row r="49" spans="1:7" ht="12" customHeight="1" x14ac:dyDescent="0.2">
      <c r="A49" s="307"/>
      <c r="B49" s="302"/>
      <c r="C49" s="303"/>
      <c r="D49" s="305"/>
      <c r="E49" s="645">
        <v>0</v>
      </c>
      <c r="F49" s="646">
        <f t="shared" si="0"/>
        <v>0</v>
      </c>
      <c r="G49" s="647">
        <f t="shared" si="1"/>
        <v>0</v>
      </c>
    </row>
    <row r="50" spans="1:7" ht="12" customHeight="1" x14ac:dyDescent="0.2">
      <c r="A50" s="307"/>
      <c r="B50" s="302"/>
      <c r="C50" s="303"/>
      <c r="D50" s="305"/>
      <c r="E50" s="645">
        <v>0</v>
      </c>
      <c r="F50" s="646">
        <f t="shared" si="0"/>
        <v>0</v>
      </c>
      <c r="G50" s="647">
        <f t="shared" si="1"/>
        <v>0</v>
      </c>
    </row>
    <row r="51" spans="1:7" ht="12" customHeight="1" x14ac:dyDescent="0.2">
      <c r="A51" s="307"/>
      <c r="B51" s="302"/>
      <c r="C51" s="303"/>
      <c r="D51" s="305"/>
      <c r="E51" s="645">
        <v>0</v>
      </c>
      <c r="F51" s="646">
        <f t="shared" si="0"/>
        <v>0</v>
      </c>
      <c r="G51" s="647">
        <f t="shared" si="1"/>
        <v>0</v>
      </c>
    </row>
    <row r="52" spans="1:7" ht="12" customHeight="1" x14ac:dyDescent="0.2">
      <c r="A52" s="307"/>
      <c r="B52" s="302"/>
      <c r="C52" s="303"/>
      <c r="D52" s="305"/>
      <c r="E52" s="645">
        <v>0</v>
      </c>
      <c r="F52" s="646">
        <f t="shared" si="0"/>
        <v>0</v>
      </c>
      <c r="G52" s="647">
        <f t="shared" si="1"/>
        <v>0</v>
      </c>
    </row>
    <row r="53" spans="1:7" ht="12" customHeight="1" x14ac:dyDescent="0.2">
      <c r="A53" s="307"/>
      <c r="B53" s="302"/>
      <c r="C53" s="303"/>
      <c r="D53" s="305"/>
      <c r="E53" s="645">
        <v>0</v>
      </c>
      <c r="F53" s="646">
        <f t="shared" si="0"/>
        <v>0</v>
      </c>
      <c r="G53" s="647">
        <f t="shared" si="1"/>
        <v>0</v>
      </c>
    </row>
    <row r="54" spans="1:7" ht="12" customHeight="1" x14ac:dyDescent="0.2">
      <c r="A54" s="307"/>
      <c r="B54" s="302"/>
      <c r="C54" s="303"/>
      <c r="D54" s="305"/>
      <c r="E54" s="645">
        <v>0</v>
      </c>
      <c r="F54" s="646">
        <f t="shared" si="0"/>
        <v>0</v>
      </c>
      <c r="G54" s="647">
        <f t="shared" si="1"/>
        <v>0</v>
      </c>
    </row>
    <row r="55" spans="1:7" ht="12" customHeight="1" x14ac:dyDescent="0.2">
      <c r="A55" s="307"/>
      <c r="B55" s="302"/>
      <c r="C55" s="303"/>
      <c r="D55" s="305"/>
      <c r="E55" s="645">
        <v>0</v>
      </c>
      <c r="F55" s="646">
        <f t="shared" si="0"/>
        <v>0</v>
      </c>
      <c r="G55" s="647">
        <f t="shared" si="1"/>
        <v>0</v>
      </c>
    </row>
    <row r="56" spans="1:7" ht="12" customHeight="1" x14ac:dyDescent="0.2">
      <c r="A56" s="307"/>
      <c r="B56" s="302"/>
      <c r="C56" s="303"/>
      <c r="D56" s="305"/>
      <c r="E56" s="645">
        <v>0</v>
      </c>
      <c r="F56" s="646">
        <f t="shared" si="0"/>
        <v>0</v>
      </c>
      <c r="G56" s="647">
        <f t="shared" si="1"/>
        <v>0</v>
      </c>
    </row>
    <row r="57" spans="1:7" ht="12" customHeight="1" x14ac:dyDescent="0.2">
      <c r="A57" s="307"/>
      <c r="B57" s="302"/>
      <c r="C57" s="303"/>
      <c r="D57" s="305"/>
      <c r="E57" s="645">
        <v>0</v>
      </c>
      <c r="F57" s="646">
        <f t="shared" si="0"/>
        <v>0</v>
      </c>
      <c r="G57" s="647">
        <f t="shared" si="1"/>
        <v>0</v>
      </c>
    </row>
    <row r="58" spans="1:7" ht="12" customHeight="1" x14ac:dyDescent="0.2">
      <c r="A58" s="307"/>
      <c r="B58" s="302"/>
      <c r="C58" s="303"/>
      <c r="D58" s="305"/>
      <c r="E58" s="645">
        <v>0</v>
      </c>
      <c r="F58" s="646">
        <f t="shared" si="0"/>
        <v>0</v>
      </c>
      <c r="G58" s="647">
        <f t="shared" si="1"/>
        <v>0</v>
      </c>
    </row>
    <row r="59" spans="1:7" ht="12" customHeight="1" x14ac:dyDescent="0.2">
      <c r="A59" s="307"/>
      <c r="B59" s="302"/>
      <c r="C59" s="303"/>
      <c r="D59" s="305"/>
      <c r="E59" s="645">
        <v>0</v>
      </c>
      <c r="F59" s="646">
        <f t="shared" si="0"/>
        <v>0</v>
      </c>
      <c r="G59" s="647">
        <f t="shared" si="1"/>
        <v>0</v>
      </c>
    </row>
    <row r="60" spans="1:7" ht="12" customHeight="1" x14ac:dyDescent="0.2">
      <c r="A60" s="307"/>
      <c r="B60" s="302"/>
      <c r="C60" s="303"/>
      <c r="D60" s="305"/>
      <c r="E60" s="645">
        <v>0</v>
      </c>
      <c r="F60" s="646">
        <f t="shared" si="0"/>
        <v>0</v>
      </c>
      <c r="G60" s="647">
        <f t="shared" si="1"/>
        <v>0</v>
      </c>
    </row>
    <row r="61" spans="1:7" ht="12" customHeight="1" x14ac:dyDescent="0.2">
      <c r="A61" s="307"/>
      <c r="B61" s="302"/>
      <c r="C61" s="310"/>
      <c r="D61" s="305"/>
      <c r="E61" s="645">
        <v>0</v>
      </c>
      <c r="F61" s="646">
        <f t="shared" si="0"/>
        <v>0</v>
      </c>
      <c r="G61" s="647">
        <f t="shared" si="1"/>
        <v>0</v>
      </c>
    </row>
    <row r="62" spans="1:7" ht="12" customHeight="1" x14ac:dyDescent="0.2">
      <c r="A62" s="307"/>
      <c r="B62" s="302"/>
      <c r="C62" s="303"/>
      <c r="D62" s="305"/>
      <c r="E62" s="645">
        <v>0</v>
      </c>
      <c r="F62" s="646">
        <f t="shared" si="0"/>
        <v>0</v>
      </c>
      <c r="G62" s="647">
        <f t="shared" si="1"/>
        <v>0</v>
      </c>
    </row>
    <row r="63" spans="1:7" ht="12" customHeight="1" x14ac:dyDescent="0.2">
      <c r="A63" s="98">
        <v>15</v>
      </c>
      <c r="B63" s="98"/>
      <c r="C63" s="104" t="s">
        <v>98</v>
      </c>
      <c r="D63" s="1"/>
      <c r="E63" s="10"/>
      <c r="F63" s="543"/>
    </row>
    <row r="64" spans="1:7" ht="12" customHeight="1" x14ac:dyDescent="0.2">
      <c r="A64" s="30">
        <f>F4</f>
        <v>6306</v>
      </c>
      <c r="B64" s="30"/>
      <c r="C64" s="104" t="s">
        <v>99</v>
      </c>
      <c r="D64" s="1"/>
    </row>
    <row r="65" spans="1:4" ht="12" customHeight="1" x14ac:dyDescent="0.2">
      <c r="A65" s="30">
        <f>A64/A63</f>
        <v>420.4</v>
      </c>
      <c r="B65" s="30"/>
      <c r="C65" s="29" t="s">
        <v>19</v>
      </c>
      <c r="D65" s="1"/>
    </row>
  </sheetData>
  <mergeCells count="1">
    <mergeCell ref="G2:G3"/>
  </mergeCells>
  <phoneticPr fontId="2" type="noConversion"/>
  <pageMargins left="0.37" right="0.24" top="0.5" bottom="0.47" header="0.18" footer="0.17"/>
  <pageSetup scale="96" fitToHeight="0" orientation="portrait" r:id="rId1"/>
  <headerFooter alignWithMargins="0">
    <oddHeader>&amp;LTab 5: Facility/Building Costs&amp;CRapid Business Plan</oddHeader>
    <oddFooter>&amp;LDate Printed: &amp;D&amp;CHeartland Information Research, Inc&amp;R6 of 9</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printequip">
                <anchor>
                  <from>
                    <xdr:col>0</xdr:col>
                    <xdr:colOff>9525</xdr:colOff>
                    <xdr:row>0</xdr:row>
                    <xdr:rowOff>133350</xdr:rowOff>
                  </from>
                  <to>
                    <xdr:col>0</xdr:col>
                    <xdr:colOff>1009650</xdr:colOff>
                    <xdr:row>3</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pageSetUpPr fitToPage="1"/>
  </sheetPr>
  <dimension ref="A1:O67"/>
  <sheetViews>
    <sheetView showGridLines="0" zoomScaleNormal="100" workbookViewId="0"/>
  </sheetViews>
  <sheetFormatPr defaultColWidth="18.7109375" defaultRowHeight="12" customHeight="1" x14ac:dyDescent="0.2"/>
  <cols>
    <col min="1" max="12" width="8.7109375" customWidth="1"/>
    <col min="13" max="22" width="1.7109375" customWidth="1"/>
  </cols>
  <sheetData>
    <row r="1" spans="1:15" ht="14.25" x14ac:dyDescent="0.2">
      <c r="A1" s="78" t="str">
        <f>'0. Basic Info'!D11</f>
        <v>My Business</v>
      </c>
      <c r="B1" s="78"/>
      <c r="C1" s="78"/>
      <c r="D1" s="198" t="s">
        <v>130</v>
      </c>
    </row>
    <row r="2" spans="1:15" ht="12.75" hidden="1" x14ac:dyDescent="0.2">
      <c r="A2" s="9"/>
    </row>
    <row r="3" spans="1:15" ht="12.75" x14ac:dyDescent="0.2">
      <c r="A3" s="9"/>
    </row>
    <row r="4" spans="1:15" ht="12.75" x14ac:dyDescent="0.2">
      <c r="A4" s="2" t="s">
        <v>120</v>
      </c>
    </row>
    <row r="5" spans="1:15" ht="12.75" x14ac:dyDescent="0.2">
      <c r="A5" s="9" t="s">
        <v>121</v>
      </c>
    </row>
    <row r="6" spans="1:15" ht="12.75" x14ac:dyDescent="0.2">
      <c r="A6" s="9" t="s">
        <v>122</v>
      </c>
    </row>
    <row r="7" spans="1:15" ht="12.75" x14ac:dyDescent="0.2">
      <c r="A7" s="9" t="s">
        <v>123</v>
      </c>
    </row>
    <row r="8" spans="1:15" ht="12.75" x14ac:dyDescent="0.2">
      <c r="A8" s="9" t="s">
        <v>124</v>
      </c>
    </row>
    <row r="9" spans="1:15" ht="12.75" x14ac:dyDescent="0.2">
      <c r="A9" s="9" t="s">
        <v>125</v>
      </c>
    </row>
    <row r="10" spans="1:15" ht="12.75" x14ac:dyDescent="0.2"/>
    <row r="11" spans="1:15" ht="12.75" x14ac:dyDescent="0.2">
      <c r="C11" s="197"/>
      <c r="D11" s="197"/>
      <c r="E11" s="197"/>
      <c r="F11" s="197"/>
      <c r="G11" s="197"/>
      <c r="H11" s="197" t="s">
        <v>71</v>
      </c>
      <c r="I11" s="155">
        <v>2</v>
      </c>
    </row>
    <row r="12" spans="1:15" ht="12.75" x14ac:dyDescent="0.2"/>
    <row r="13" spans="1:15" ht="12.75" x14ac:dyDescent="0.2">
      <c r="A13" s="722" t="s">
        <v>126</v>
      </c>
      <c r="B13" s="722"/>
      <c r="C13" s="722"/>
      <c r="D13" s="722"/>
      <c r="E13" s="722"/>
      <c r="F13" s="722"/>
      <c r="G13" s="722"/>
      <c r="H13" s="722"/>
      <c r="I13" s="722"/>
      <c r="J13" s="722"/>
      <c r="K13" s="722"/>
      <c r="L13" s="722"/>
    </row>
    <row r="14" spans="1:15" ht="12.75" x14ac:dyDescent="0.2">
      <c r="A14" s="152"/>
      <c r="B14" s="152"/>
      <c r="C14" s="152"/>
      <c r="D14" s="152"/>
      <c r="E14" s="152"/>
      <c r="F14" s="153" t="s">
        <v>67</v>
      </c>
      <c r="G14" s="202">
        <f>'1. Sales Forecast'!C62/12</f>
        <v>22300</v>
      </c>
      <c r="H14" s="152" t="s">
        <v>68</v>
      </c>
      <c r="I14" s="152"/>
      <c r="J14" s="152"/>
      <c r="K14" s="152"/>
      <c r="L14" s="199"/>
      <c r="M14" s="63"/>
      <c r="N14" s="63"/>
      <c r="O14" s="63"/>
    </row>
    <row r="15" spans="1:15" ht="12.75" x14ac:dyDescent="0.2">
      <c r="A15" s="152"/>
      <c r="B15" s="152"/>
      <c r="C15" s="152"/>
      <c r="D15" s="152"/>
      <c r="E15" s="152"/>
      <c r="F15" s="154" t="s">
        <v>69</v>
      </c>
      <c r="G15" s="201">
        <f>'1. Sales Forecast'!C25</f>
        <v>152</v>
      </c>
      <c r="H15" s="152" t="s">
        <v>70</v>
      </c>
      <c r="I15" s="152"/>
      <c r="J15" s="152"/>
      <c r="K15" s="199"/>
      <c r="L15" s="200"/>
      <c r="M15" s="71"/>
      <c r="O15" s="71"/>
    </row>
    <row r="16" spans="1:15" ht="12.75" x14ac:dyDescent="0.2">
      <c r="A16" s="152"/>
      <c r="B16" s="152"/>
      <c r="C16" s="152"/>
      <c r="D16" s="152"/>
      <c r="E16" s="152"/>
      <c r="F16" s="154"/>
      <c r="G16" s="201"/>
      <c r="H16" s="152"/>
      <c r="I16" s="152"/>
      <c r="J16" s="152"/>
      <c r="K16" s="199"/>
      <c r="L16" s="200"/>
      <c r="M16" s="71"/>
      <c r="O16" s="71"/>
    </row>
    <row r="17" spans="1:15" ht="12.75" x14ac:dyDescent="0.2">
      <c r="F17" s="205"/>
      <c r="G17" s="206"/>
      <c r="K17" s="63"/>
      <c r="L17" s="207"/>
      <c r="M17" s="71"/>
      <c r="O17" s="71"/>
    </row>
    <row r="18" spans="1:15" ht="12.75" x14ac:dyDescent="0.2">
      <c r="A18" s="204"/>
      <c r="B18" s="204"/>
      <c r="C18" s="204"/>
      <c r="D18" s="204"/>
      <c r="E18" s="204"/>
      <c r="F18" s="204"/>
      <c r="G18" s="204"/>
      <c r="H18" s="204"/>
      <c r="I18" s="204"/>
      <c r="J18" s="204"/>
      <c r="K18" s="204"/>
      <c r="L18" s="204"/>
      <c r="N18" s="65"/>
      <c r="O18" s="65"/>
    </row>
    <row r="19" spans="1:15" ht="12.75" x14ac:dyDescent="0.2">
      <c r="A19" s="2" t="s">
        <v>119</v>
      </c>
      <c r="N19" s="65"/>
      <c r="O19" s="65"/>
    </row>
    <row r="20" spans="1:15" ht="12.75" x14ac:dyDescent="0.2">
      <c r="A20" s="9" t="s">
        <v>131</v>
      </c>
    </row>
    <row r="21" spans="1:15" ht="12.75" x14ac:dyDescent="0.2">
      <c r="A21" s="9" t="s">
        <v>132</v>
      </c>
    </row>
    <row r="22" spans="1:15" ht="12.75" x14ac:dyDescent="0.2">
      <c r="A22" s="9"/>
    </row>
    <row r="23" spans="1:15" ht="12.75" x14ac:dyDescent="0.2">
      <c r="A23" s="9" t="s">
        <v>133</v>
      </c>
    </row>
    <row r="24" spans="1:15" ht="12.75" x14ac:dyDescent="0.2">
      <c r="A24" s="9" t="s">
        <v>134</v>
      </c>
      <c r="N24" s="1"/>
      <c r="O24" s="1"/>
    </row>
    <row r="25" spans="1:15" ht="12.75" x14ac:dyDescent="0.2">
      <c r="A25" s="9"/>
      <c r="N25" s="1"/>
      <c r="O25" s="1"/>
    </row>
    <row r="26" spans="1:15" ht="12.75" x14ac:dyDescent="0.2">
      <c r="A26" s="104" t="s">
        <v>135</v>
      </c>
      <c r="N26" s="1"/>
      <c r="O26" s="1"/>
    </row>
    <row r="27" spans="1:15" ht="12.75" x14ac:dyDescent="0.2">
      <c r="A27" s="104" t="s">
        <v>136</v>
      </c>
      <c r="N27" s="1"/>
      <c r="O27" s="1"/>
    </row>
    <row r="28" spans="1:15" ht="12.75" hidden="1" x14ac:dyDescent="0.2">
      <c r="A28" s="203">
        <f>IF(A36&gt;0,A36-1,A36)</f>
        <v>0</v>
      </c>
      <c r="B28" s="195">
        <f t="shared" ref="B28:L28" si="0">IF(B36&gt;0,B36-1,B36)</f>
        <v>0</v>
      </c>
      <c r="C28" s="195">
        <f t="shared" si="0"/>
        <v>0</v>
      </c>
      <c r="D28" s="195">
        <f t="shared" si="0"/>
        <v>0</v>
      </c>
      <c r="E28" s="195">
        <f t="shared" si="0"/>
        <v>0</v>
      </c>
      <c r="F28" s="195">
        <f t="shared" si="0"/>
        <v>0</v>
      </c>
      <c r="G28" s="195">
        <f t="shared" si="0"/>
        <v>0</v>
      </c>
      <c r="H28" s="195">
        <f t="shared" si="0"/>
        <v>0</v>
      </c>
      <c r="I28" s="195">
        <f t="shared" si="0"/>
        <v>0</v>
      </c>
      <c r="J28" s="195">
        <f t="shared" si="0"/>
        <v>0</v>
      </c>
      <c r="K28" s="195">
        <f t="shared" si="0"/>
        <v>0</v>
      </c>
      <c r="L28" s="195">
        <f t="shared" si="0"/>
        <v>0</v>
      </c>
      <c r="M28" s="195">
        <f>SUM(A28:L28)</f>
        <v>0</v>
      </c>
    </row>
    <row r="29" spans="1:15" ht="12.75" x14ac:dyDescent="0.2">
      <c r="A29" s="104" t="s">
        <v>137</v>
      </c>
      <c r="B29" s="1"/>
      <c r="C29" s="1"/>
      <c r="D29" s="1"/>
      <c r="E29" s="1"/>
      <c r="F29" s="1"/>
      <c r="G29" s="1"/>
      <c r="H29" s="1"/>
      <c r="I29" s="1"/>
      <c r="J29" s="1"/>
      <c r="K29" s="1"/>
      <c r="L29" s="1"/>
      <c r="M29" s="1"/>
    </row>
    <row r="30" spans="1:15" ht="12.75" x14ac:dyDescent="0.2">
      <c r="A30" s="104"/>
      <c r="B30" s="1"/>
      <c r="C30" s="1"/>
      <c r="D30" s="1"/>
      <c r="E30" s="1"/>
      <c r="F30" s="1"/>
      <c r="G30" s="1"/>
      <c r="H30" s="1"/>
      <c r="I30" s="1"/>
      <c r="J30" s="1"/>
      <c r="K30" s="1"/>
      <c r="L30" s="1"/>
      <c r="M30" s="1"/>
    </row>
    <row r="31" spans="1:15" ht="12.75" x14ac:dyDescent="0.2">
      <c r="A31" s="104" t="s">
        <v>138</v>
      </c>
      <c r="B31" s="1"/>
      <c r="C31" s="1"/>
      <c r="D31" s="1"/>
      <c r="E31" s="1"/>
      <c r="F31" s="1"/>
      <c r="G31" s="1"/>
      <c r="H31" s="1"/>
      <c r="I31" s="1"/>
      <c r="J31" s="1"/>
      <c r="K31" s="1"/>
      <c r="L31" s="1"/>
      <c r="M31" s="1"/>
    </row>
    <row r="32" spans="1:15" ht="12.75" x14ac:dyDescent="0.2">
      <c r="A32" s="104"/>
      <c r="B32" s="1"/>
      <c r="C32" s="1"/>
      <c r="D32" s="1"/>
      <c r="E32" s="1"/>
      <c r="F32" s="1"/>
      <c r="G32" s="1"/>
      <c r="H32" s="1"/>
      <c r="I32" s="1"/>
      <c r="J32" s="1"/>
      <c r="K32" s="1"/>
      <c r="L32" s="1"/>
      <c r="M32" s="1"/>
    </row>
    <row r="33" spans="1:15" ht="12.75" x14ac:dyDescent="0.2">
      <c r="A33" s="104"/>
      <c r="B33" s="1"/>
      <c r="C33" s="1"/>
      <c r="D33" s="1"/>
      <c r="E33" s="1"/>
      <c r="F33" s="1"/>
      <c r="G33" s="1"/>
      <c r="H33" s="1"/>
      <c r="I33" s="1"/>
      <c r="J33" s="1"/>
      <c r="K33" s="1"/>
      <c r="L33" s="1"/>
      <c r="M33" s="1"/>
    </row>
    <row r="34" spans="1:15" ht="12.75" x14ac:dyDescent="0.2">
      <c r="A34" s="104"/>
      <c r="B34" s="1"/>
      <c r="C34" s="1"/>
      <c r="D34" s="1"/>
      <c r="E34" s="1"/>
      <c r="F34" s="1"/>
      <c r="G34" s="1"/>
      <c r="H34" s="1"/>
      <c r="I34" s="1"/>
      <c r="J34" s="1"/>
      <c r="K34" s="1"/>
      <c r="L34" s="1"/>
      <c r="M34" s="1"/>
    </row>
    <row r="35" spans="1:15" ht="12.75" x14ac:dyDescent="0.2">
      <c r="A35" s="68">
        <f>'8. P&amp;L and Cashflow'!D6</f>
        <v>43466</v>
      </c>
      <c r="B35" s="68">
        <f>'8. P&amp;L and Cashflow'!E6</f>
        <v>43497</v>
      </c>
      <c r="C35" s="68">
        <f>'8. P&amp;L and Cashflow'!F6</f>
        <v>43528</v>
      </c>
      <c r="D35" s="68">
        <f>'8. P&amp;L and Cashflow'!G6</f>
        <v>43559</v>
      </c>
      <c r="E35" s="68">
        <f>'8. P&amp;L and Cashflow'!H6</f>
        <v>43590</v>
      </c>
      <c r="F35" s="68">
        <f>'8. P&amp;L and Cashflow'!I6</f>
        <v>43621</v>
      </c>
      <c r="G35" s="68">
        <f>'8. P&amp;L and Cashflow'!J6</f>
        <v>43652</v>
      </c>
      <c r="H35" s="68">
        <f>'8. P&amp;L and Cashflow'!K6</f>
        <v>43683</v>
      </c>
      <c r="I35" s="68">
        <f>'8. P&amp;L and Cashflow'!L6</f>
        <v>43714</v>
      </c>
      <c r="J35" s="68">
        <f>'8. P&amp;L and Cashflow'!M6</f>
        <v>43745</v>
      </c>
      <c r="K35" s="68">
        <f>'8. P&amp;L and Cashflow'!N6</f>
        <v>43776</v>
      </c>
      <c r="L35" s="68">
        <f>'8. P&amp;L and Cashflow'!O6</f>
        <v>43807</v>
      </c>
      <c r="M35" s="192"/>
      <c r="N35" s="195"/>
      <c r="O35" s="195"/>
    </row>
    <row r="36" spans="1:15" ht="12.75" x14ac:dyDescent="0.2">
      <c r="A36" s="191">
        <v>1</v>
      </c>
      <c r="B36" s="191">
        <v>1</v>
      </c>
      <c r="C36" s="191">
        <v>1</v>
      </c>
      <c r="D36" s="191">
        <v>1</v>
      </c>
      <c r="E36" s="191">
        <v>1</v>
      </c>
      <c r="F36" s="191">
        <v>1</v>
      </c>
      <c r="G36" s="191">
        <v>1</v>
      </c>
      <c r="H36" s="191">
        <v>1</v>
      </c>
      <c r="I36" s="191">
        <v>1</v>
      </c>
      <c r="J36" s="191">
        <v>1</v>
      </c>
      <c r="K36" s="191">
        <v>1</v>
      </c>
      <c r="L36" s="191">
        <v>1</v>
      </c>
      <c r="M36" s="192">
        <f>12-(COUNTIF(A36:L36,0))</f>
        <v>12</v>
      </c>
      <c r="N36" s="195"/>
      <c r="O36" s="195"/>
    </row>
    <row r="37" spans="1:15" ht="12.75" x14ac:dyDescent="0.2">
      <c r="A37" s="66">
        <f t="shared" ref="A37:L37" si="1">A38/$N38</f>
        <v>8.3333333333333329E-2</v>
      </c>
      <c r="B37" s="66">
        <f t="shared" si="1"/>
        <v>8.3333333333333329E-2</v>
      </c>
      <c r="C37" s="66">
        <f t="shared" si="1"/>
        <v>8.3333333333333329E-2</v>
      </c>
      <c r="D37" s="66">
        <f t="shared" si="1"/>
        <v>8.3333333333333329E-2</v>
      </c>
      <c r="E37" s="66">
        <f t="shared" si="1"/>
        <v>8.3333333333333329E-2</v>
      </c>
      <c r="F37" s="66">
        <f t="shared" si="1"/>
        <v>8.3333333333333329E-2</v>
      </c>
      <c r="G37" s="66">
        <f t="shared" si="1"/>
        <v>8.3333333333333329E-2</v>
      </c>
      <c r="H37" s="66">
        <f t="shared" si="1"/>
        <v>8.3333333333333329E-2</v>
      </c>
      <c r="I37" s="66">
        <f t="shared" si="1"/>
        <v>8.3333333333333329E-2</v>
      </c>
      <c r="J37" s="66">
        <f t="shared" si="1"/>
        <v>8.3333333333333329E-2</v>
      </c>
      <c r="K37" s="66">
        <f t="shared" si="1"/>
        <v>8.3333333333333329E-2</v>
      </c>
      <c r="L37" s="66">
        <f t="shared" si="1"/>
        <v>8.3333333333333329E-2</v>
      </c>
      <c r="M37" s="196">
        <f>SUM(A37:L37)</f>
        <v>1</v>
      </c>
      <c r="N37" s="192"/>
      <c r="O37" s="192"/>
    </row>
    <row r="38" spans="1:15" ht="12.75" x14ac:dyDescent="0.2">
      <c r="A38" s="67">
        <f>A$36*$O38</f>
        <v>22300</v>
      </c>
      <c r="B38" s="67">
        <f t="shared" ref="B38:L38" si="2">B36*$O38</f>
        <v>22300</v>
      </c>
      <c r="C38" s="67">
        <f t="shared" si="2"/>
        <v>22300</v>
      </c>
      <c r="D38" s="67">
        <f t="shared" si="2"/>
        <v>22300</v>
      </c>
      <c r="E38" s="67">
        <f t="shared" si="2"/>
        <v>22300</v>
      </c>
      <c r="F38" s="67">
        <f t="shared" si="2"/>
        <v>22300</v>
      </c>
      <c r="G38" s="67">
        <f t="shared" si="2"/>
        <v>22300</v>
      </c>
      <c r="H38" s="67">
        <f t="shared" si="2"/>
        <v>22300</v>
      </c>
      <c r="I38" s="67">
        <f t="shared" si="2"/>
        <v>22300</v>
      </c>
      <c r="J38" s="67">
        <f t="shared" si="2"/>
        <v>22300</v>
      </c>
      <c r="K38" s="67">
        <f t="shared" si="2"/>
        <v>22300</v>
      </c>
      <c r="L38" s="67">
        <f t="shared" si="2"/>
        <v>22300</v>
      </c>
      <c r="M38" s="194">
        <f>SUM(A38:L38)</f>
        <v>267600</v>
      </c>
      <c r="N38" s="194">
        <f>'1. Sales Forecast'!C62</f>
        <v>267600</v>
      </c>
      <c r="O38" s="194">
        <f>N38/(M$28+M$36)</f>
        <v>22300</v>
      </c>
    </row>
    <row r="39" spans="1:15" ht="12.75" x14ac:dyDescent="0.2">
      <c r="A39" s="67">
        <f>A$36*$O39</f>
        <v>4683</v>
      </c>
      <c r="B39" s="67">
        <f t="shared" ref="B39:L39" si="3">B$36*$O39</f>
        <v>4683</v>
      </c>
      <c r="C39" s="67">
        <f t="shared" si="3"/>
        <v>4683</v>
      </c>
      <c r="D39" s="67">
        <f t="shared" si="3"/>
        <v>4683</v>
      </c>
      <c r="E39" s="67">
        <f t="shared" si="3"/>
        <v>4683</v>
      </c>
      <c r="F39" s="67">
        <f t="shared" si="3"/>
        <v>4683</v>
      </c>
      <c r="G39" s="67">
        <f t="shared" si="3"/>
        <v>4683</v>
      </c>
      <c r="H39" s="67">
        <f t="shared" si="3"/>
        <v>4683</v>
      </c>
      <c r="I39" s="67">
        <f t="shared" si="3"/>
        <v>4683</v>
      </c>
      <c r="J39" s="67">
        <f t="shared" si="3"/>
        <v>4683</v>
      </c>
      <c r="K39" s="67">
        <f t="shared" si="3"/>
        <v>4683</v>
      </c>
      <c r="L39" s="67">
        <f t="shared" si="3"/>
        <v>4683</v>
      </c>
      <c r="M39" s="194">
        <f>SUM(A39:L39)</f>
        <v>56196</v>
      </c>
      <c r="N39" s="194">
        <f>'1. Sales Forecast'!C74</f>
        <v>56196</v>
      </c>
      <c r="O39" s="194">
        <f>N39/(M$28+M$36)</f>
        <v>4683</v>
      </c>
    </row>
    <row r="40" spans="1:15" ht="12.75" x14ac:dyDescent="0.2">
      <c r="A40" s="23">
        <f t="shared" ref="A40:L40" si="4">A38/$N38</f>
        <v>8.3333333333333329E-2</v>
      </c>
      <c r="B40" s="23">
        <f t="shared" si="4"/>
        <v>8.3333333333333329E-2</v>
      </c>
      <c r="C40" s="23">
        <f t="shared" si="4"/>
        <v>8.3333333333333329E-2</v>
      </c>
      <c r="D40" s="23">
        <f t="shared" si="4"/>
        <v>8.3333333333333329E-2</v>
      </c>
      <c r="E40" s="23">
        <f t="shared" si="4"/>
        <v>8.3333333333333329E-2</v>
      </c>
      <c r="F40" s="23">
        <f t="shared" si="4"/>
        <v>8.3333333333333329E-2</v>
      </c>
      <c r="G40" s="23">
        <f t="shared" si="4"/>
        <v>8.3333333333333329E-2</v>
      </c>
      <c r="H40" s="23">
        <f t="shared" si="4"/>
        <v>8.3333333333333329E-2</v>
      </c>
      <c r="I40" s="23">
        <f t="shared" si="4"/>
        <v>8.3333333333333329E-2</v>
      </c>
      <c r="J40" s="23">
        <f t="shared" si="4"/>
        <v>8.3333333333333329E-2</v>
      </c>
      <c r="K40" s="23">
        <f t="shared" si="4"/>
        <v>8.3333333333333329E-2</v>
      </c>
      <c r="L40" s="23">
        <f t="shared" si="4"/>
        <v>8.3333333333333329E-2</v>
      </c>
      <c r="M40" s="196">
        <f>SUM(A40:L40)</f>
        <v>1</v>
      </c>
      <c r="N40" s="192"/>
      <c r="O40" s="192"/>
    </row>
    <row r="41" spans="1:15" ht="12.75" x14ac:dyDescent="0.2">
      <c r="A41" s="23">
        <f t="shared" ref="A41:L41" si="5">A39/$N39</f>
        <v>8.3333333333333329E-2</v>
      </c>
      <c r="B41" s="23">
        <f t="shared" si="5"/>
        <v>8.3333333333333329E-2</v>
      </c>
      <c r="C41" s="23">
        <f t="shared" si="5"/>
        <v>8.3333333333333329E-2</v>
      </c>
      <c r="D41" s="23">
        <f t="shared" si="5"/>
        <v>8.3333333333333329E-2</v>
      </c>
      <c r="E41" s="23">
        <f t="shared" si="5"/>
        <v>8.3333333333333329E-2</v>
      </c>
      <c r="F41" s="23">
        <f t="shared" si="5"/>
        <v>8.3333333333333329E-2</v>
      </c>
      <c r="G41" s="23">
        <f t="shared" si="5"/>
        <v>8.3333333333333329E-2</v>
      </c>
      <c r="H41" s="23">
        <f t="shared" si="5"/>
        <v>8.3333333333333329E-2</v>
      </c>
      <c r="I41" s="23">
        <f t="shared" si="5"/>
        <v>8.3333333333333329E-2</v>
      </c>
      <c r="J41" s="23">
        <f t="shared" si="5"/>
        <v>8.3333333333333329E-2</v>
      </c>
      <c r="K41" s="23">
        <f t="shared" si="5"/>
        <v>8.3333333333333329E-2</v>
      </c>
      <c r="L41" s="23">
        <f t="shared" si="5"/>
        <v>8.3333333333333329E-2</v>
      </c>
      <c r="M41" s="64">
        <f>SUM(A41:L41)</f>
        <v>1</v>
      </c>
    </row>
    <row r="42" spans="1:15" ht="12.75" x14ac:dyDescent="0.2">
      <c r="A42" s="72"/>
      <c r="B42" s="72"/>
      <c r="C42" s="72"/>
      <c r="D42" s="72"/>
      <c r="E42" s="72"/>
      <c r="F42" s="72"/>
      <c r="G42" s="72"/>
      <c r="H42" s="72"/>
      <c r="I42" s="72"/>
      <c r="J42" s="72"/>
      <c r="K42" s="72"/>
      <c r="L42" s="72"/>
      <c r="M42" s="72"/>
      <c r="N42" s="73"/>
      <c r="O42" s="73"/>
    </row>
    <row r="43" spans="1:15" ht="12.75" x14ac:dyDescent="0.2">
      <c r="A43" s="24"/>
      <c r="B43" s="24"/>
      <c r="C43" s="24"/>
      <c r="D43" s="24"/>
      <c r="E43" s="24"/>
      <c r="F43" s="24"/>
      <c r="G43" s="24"/>
      <c r="H43" s="24"/>
      <c r="I43" s="24"/>
      <c r="J43" s="24"/>
      <c r="K43" s="24"/>
      <c r="L43" s="24"/>
      <c r="O43" s="1"/>
    </row>
    <row r="44" spans="1:15" ht="12.75" x14ac:dyDescent="0.2">
      <c r="A44" s="23"/>
      <c r="B44" s="23"/>
      <c r="C44" s="23"/>
      <c r="D44" s="23"/>
      <c r="E44" s="23"/>
      <c r="F44" s="23"/>
      <c r="G44" s="23"/>
      <c r="H44" s="23"/>
      <c r="I44" s="23"/>
      <c r="J44" s="23"/>
      <c r="K44" s="23"/>
      <c r="L44" s="23"/>
      <c r="M44" s="64"/>
    </row>
    <row r="45" spans="1:15" ht="12.75" x14ac:dyDescent="0.2">
      <c r="A45" s="63"/>
      <c r="B45" s="63"/>
      <c r="C45" s="63"/>
      <c r="D45" s="63"/>
      <c r="E45" s="63"/>
      <c r="F45" s="63"/>
      <c r="G45" s="63"/>
      <c r="H45" s="63"/>
      <c r="I45" s="63"/>
      <c r="J45" s="63"/>
      <c r="K45" s="63"/>
      <c r="L45" s="63"/>
      <c r="M45" s="70"/>
    </row>
    <row r="46" spans="1:15" ht="12.75" x14ac:dyDescent="0.2">
      <c r="A46" s="192">
        <v>1</v>
      </c>
      <c r="B46" s="192">
        <v>2</v>
      </c>
      <c r="C46" s="192">
        <v>3</v>
      </c>
      <c r="D46" s="192">
        <v>4</v>
      </c>
      <c r="E46" s="192">
        <v>5</v>
      </c>
      <c r="F46" s="192">
        <v>6</v>
      </c>
      <c r="G46" s="192">
        <v>7</v>
      </c>
      <c r="H46" s="192">
        <v>8</v>
      </c>
      <c r="I46" s="192">
        <v>9</v>
      </c>
      <c r="J46" s="192">
        <v>10</v>
      </c>
      <c r="K46" s="192">
        <v>11</v>
      </c>
      <c r="L46" s="192">
        <v>12</v>
      </c>
      <c r="M46" s="192"/>
    </row>
    <row r="47" spans="1:15" ht="12.75" x14ac:dyDescent="0.2">
      <c r="A47" s="192">
        <f t="shared" ref="A47:L47" si="6">IF($I$11=0, 1,IF($I$11&gt;A46,A46/$I$11,1))</f>
        <v>0.5</v>
      </c>
      <c r="B47" s="192">
        <f t="shared" si="6"/>
        <v>1</v>
      </c>
      <c r="C47" s="192">
        <f t="shared" si="6"/>
        <v>1</v>
      </c>
      <c r="D47" s="192">
        <f t="shared" si="6"/>
        <v>1</v>
      </c>
      <c r="E47" s="192">
        <f t="shared" si="6"/>
        <v>1</v>
      </c>
      <c r="F47" s="192">
        <f t="shared" si="6"/>
        <v>1</v>
      </c>
      <c r="G47" s="192">
        <f t="shared" si="6"/>
        <v>1</v>
      </c>
      <c r="H47" s="192">
        <f t="shared" si="6"/>
        <v>1</v>
      </c>
      <c r="I47" s="192">
        <f t="shared" si="6"/>
        <v>1</v>
      </c>
      <c r="J47" s="192">
        <f t="shared" si="6"/>
        <v>1</v>
      </c>
      <c r="K47" s="192">
        <f t="shared" si="6"/>
        <v>1</v>
      </c>
      <c r="L47" s="192">
        <f t="shared" si="6"/>
        <v>1</v>
      </c>
      <c r="M47" s="192"/>
    </row>
    <row r="48" spans="1:15" ht="12.75" x14ac:dyDescent="0.2">
      <c r="A48" s="193">
        <f>A47*A38</f>
        <v>11150</v>
      </c>
      <c r="B48" s="193">
        <f t="shared" ref="B48:L48" si="7">B47*B38</f>
        <v>22300</v>
      </c>
      <c r="C48" s="193">
        <f t="shared" si="7"/>
        <v>22300</v>
      </c>
      <c r="D48" s="193">
        <f t="shared" si="7"/>
        <v>22300</v>
      </c>
      <c r="E48" s="193">
        <f t="shared" si="7"/>
        <v>22300</v>
      </c>
      <c r="F48" s="193">
        <f t="shared" si="7"/>
        <v>22300</v>
      </c>
      <c r="G48" s="193">
        <f t="shared" si="7"/>
        <v>22300</v>
      </c>
      <c r="H48" s="193">
        <f t="shared" si="7"/>
        <v>22300</v>
      </c>
      <c r="I48" s="193">
        <f t="shared" si="7"/>
        <v>22300</v>
      </c>
      <c r="J48" s="193">
        <f t="shared" si="7"/>
        <v>22300</v>
      </c>
      <c r="K48" s="193">
        <f t="shared" si="7"/>
        <v>22300</v>
      </c>
      <c r="L48" s="193">
        <f t="shared" si="7"/>
        <v>22300</v>
      </c>
      <c r="M48" s="194">
        <f>SUM(A48:L48)</f>
        <v>256450</v>
      </c>
    </row>
    <row r="49" spans="1:15" ht="12.75" x14ac:dyDescent="0.2">
      <c r="A49" s="193">
        <f>A47*A39</f>
        <v>2341.5</v>
      </c>
      <c r="B49" s="193">
        <f t="shared" ref="B49:L49" si="8">B47*B39</f>
        <v>4683</v>
      </c>
      <c r="C49" s="193">
        <f t="shared" si="8"/>
        <v>4683</v>
      </c>
      <c r="D49" s="193">
        <f t="shared" si="8"/>
        <v>4683</v>
      </c>
      <c r="E49" s="193">
        <f t="shared" si="8"/>
        <v>4683</v>
      </c>
      <c r="F49" s="193">
        <f t="shared" si="8"/>
        <v>4683</v>
      </c>
      <c r="G49" s="193">
        <f t="shared" si="8"/>
        <v>4683</v>
      </c>
      <c r="H49" s="193">
        <f t="shared" si="8"/>
        <v>4683</v>
      </c>
      <c r="I49" s="193">
        <f t="shared" si="8"/>
        <v>4683</v>
      </c>
      <c r="J49" s="193">
        <f t="shared" si="8"/>
        <v>4683</v>
      </c>
      <c r="K49" s="193">
        <f t="shared" si="8"/>
        <v>4683</v>
      </c>
      <c r="L49" s="193">
        <f t="shared" si="8"/>
        <v>4683</v>
      </c>
      <c r="M49" s="194">
        <f>SUM(A49:L49)</f>
        <v>53854.5</v>
      </c>
    </row>
    <row r="50" spans="1:15" s="73" customFormat="1" ht="12.75" x14ac:dyDescent="0.2">
      <c r="A50"/>
      <c r="B50"/>
      <c r="C50"/>
      <c r="D50"/>
      <c r="E50"/>
      <c r="F50"/>
      <c r="G50"/>
      <c r="H50"/>
      <c r="I50"/>
      <c r="J50"/>
      <c r="K50"/>
      <c r="L50"/>
      <c r="M50"/>
      <c r="N50"/>
      <c r="O50"/>
    </row>
    <row r="51" spans="1:15" ht="12.75" x14ac:dyDescent="0.2">
      <c r="A51" s="68">
        <f>A35</f>
        <v>43466</v>
      </c>
      <c r="B51" s="68">
        <f t="shared" ref="B51:L52" si="9">B35</f>
        <v>43497</v>
      </c>
      <c r="C51" s="68">
        <f t="shared" si="9"/>
        <v>43528</v>
      </c>
      <c r="D51" s="68">
        <f t="shared" si="9"/>
        <v>43559</v>
      </c>
      <c r="E51" s="68">
        <f t="shared" si="9"/>
        <v>43590</v>
      </c>
      <c r="F51" s="68">
        <f t="shared" si="9"/>
        <v>43621</v>
      </c>
      <c r="G51" s="68">
        <f t="shared" si="9"/>
        <v>43652</v>
      </c>
      <c r="H51" s="68">
        <f t="shared" si="9"/>
        <v>43683</v>
      </c>
      <c r="I51" s="68">
        <f t="shared" si="9"/>
        <v>43714</v>
      </c>
      <c r="J51" s="68">
        <f t="shared" si="9"/>
        <v>43745</v>
      </c>
      <c r="K51" s="68">
        <f t="shared" si="9"/>
        <v>43776</v>
      </c>
      <c r="L51" s="68">
        <f t="shared" si="9"/>
        <v>43807</v>
      </c>
      <c r="M51" s="192"/>
      <c r="N51" s="195"/>
      <c r="O51" s="195"/>
    </row>
    <row r="52" spans="1:15" ht="12.75" x14ac:dyDescent="0.2">
      <c r="A52" s="393">
        <f>A36</f>
        <v>1</v>
      </c>
      <c r="B52" s="393">
        <f t="shared" si="9"/>
        <v>1</v>
      </c>
      <c r="C52" s="393">
        <f t="shared" si="9"/>
        <v>1</v>
      </c>
      <c r="D52" s="393">
        <f t="shared" si="9"/>
        <v>1</v>
      </c>
      <c r="E52" s="393">
        <f t="shared" si="9"/>
        <v>1</v>
      </c>
      <c r="F52" s="393">
        <f t="shared" si="9"/>
        <v>1</v>
      </c>
      <c r="G52" s="393">
        <f t="shared" si="9"/>
        <v>1</v>
      </c>
      <c r="H52" s="393">
        <f t="shared" si="9"/>
        <v>1</v>
      </c>
      <c r="I52" s="393">
        <f t="shared" si="9"/>
        <v>1</v>
      </c>
      <c r="J52" s="393">
        <f t="shared" si="9"/>
        <v>1</v>
      </c>
      <c r="K52" s="393">
        <f t="shared" si="9"/>
        <v>1</v>
      </c>
      <c r="L52" s="393">
        <f t="shared" si="9"/>
        <v>1</v>
      </c>
      <c r="M52" s="192">
        <f>12-(COUNTIF(A52:L52,0))</f>
        <v>12</v>
      </c>
      <c r="N52" s="195"/>
      <c r="O52" s="195"/>
    </row>
    <row r="53" spans="1:15" ht="12.75" x14ac:dyDescent="0.2">
      <c r="A53" s="66">
        <f t="shared" ref="A53:L53" si="10">A54/$N54</f>
        <v>8.3333333333333329E-2</v>
      </c>
      <c r="B53" s="66">
        <f t="shared" si="10"/>
        <v>8.3333333333333329E-2</v>
      </c>
      <c r="C53" s="66">
        <f t="shared" si="10"/>
        <v>8.3333333333333329E-2</v>
      </c>
      <c r="D53" s="66">
        <f t="shared" si="10"/>
        <v>8.3333333333333329E-2</v>
      </c>
      <c r="E53" s="66">
        <f t="shared" si="10"/>
        <v>8.3333333333333329E-2</v>
      </c>
      <c r="F53" s="66">
        <f t="shared" si="10"/>
        <v>8.3333333333333329E-2</v>
      </c>
      <c r="G53" s="66">
        <f t="shared" si="10"/>
        <v>8.3333333333333329E-2</v>
      </c>
      <c r="H53" s="66">
        <f t="shared" si="10"/>
        <v>8.3333333333333329E-2</v>
      </c>
      <c r="I53" s="66">
        <f t="shared" si="10"/>
        <v>8.3333333333333329E-2</v>
      </c>
      <c r="J53" s="66">
        <f t="shared" si="10"/>
        <v>8.3333333333333329E-2</v>
      </c>
      <c r="K53" s="66">
        <f t="shared" si="10"/>
        <v>8.3333333333333329E-2</v>
      </c>
      <c r="L53" s="66">
        <f t="shared" si="10"/>
        <v>8.3333333333333329E-2</v>
      </c>
      <c r="M53" s="196">
        <f>SUM(A53:L53)</f>
        <v>1</v>
      </c>
      <c r="N53" s="192"/>
      <c r="O53" s="192"/>
    </row>
    <row r="54" spans="1:15" ht="12.75" x14ac:dyDescent="0.2">
      <c r="A54" s="67">
        <f>A$36*$O54</f>
        <v>25255</v>
      </c>
      <c r="B54" s="67">
        <f t="shared" ref="B54:L54" si="11">B52*$O54</f>
        <v>25255</v>
      </c>
      <c r="C54" s="67">
        <f t="shared" si="11"/>
        <v>25255</v>
      </c>
      <c r="D54" s="67">
        <f t="shared" si="11"/>
        <v>25255</v>
      </c>
      <c r="E54" s="67">
        <f t="shared" si="11"/>
        <v>25255</v>
      </c>
      <c r="F54" s="67">
        <f t="shared" si="11"/>
        <v>25255</v>
      </c>
      <c r="G54" s="67">
        <f t="shared" si="11"/>
        <v>25255</v>
      </c>
      <c r="H54" s="67">
        <f t="shared" si="11"/>
        <v>25255</v>
      </c>
      <c r="I54" s="67">
        <f t="shared" si="11"/>
        <v>25255</v>
      </c>
      <c r="J54" s="67">
        <f t="shared" si="11"/>
        <v>25255</v>
      </c>
      <c r="K54" s="67">
        <f t="shared" si="11"/>
        <v>25255</v>
      </c>
      <c r="L54" s="67">
        <f t="shared" si="11"/>
        <v>25255</v>
      </c>
      <c r="M54" s="194">
        <f>SUM(A54:L54)</f>
        <v>303060</v>
      </c>
      <c r="N54" s="194">
        <f>'1. Sales Forecast'!D62</f>
        <v>303060</v>
      </c>
      <c r="O54" s="194">
        <f>N54/(M$28+M$36)</f>
        <v>25255</v>
      </c>
    </row>
    <row r="55" spans="1:15" ht="12.75" x14ac:dyDescent="0.2">
      <c r="A55" s="67">
        <f>A$36*$O55</f>
        <v>5303.55</v>
      </c>
      <c r="B55" s="67">
        <f t="shared" ref="B55:L55" si="12">B$36*$O55</f>
        <v>5303.55</v>
      </c>
      <c r="C55" s="67">
        <f t="shared" si="12"/>
        <v>5303.55</v>
      </c>
      <c r="D55" s="67">
        <f t="shared" si="12"/>
        <v>5303.55</v>
      </c>
      <c r="E55" s="67">
        <f t="shared" si="12"/>
        <v>5303.55</v>
      </c>
      <c r="F55" s="67">
        <f t="shared" si="12"/>
        <v>5303.55</v>
      </c>
      <c r="G55" s="67">
        <f t="shared" si="12"/>
        <v>5303.55</v>
      </c>
      <c r="H55" s="67">
        <f t="shared" si="12"/>
        <v>5303.55</v>
      </c>
      <c r="I55" s="67">
        <f t="shared" si="12"/>
        <v>5303.55</v>
      </c>
      <c r="J55" s="67">
        <f t="shared" si="12"/>
        <v>5303.55</v>
      </c>
      <c r="K55" s="67">
        <f t="shared" si="12"/>
        <v>5303.55</v>
      </c>
      <c r="L55" s="67">
        <f t="shared" si="12"/>
        <v>5303.55</v>
      </c>
      <c r="M55" s="194">
        <f>SUM(A55:L55)</f>
        <v>63642.600000000013</v>
      </c>
      <c r="N55" s="194">
        <f>'1. Sales Forecast'!D74</f>
        <v>63642.6</v>
      </c>
      <c r="O55" s="194">
        <f>N55/(M$28+M$36)</f>
        <v>5303.55</v>
      </c>
    </row>
    <row r="56" spans="1:15" ht="12.75" x14ac:dyDescent="0.2">
      <c r="A56" s="23">
        <f t="shared" ref="A56:L57" si="13">A54/$N54</f>
        <v>8.3333333333333329E-2</v>
      </c>
      <c r="B56" s="23">
        <f t="shared" si="13"/>
        <v>8.3333333333333329E-2</v>
      </c>
      <c r="C56" s="23">
        <f t="shared" si="13"/>
        <v>8.3333333333333329E-2</v>
      </c>
      <c r="D56" s="23">
        <f t="shared" si="13"/>
        <v>8.3333333333333329E-2</v>
      </c>
      <c r="E56" s="23">
        <f t="shared" si="13"/>
        <v>8.3333333333333329E-2</v>
      </c>
      <c r="F56" s="23">
        <f t="shared" si="13"/>
        <v>8.3333333333333329E-2</v>
      </c>
      <c r="G56" s="23">
        <f t="shared" si="13"/>
        <v>8.3333333333333329E-2</v>
      </c>
      <c r="H56" s="23">
        <f t="shared" si="13"/>
        <v>8.3333333333333329E-2</v>
      </c>
      <c r="I56" s="23">
        <f t="shared" si="13"/>
        <v>8.3333333333333329E-2</v>
      </c>
      <c r="J56" s="23">
        <f t="shared" si="13"/>
        <v>8.3333333333333329E-2</v>
      </c>
      <c r="K56" s="23">
        <f t="shared" si="13"/>
        <v>8.3333333333333329E-2</v>
      </c>
      <c r="L56" s="23">
        <f t="shared" si="13"/>
        <v>8.3333333333333329E-2</v>
      </c>
      <c r="M56" s="196">
        <f>SUM(A56:L56)</f>
        <v>1</v>
      </c>
      <c r="N56" s="192"/>
      <c r="O56" s="192"/>
    </row>
    <row r="57" spans="1:15" ht="12.75" x14ac:dyDescent="0.2">
      <c r="A57" s="23">
        <f t="shared" si="13"/>
        <v>8.3333333333333343E-2</v>
      </c>
      <c r="B57" s="23">
        <f t="shared" si="13"/>
        <v>8.3333333333333343E-2</v>
      </c>
      <c r="C57" s="23">
        <f t="shared" si="13"/>
        <v>8.3333333333333343E-2</v>
      </c>
      <c r="D57" s="23">
        <f t="shared" si="13"/>
        <v>8.3333333333333343E-2</v>
      </c>
      <c r="E57" s="23">
        <f t="shared" si="13"/>
        <v>8.3333333333333343E-2</v>
      </c>
      <c r="F57" s="23">
        <f t="shared" si="13"/>
        <v>8.3333333333333343E-2</v>
      </c>
      <c r="G57" s="23">
        <f t="shared" si="13"/>
        <v>8.3333333333333343E-2</v>
      </c>
      <c r="H57" s="23">
        <f t="shared" si="13"/>
        <v>8.3333333333333343E-2</v>
      </c>
      <c r="I57" s="23">
        <f t="shared" si="13"/>
        <v>8.3333333333333343E-2</v>
      </c>
      <c r="J57" s="23">
        <f t="shared" si="13"/>
        <v>8.3333333333333343E-2</v>
      </c>
      <c r="K57" s="23">
        <f t="shared" si="13"/>
        <v>8.3333333333333343E-2</v>
      </c>
      <c r="L57" s="23">
        <f t="shared" si="13"/>
        <v>8.3333333333333343E-2</v>
      </c>
      <c r="M57" s="64">
        <f>SUM(A57:L57)</f>
        <v>1.0000000000000002</v>
      </c>
    </row>
    <row r="58" spans="1:15" ht="12.75" customHeight="1" x14ac:dyDescent="0.2">
      <c r="A58" s="72"/>
      <c r="B58" s="72"/>
      <c r="C58" s="72"/>
      <c r="D58" s="72"/>
      <c r="E58" s="72"/>
      <c r="F58" s="72"/>
      <c r="G58" s="72"/>
      <c r="H58" s="72"/>
      <c r="I58" s="72"/>
      <c r="J58" s="72"/>
      <c r="K58" s="72"/>
      <c r="L58" s="72"/>
      <c r="M58" s="72"/>
      <c r="N58" s="73"/>
      <c r="O58" s="73"/>
    </row>
    <row r="59" spans="1:15" ht="12.75" customHeight="1" x14ac:dyDescent="0.2">
      <c r="A59" s="24"/>
      <c r="B59" s="24"/>
      <c r="C59" s="24"/>
      <c r="D59" s="24"/>
      <c r="E59" s="24"/>
      <c r="F59" s="24"/>
      <c r="G59" s="24"/>
      <c r="H59" s="24"/>
      <c r="I59" s="24"/>
      <c r="J59" s="24"/>
      <c r="K59" s="24"/>
      <c r="L59" s="24"/>
      <c r="O59" s="1"/>
    </row>
    <row r="60" spans="1:15" ht="12.75" customHeight="1" x14ac:dyDescent="0.2">
      <c r="A60" s="23"/>
      <c r="B60" s="23"/>
      <c r="C60" s="23"/>
      <c r="D60" s="23"/>
      <c r="E60" s="23"/>
      <c r="F60" s="23"/>
      <c r="G60" s="23"/>
      <c r="H60" s="23"/>
      <c r="I60" s="23"/>
      <c r="J60" s="23"/>
      <c r="K60" s="23"/>
      <c r="L60" s="23"/>
      <c r="M60" s="64"/>
    </row>
    <row r="61" spans="1:15" ht="12.75" customHeight="1" x14ac:dyDescent="0.2">
      <c r="A61" s="63"/>
      <c r="B61" s="63"/>
      <c r="C61" s="63"/>
      <c r="D61" s="63"/>
      <c r="E61" s="63"/>
      <c r="F61" s="63"/>
      <c r="G61" s="63"/>
      <c r="H61" s="63"/>
      <c r="I61" s="63"/>
      <c r="J61" s="63"/>
      <c r="K61" s="63"/>
      <c r="L61" s="63"/>
      <c r="M61" s="70"/>
    </row>
    <row r="62" spans="1:15" ht="12.75" customHeight="1" x14ac:dyDescent="0.2">
      <c r="A62" s="192">
        <v>1</v>
      </c>
      <c r="B62" s="192">
        <v>2</v>
      </c>
      <c r="C62" s="192">
        <v>3</v>
      </c>
      <c r="D62" s="192">
        <v>4</v>
      </c>
      <c r="E62" s="192">
        <v>5</v>
      </c>
      <c r="F62" s="192">
        <v>6</v>
      </c>
      <c r="G62" s="192">
        <v>7</v>
      </c>
      <c r="H62" s="192">
        <v>8</v>
      </c>
      <c r="I62" s="192">
        <v>9</v>
      </c>
      <c r="J62" s="192">
        <v>10</v>
      </c>
      <c r="K62" s="192">
        <v>11</v>
      </c>
      <c r="L62" s="192">
        <v>12</v>
      </c>
      <c r="M62" s="192"/>
    </row>
    <row r="63" spans="1:15" ht="12.75" customHeight="1" x14ac:dyDescent="0.2">
      <c r="A63" s="192">
        <f t="shared" ref="A63:L63" si="14">IF($I$11=0, 1,IF($I$11&gt;A62,A62/$I$11,1))</f>
        <v>0.5</v>
      </c>
      <c r="B63" s="192">
        <f t="shared" si="14"/>
        <v>1</v>
      </c>
      <c r="C63" s="192">
        <f t="shared" si="14"/>
        <v>1</v>
      </c>
      <c r="D63" s="192">
        <f t="shared" si="14"/>
        <v>1</v>
      </c>
      <c r="E63" s="192">
        <f t="shared" si="14"/>
        <v>1</v>
      </c>
      <c r="F63" s="192">
        <f t="shared" si="14"/>
        <v>1</v>
      </c>
      <c r="G63" s="192">
        <f t="shared" si="14"/>
        <v>1</v>
      </c>
      <c r="H63" s="192">
        <f t="shared" si="14"/>
        <v>1</v>
      </c>
      <c r="I63" s="192">
        <f t="shared" si="14"/>
        <v>1</v>
      </c>
      <c r="J63" s="192">
        <f t="shared" si="14"/>
        <v>1</v>
      </c>
      <c r="K63" s="192">
        <f t="shared" si="14"/>
        <v>1</v>
      </c>
      <c r="L63" s="192">
        <f t="shared" si="14"/>
        <v>1</v>
      </c>
      <c r="M63" s="192"/>
    </row>
    <row r="64" spans="1:15" ht="12.75" customHeight="1" x14ac:dyDescent="0.2">
      <c r="A64" s="193">
        <f>A63*A54</f>
        <v>12627.5</v>
      </c>
      <c r="B64" s="193">
        <f t="shared" ref="B64:L64" si="15">B63*B54</f>
        <v>25255</v>
      </c>
      <c r="C64" s="193">
        <f t="shared" si="15"/>
        <v>25255</v>
      </c>
      <c r="D64" s="193">
        <f t="shared" si="15"/>
        <v>25255</v>
      </c>
      <c r="E64" s="193">
        <f t="shared" si="15"/>
        <v>25255</v>
      </c>
      <c r="F64" s="193">
        <f t="shared" si="15"/>
        <v>25255</v>
      </c>
      <c r="G64" s="193">
        <f t="shared" si="15"/>
        <v>25255</v>
      </c>
      <c r="H64" s="193">
        <f t="shared" si="15"/>
        <v>25255</v>
      </c>
      <c r="I64" s="193">
        <f t="shared" si="15"/>
        <v>25255</v>
      </c>
      <c r="J64" s="193">
        <f t="shared" si="15"/>
        <v>25255</v>
      </c>
      <c r="K64" s="193">
        <f t="shared" si="15"/>
        <v>25255</v>
      </c>
      <c r="L64" s="193">
        <f t="shared" si="15"/>
        <v>25255</v>
      </c>
      <c r="M64" s="194">
        <f>SUM(A64:L64)</f>
        <v>290432.5</v>
      </c>
    </row>
    <row r="65" spans="1:13" ht="12" customHeight="1" x14ac:dyDescent="0.2">
      <c r="A65" s="193">
        <f>A63*A55</f>
        <v>2651.7750000000001</v>
      </c>
      <c r="B65" s="193">
        <f t="shared" ref="B65:L65" si="16">B63*B55</f>
        <v>5303.55</v>
      </c>
      <c r="C65" s="193">
        <f t="shared" si="16"/>
        <v>5303.55</v>
      </c>
      <c r="D65" s="193">
        <f t="shared" si="16"/>
        <v>5303.55</v>
      </c>
      <c r="E65" s="193">
        <f t="shared" si="16"/>
        <v>5303.55</v>
      </c>
      <c r="F65" s="193">
        <f t="shared" si="16"/>
        <v>5303.55</v>
      </c>
      <c r="G65" s="193">
        <f t="shared" si="16"/>
        <v>5303.55</v>
      </c>
      <c r="H65" s="193">
        <f t="shared" si="16"/>
        <v>5303.55</v>
      </c>
      <c r="I65" s="193">
        <f t="shared" si="16"/>
        <v>5303.55</v>
      </c>
      <c r="J65" s="193">
        <f t="shared" si="16"/>
        <v>5303.55</v>
      </c>
      <c r="K65" s="193">
        <f t="shared" si="16"/>
        <v>5303.55</v>
      </c>
      <c r="L65" s="193">
        <f t="shared" si="16"/>
        <v>5303.55</v>
      </c>
      <c r="M65" s="194">
        <f>SUM(A65:L65)</f>
        <v>60990.825000000012</v>
      </c>
    </row>
    <row r="67" spans="1:13" ht="12" customHeight="1" x14ac:dyDescent="0.2">
      <c r="A67" s="204"/>
      <c r="B67" s="204"/>
      <c r="C67" s="204"/>
      <c r="D67" s="204"/>
      <c r="E67" s="204"/>
      <c r="F67" s="204"/>
      <c r="G67" s="204"/>
      <c r="H67" s="204"/>
      <c r="I67" s="204"/>
      <c r="J67" s="204"/>
      <c r="K67" s="204"/>
      <c r="L67" s="204"/>
    </row>
  </sheetData>
  <mergeCells count="1">
    <mergeCell ref="A13:L13"/>
  </mergeCells>
  <phoneticPr fontId="10" type="noConversion"/>
  <conditionalFormatting sqref="M37">
    <cfRule type="cellIs" dxfId="51" priority="2" stopIfTrue="1" operator="notEqual">
      <formula>1</formula>
    </cfRule>
  </conditionalFormatting>
  <conditionalFormatting sqref="M53">
    <cfRule type="cellIs" dxfId="50" priority="1" stopIfTrue="1" operator="notEqual">
      <formula>1</formula>
    </cfRule>
  </conditionalFormatting>
  <pageMargins left="0.24" right="0.24" top="0.42" bottom="0.22" header="0.17" footer="0.17"/>
  <pageSetup scale="99" orientation="portrait" r:id="rId1"/>
  <headerFooter alignWithMargins="0">
    <oddHeader>&amp;LTab 6: Sales Seasonailty Assumptions&amp;CRapid Business Plan</oddHeader>
    <oddFooter>&amp;L&amp;D&amp;CHeartland Information Research, Inc&amp;R7 of 9</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 r:id="rId4" name="Button 1">
              <controlPr defaultSize="0" print="0" autoFill="0" autoPict="0" macro="[0]!printassumptions">
                <anchor>
                  <from>
                    <xdr:col>9</xdr:col>
                    <xdr:colOff>457200</xdr:colOff>
                    <xdr:row>0</xdr:row>
                    <xdr:rowOff>57150</xdr:rowOff>
                  </from>
                  <to>
                    <xdr:col>11</xdr:col>
                    <xdr:colOff>257175</xdr:colOff>
                    <xdr:row>3</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G38"/>
  <sheetViews>
    <sheetView showGridLines="0" topLeftCell="A10" zoomScaleNormal="100" workbookViewId="0">
      <selection activeCell="A31" sqref="A31"/>
    </sheetView>
  </sheetViews>
  <sheetFormatPr defaultColWidth="0" defaultRowHeight="12.75" customHeight="1" zeroHeight="1" x14ac:dyDescent="0.2"/>
  <cols>
    <col min="1" max="1" width="24.140625" customWidth="1"/>
    <col min="2" max="2" width="10.5703125" customWidth="1"/>
    <col min="3" max="3" width="11.28515625" customWidth="1"/>
    <col min="4" max="4" width="12.140625" customWidth="1"/>
    <col min="5" max="5" width="11.28515625" customWidth="1"/>
    <col min="6" max="6" width="11" customWidth="1"/>
    <col min="7" max="7" width="12.7109375" customWidth="1"/>
    <col min="8" max="16384" width="18.7109375" hidden="1"/>
  </cols>
  <sheetData>
    <row r="1" spans="1:7" x14ac:dyDescent="0.2">
      <c r="A1" s="723" t="str">
        <f>'0. Basic Info'!D11</f>
        <v>My Business</v>
      </c>
      <c r="B1" s="723"/>
      <c r="C1" s="723"/>
    </row>
    <row r="2" spans="1:7" x14ac:dyDescent="0.2"/>
    <row r="3" spans="1:7" x14ac:dyDescent="0.2">
      <c r="A3" s="2" t="s">
        <v>48</v>
      </c>
      <c r="B3" s="23"/>
      <c r="C3" s="24"/>
      <c r="D3" s="24"/>
      <c r="E3" s="24"/>
      <c r="F3" s="24"/>
      <c r="G3" s="24"/>
    </row>
    <row r="4" spans="1:7" x14ac:dyDescent="0.2">
      <c r="B4" s="23"/>
      <c r="C4" s="24"/>
      <c r="D4" s="24"/>
      <c r="E4" s="24"/>
      <c r="F4" s="24"/>
      <c r="G4" s="24"/>
    </row>
    <row r="5" spans="1:7" x14ac:dyDescent="0.2">
      <c r="A5" s="78" t="s">
        <v>84</v>
      </c>
      <c r="B5" s="428"/>
      <c r="C5" s="133" t="s">
        <v>10</v>
      </c>
      <c r="D5" s="43" t="s">
        <v>283</v>
      </c>
      <c r="E5" s="43" t="s">
        <v>284</v>
      </c>
      <c r="F5" s="24"/>
      <c r="G5" s="24"/>
    </row>
    <row r="6" spans="1:7" x14ac:dyDescent="0.2">
      <c r="A6" s="139" t="s">
        <v>16</v>
      </c>
      <c r="B6" s="282"/>
      <c r="C6" s="262">
        <f>'3. Startup Costs'!F3</f>
        <v>3350</v>
      </c>
      <c r="D6" s="262">
        <f>'3. Startup Costs'!G3</f>
        <v>350</v>
      </c>
      <c r="E6" s="262">
        <f>C6-D6</f>
        <v>3000</v>
      </c>
      <c r="F6" s="24"/>
      <c r="G6" s="24"/>
    </row>
    <row r="7" spans="1:7" x14ac:dyDescent="0.2">
      <c r="A7" s="139" t="s">
        <v>29</v>
      </c>
      <c r="B7" s="432"/>
      <c r="C7" s="433">
        <f>'4. Equipment &amp; Vehicle Costs'!F4</f>
        <v>6785</v>
      </c>
      <c r="D7" s="433">
        <f>'4. Equipment &amp; Vehicle Costs'!G4</f>
        <v>4785</v>
      </c>
      <c r="E7" s="433">
        <f t="shared" ref="E7:E11" si="0">C7-D7</f>
        <v>2000</v>
      </c>
      <c r="F7" s="24"/>
      <c r="G7" s="24"/>
    </row>
    <row r="8" spans="1:7" x14ac:dyDescent="0.2">
      <c r="A8" s="139" t="s">
        <v>17</v>
      </c>
      <c r="B8" s="432"/>
      <c r="C8" s="433">
        <f>'5. Facility Costs'!F4</f>
        <v>6306</v>
      </c>
      <c r="D8" s="433">
        <v>0</v>
      </c>
      <c r="E8" s="433">
        <v>0</v>
      </c>
      <c r="F8" s="24"/>
      <c r="G8" s="24"/>
    </row>
    <row r="9" spans="1:7" x14ac:dyDescent="0.2">
      <c r="A9" s="138" t="s">
        <v>380</v>
      </c>
      <c r="B9" s="580"/>
      <c r="C9" s="633">
        <v>2500</v>
      </c>
      <c r="D9" s="433">
        <f>C9</f>
        <v>2500</v>
      </c>
      <c r="E9" s="581"/>
      <c r="F9" s="24"/>
      <c r="G9" s="24"/>
    </row>
    <row r="10" spans="1:7" ht="13.5" thickBot="1" x14ac:dyDescent="0.25">
      <c r="A10" s="140" t="s">
        <v>286</v>
      </c>
      <c r="B10" s="434">
        <v>3</v>
      </c>
      <c r="C10" s="435">
        <f>IF(B10=0,0,('8. P&amp;L and Cashflow'!P53/12*B10)-('8. P&amp;L and Cashflow'!P51/12))</f>
        <v>49489.23522321428</v>
      </c>
      <c r="D10" s="435"/>
      <c r="E10" s="435">
        <f t="shared" si="0"/>
        <v>49489.23522321428</v>
      </c>
      <c r="F10" s="24"/>
      <c r="G10" s="24"/>
    </row>
    <row r="11" spans="1:7" x14ac:dyDescent="0.2">
      <c r="A11" s="174" t="s">
        <v>20</v>
      </c>
      <c r="B11" s="436"/>
      <c r="C11" s="437">
        <f>ROUND(SUM(C6:C10),0)</f>
        <v>68430</v>
      </c>
      <c r="D11" s="437">
        <f>ROUND(SUM(D6:D10),0)</f>
        <v>7635</v>
      </c>
      <c r="E11" s="437">
        <f t="shared" si="0"/>
        <v>60795</v>
      </c>
      <c r="F11" s="24"/>
      <c r="G11" s="24"/>
    </row>
    <row r="12" spans="1:7" x14ac:dyDescent="0.2">
      <c r="A12" s="9"/>
      <c r="B12" s="23"/>
      <c r="C12" s="31"/>
      <c r="D12" s="24"/>
      <c r="E12" s="24"/>
      <c r="F12" s="24"/>
      <c r="G12" s="24"/>
    </row>
    <row r="13" spans="1:7" x14ac:dyDescent="0.2">
      <c r="A13" s="77" t="s">
        <v>21</v>
      </c>
      <c r="B13" s="430" t="s">
        <v>22</v>
      </c>
      <c r="C13" s="431" t="s">
        <v>23</v>
      </c>
      <c r="D13" s="133"/>
      <c r="E13" s="9"/>
      <c r="F13" s="32"/>
      <c r="G13" s="32"/>
    </row>
    <row r="14" spans="1:7" x14ac:dyDescent="0.2">
      <c r="A14" s="138" t="s">
        <v>37</v>
      </c>
      <c r="B14" s="438">
        <f>C14/C$24</f>
        <v>1.0220072221843702E-2</v>
      </c>
      <c r="C14" s="439">
        <v>750</v>
      </c>
      <c r="D14" s="24"/>
      <c r="E14" s="24"/>
      <c r="F14" s="24"/>
      <c r="G14" s="24"/>
    </row>
    <row r="15" spans="1:7" x14ac:dyDescent="0.2">
      <c r="A15" s="138" t="s">
        <v>30</v>
      </c>
      <c r="B15" s="438">
        <f t="shared" ref="B15:B23" si="1">C15/C$24</f>
        <v>0.13626762962458269</v>
      </c>
      <c r="C15" s="439">
        <v>10000</v>
      </c>
      <c r="E15" s="24"/>
      <c r="F15" s="24"/>
      <c r="G15" s="24"/>
    </row>
    <row r="16" spans="1:7" x14ac:dyDescent="0.2">
      <c r="A16" s="138" t="s">
        <v>31</v>
      </c>
      <c r="B16" s="438">
        <f t="shared" si="1"/>
        <v>0.10404033521836888</v>
      </c>
      <c r="C16" s="440">
        <f>D11</f>
        <v>7635</v>
      </c>
      <c r="D16" s="24"/>
      <c r="E16" s="24"/>
      <c r="F16" s="136" t="s">
        <v>38</v>
      </c>
      <c r="G16" s="134" t="s">
        <v>38</v>
      </c>
    </row>
    <row r="17" spans="1:7" x14ac:dyDescent="0.2">
      <c r="A17" s="138" t="s">
        <v>282</v>
      </c>
      <c r="B17" s="438">
        <f t="shared" si="1"/>
        <v>0</v>
      </c>
      <c r="C17" s="439">
        <v>0</v>
      </c>
      <c r="D17" s="133" t="s">
        <v>24</v>
      </c>
      <c r="E17" s="61" t="s">
        <v>25</v>
      </c>
      <c r="F17" s="137" t="s">
        <v>53</v>
      </c>
      <c r="G17" s="135" t="s">
        <v>3</v>
      </c>
    </row>
    <row r="18" spans="1:7" hidden="1" x14ac:dyDescent="0.2">
      <c r="A18" s="138"/>
      <c r="B18" s="438"/>
      <c r="C18" s="440"/>
      <c r="D18" s="430"/>
      <c r="E18" s="214"/>
      <c r="F18" s="214"/>
      <c r="G18" s="214"/>
    </row>
    <row r="19" spans="1:7" x14ac:dyDescent="0.2">
      <c r="A19" s="138" t="s">
        <v>289</v>
      </c>
      <c r="B19" s="438">
        <f t="shared" si="1"/>
        <v>0.34066907406145669</v>
      </c>
      <c r="C19" s="439">
        <v>25000</v>
      </c>
      <c r="D19" s="441">
        <v>0.15</v>
      </c>
      <c r="E19" s="214" t="s">
        <v>118</v>
      </c>
      <c r="F19" s="214" t="s">
        <v>118</v>
      </c>
      <c r="G19" s="214" t="s">
        <v>118</v>
      </c>
    </row>
    <row r="20" spans="1:7" hidden="1" x14ac:dyDescent="0.2">
      <c r="A20" s="138"/>
      <c r="B20" s="438"/>
      <c r="C20" s="439"/>
      <c r="D20" s="441"/>
      <c r="E20" s="214"/>
      <c r="F20" s="214"/>
      <c r="G20" s="214"/>
    </row>
    <row r="21" spans="1:7" hidden="1" x14ac:dyDescent="0.2">
      <c r="A21" s="138"/>
      <c r="B21" s="438"/>
      <c r="C21" s="439"/>
      <c r="D21" s="441"/>
      <c r="E21" s="214"/>
      <c r="F21" s="214"/>
      <c r="G21" s="214"/>
    </row>
    <row r="22" spans="1:7" x14ac:dyDescent="0.2">
      <c r="A22" s="442" t="s">
        <v>290</v>
      </c>
      <c r="B22" s="438">
        <f t="shared" si="1"/>
        <v>0.27253525924916538</v>
      </c>
      <c r="C22" s="439">
        <v>20000</v>
      </c>
      <c r="D22" s="441">
        <v>6.5000000000000002E-2</v>
      </c>
      <c r="E22" s="443">
        <v>3</v>
      </c>
      <c r="F22" s="69">
        <f>PMT(D22/12,E22*12,C22)*-1</f>
        <v>612.98005753019572</v>
      </c>
      <c r="G22" s="69">
        <f>IPMT(D22/12,1,E22*12,C22)*-1</f>
        <v>108.33333333333334</v>
      </c>
    </row>
    <row r="23" spans="1:7" ht="13.5" thickBot="1" x14ac:dyDescent="0.25">
      <c r="A23" s="570" t="s">
        <v>291</v>
      </c>
      <c r="B23" s="571">
        <f t="shared" si="1"/>
        <v>0.13626762962458269</v>
      </c>
      <c r="C23" s="572">
        <v>10000</v>
      </c>
      <c r="D23" s="441">
        <v>0.05</v>
      </c>
      <c r="E23" s="443">
        <v>10</v>
      </c>
      <c r="F23" s="69">
        <f>PMT(D23/12,E23*12,C23)*-1</f>
        <v>106.06551523907524</v>
      </c>
      <c r="G23" s="69">
        <f>IPMT(D23/12,1,E23*12,C23)*-1</f>
        <v>41.666666666666664</v>
      </c>
    </row>
    <row r="24" spans="1:7" x14ac:dyDescent="0.2">
      <c r="A24" s="726" t="s">
        <v>362</v>
      </c>
      <c r="B24" s="727"/>
      <c r="C24" s="575">
        <f>ROUND(SUM(C14:C23),0)</f>
        <v>73385</v>
      </c>
      <c r="D24" s="24"/>
      <c r="E24" s="24"/>
      <c r="F24" s="24"/>
      <c r="G24" s="24"/>
    </row>
    <row r="25" spans="1:7" ht="13.5" thickBot="1" x14ac:dyDescent="0.25">
      <c r="A25" s="724" t="s">
        <v>363</v>
      </c>
      <c r="B25" s="725"/>
      <c r="C25" s="576">
        <f>C11</f>
        <v>68430</v>
      </c>
      <c r="D25" s="24"/>
      <c r="E25" s="648"/>
      <c r="F25" s="648"/>
      <c r="G25" s="648"/>
    </row>
    <row r="26" spans="1:7" ht="13.5" thickBot="1" x14ac:dyDescent="0.25">
      <c r="A26" s="577"/>
      <c r="B26" s="578" t="str">
        <f>IF(C26&lt;0,"Additional Funding Required","Surplus of Total Funding")</f>
        <v>Surplus of Total Funding</v>
      </c>
      <c r="C26" s="579">
        <f>C24-C25</f>
        <v>4955</v>
      </c>
      <c r="D26" s="429"/>
      <c r="E26" s="728" t="s">
        <v>366</v>
      </c>
      <c r="F26" s="728"/>
      <c r="G26" s="728"/>
    </row>
    <row r="27" spans="1:7" x14ac:dyDescent="0.2">
      <c r="A27" s="37"/>
      <c r="B27" s="573" t="s">
        <v>292</v>
      </c>
      <c r="C27" s="574">
        <f>E27</f>
        <v>40750</v>
      </c>
      <c r="D27" s="569"/>
      <c r="E27" s="649">
        <f>C14+C15+C17+C22+C23</f>
        <v>40750</v>
      </c>
      <c r="F27" s="650" t="s">
        <v>364</v>
      </c>
      <c r="G27" s="651"/>
    </row>
    <row r="28" spans="1:7" x14ac:dyDescent="0.2">
      <c r="A28" s="9"/>
      <c r="B28" s="568"/>
      <c r="C28" s="569"/>
      <c r="D28" s="569"/>
      <c r="E28" s="652">
        <f>SUM(E6:E8)</f>
        <v>5000</v>
      </c>
      <c r="F28" s="653" t="s">
        <v>365</v>
      </c>
      <c r="G28" s="654"/>
    </row>
    <row r="29" spans="1:7" ht="13.5" thickBot="1" x14ac:dyDescent="0.25">
      <c r="C29" s="14"/>
      <c r="D29" s="56"/>
      <c r="E29" s="655">
        <f>E27-E28</f>
        <v>35750</v>
      </c>
      <c r="F29" s="656" t="s">
        <v>292</v>
      </c>
      <c r="G29" s="657"/>
    </row>
    <row r="30" spans="1:7" ht="13.5" thickBot="1" x14ac:dyDescent="0.25">
      <c r="A30" s="285" t="s">
        <v>381</v>
      </c>
      <c r="B30" s="22">
        <f>'0. Basic Info'!D16</f>
        <v>2019</v>
      </c>
      <c r="C30" s="103"/>
      <c r="D30" s="90"/>
      <c r="E30" s="273" t="s">
        <v>367</v>
      </c>
      <c r="F30" s="273"/>
      <c r="G30" s="273"/>
    </row>
    <row r="31" spans="1:7" x14ac:dyDescent="0.2">
      <c r="A31" s="75" t="s">
        <v>81</v>
      </c>
      <c r="B31" s="76">
        <f>'8. P&amp;L and Cashflow'!P68+'8. P&amp;L and Cashflow'!P70</f>
        <v>2500</v>
      </c>
      <c r="C31" s="632" t="str">
        <f>IF(B31&gt;(C19+C18),"More than New Line or CC Limit in Line 19 above","")</f>
        <v/>
      </c>
      <c r="D31" s="102"/>
      <c r="E31" s="273" t="s">
        <v>369</v>
      </c>
      <c r="F31" s="273"/>
      <c r="G31" s="273"/>
    </row>
    <row r="32" spans="1:7" x14ac:dyDescent="0.2">
      <c r="A32" s="74" t="s">
        <v>82</v>
      </c>
      <c r="B32" s="5">
        <f>'8. P&amp;L and Cashflow'!P74+'8. P&amp;L and Cashflow'!P75</f>
        <v>2500</v>
      </c>
      <c r="C32" s="101"/>
      <c r="D32" s="102"/>
      <c r="E32" s="273" t="s">
        <v>368</v>
      </c>
      <c r="F32" s="273"/>
      <c r="G32" s="273"/>
    </row>
    <row r="33" spans="1:4" x14ac:dyDescent="0.2">
      <c r="A33" s="3" t="s">
        <v>83</v>
      </c>
      <c r="B33" s="5">
        <f>'8. P&amp;L and Cashflow'!C75</f>
        <v>0</v>
      </c>
      <c r="C33" s="101"/>
      <c r="D33" s="102"/>
    </row>
    <row r="34" spans="1:4" ht="12.75" hidden="1" customHeight="1" x14ac:dyDescent="0.2"/>
    <row r="35" spans="1:4" ht="12.75" hidden="1" customHeight="1" x14ac:dyDescent="0.2"/>
    <row r="36" spans="1:4" ht="12.75" hidden="1" customHeight="1" x14ac:dyDescent="0.2"/>
    <row r="37" spans="1:4" ht="12.75" hidden="1" customHeight="1" x14ac:dyDescent="0.2"/>
    <row r="38" spans="1:4" ht="12.75" hidden="1" customHeight="1" x14ac:dyDescent="0.2"/>
  </sheetData>
  <mergeCells count="4">
    <mergeCell ref="A1:C1"/>
    <mergeCell ref="A25:B25"/>
    <mergeCell ref="A24:B24"/>
    <mergeCell ref="E26:G26"/>
  </mergeCells>
  <phoneticPr fontId="10" type="noConversion"/>
  <conditionalFormatting sqref="C28">
    <cfRule type="expression" dxfId="49" priority="1">
      <formula>$C$27&lt;0</formula>
    </cfRule>
    <cfRule type="cellIs" dxfId="48" priority="2" operator="equal">
      <formula>0</formula>
    </cfRule>
  </conditionalFormatting>
  <printOptions horizontalCentered="1"/>
  <pageMargins left="0.28000000000000003" right="0.32" top="0.48" bottom="0.75" header="0.3" footer="0.3"/>
  <pageSetup orientation="portrait" r:id="rId1"/>
  <headerFooter>
    <oddHeader>&amp;LTab 7: Funding Plan&amp;CRapid Business Plan</oddHeader>
    <oddFooter>&amp;L&amp;D&amp;CHeartland Information Research, Inc&amp;R8 of 9</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5" r:id="rId4" name="Button 3">
              <controlPr defaultSize="0" print="0" autoFill="0" autoPict="0" macro="[0]!printequip">
                <anchor>
                  <from>
                    <xdr:col>5</xdr:col>
                    <xdr:colOff>38100</xdr:colOff>
                    <xdr:row>1</xdr:row>
                    <xdr:rowOff>104775</xdr:rowOff>
                  </from>
                  <to>
                    <xdr:col>6</xdr:col>
                    <xdr:colOff>285750</xdr:colOff>
                    <xdr:row>3</xdr:row>
                    <xdr:rowOff>95250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pageSetUpPr fitToPage="1"/>
  </sheetPr>
  <dimension ref="A1:AF80"/>
  <sheetViews>
    <sheetView showGridLines="0" zoomScale="130" zoomScaleNormal="130" workbookViewId="0">
      <pane xSplit="2" ySplit="6" topLeftCell="C7" activePane="bottomRight" state="frozenSplit"/>
      <selection activeCell="A37" sqref="A37"/>
      <selection pane="topRight" activeCell="A37" sqref="A37"/>
      <selection pane="bottomLeft" activeCell="A37" sqref="A37"/>
      <selection pane="bottomRight" activeCell="C7" sqref="C7"/>
    </sheetView>
  </sheetViews>
  <sheetFormatPr defaultColWidth="18.7109375" defaultRowHeight="12" customHeight="1" x14ac:dyDescent="0.2"/>
  <cols>
    <col min="1" max="1" width="5.7109375" customWidth="1"/>
    <col min="2" max="2" width="20.140625" customWidth="1"/>
    <col min="3" max="3" width="11.42578125" customWidth="1"/>
    <col min="4" max="15" width="10.28515625" customWidth="1"/>
    <col min="16" max="32" width="10.7109375" customWidth="1"/>
  </cols>
  <sheetData>
    <row r="1" spans="1:32" ht="12.75" customHeight="1" x14ac:dyDescent="0.2">
      <c r="A1" s="729" t="str">
        <f>'0. Basic Info'!D11</f>
        <v>My Business</v>
      </c>
      <c r="B1" s="729"/>
      <c r="AC1" s="208"/>
      <c r="AD1" s="208"/>
      <c r="AE1" s="208"/>
      <c r="AF1" s="208"/>
    </row>
    <row r="2" spans="1:32" ht="12.75" x14ac:dyDescent="0.2">
      <c r="A2" s="253"/>
      <c r="B2" s="291" t="s">
        <v>129</v>
      </c>
      <c r="C2" s="179" t="str">
        <f>C6</f>
        <v>Annual</v>
      </c>
      <c r="D2" s="180">
        <f>D6</f>
        <v>43466</v>
      </c>
      <c r="E2" s="180">
        <f t="shared" ref="E2:P2" si="0">E6</f>
        <v>43497</v>
      </c>
      <c r="F2" s="180">
        <f t="shared" si="0"/>
        <v>43528</v>
      </c>
      <c r="G2" s="180">
        <f t="shared" si="0"/>
        <v>43559</v>
      </c>
      <c r="H2" s="180">
        <f t="shared" si="0"/>
        <v>43590</v>
      </c>
      <c r="I2" s="180">
        <f t="shared" si="0"/>
        <v>43621</v>
      </c>
      <c r="J2" s="180">
        <f t="shared" si="0"/>
        <v>43652</v>
      </c>
      <c r="K2" s="180">
        <f t="shared" si="0"/>
        <v>43683</v>
      </c>
      <c r="L2" s="180">
        <f t="shared" si="0"/>
        <v>43714</v>
      </c>
      <c r="M2" s="180">
        <f t="shared" si="0"/>
        <v>43745</v>
      </c>
      <c r="N2" s="180">
        <f t="shared" si="0"/>
        <v>43776</v>
      </c>
      <c r="O2" s="180">
        <f t="shared" si="0"/>
        <v>43807</v>
      </c>
      <c r="P2" s="344">
        <f t="shared" si="0"/>
        <v>2019</v>
      </c>
      <c r="Q2" s="343">
        <f>Q6</f>
        <v>43831</v>
      </c>
      <c r="R2" s="180">
        <f t="shared" ref="R2:AF2" si="1">R6</f>
        <v>43862</v>
      </c>
      <c r="S2" s="180">
        <f t="shared" si="1"/>
        <v>43891</v>
      </c>
      <c r="T2" s="180">
        <f t="shared" si="1"/>
        <v>43922</v>
      </c>
      <c r="U2" s="180">
        <f t="shared" si="1"/>
        <v>43952</v>
      </c>
      <c r="V2" s="180">
        <f t="shared" si="1"/>
        <v>43983</v>
      </c>
      <c r="W2" s="180">
        <f t="shared" si="1"/>
        <v>44013</v>
      </c>
      <c r="X2" s="180">
        <f t="shared" si="1"/>
        <v>44044</v>
      </c>
      <c r="Y2" s="180">
        <f t="shared" si="1"/>
        <v>44075</v>
      </c>
      <c r="Z2" s="180">
        <f t="shared" si="1"/>
        <v>44105</v>
      </c>
      <c r="AA2" s="180">
        <f t="shared" si="1"/>
        <v>44136</v>
      </c>
      <c r="AB2" s="180">
        <f t="shared" si="1"/>
        <v>44166</v>
      </c>
      <c r="AC2" s="344">
        <f t="shared" si="1"/>
        <v>2020</v>
      </c>
      <c r="AD2" s="344">
        <f t="shared" si="1"/>
        <v>2021</v>
      </c>
      <c r="AE2" s="344">
        <f t="shared" si="1"/>
        <v>2022</v>
      </c>
      <c r="AF2" s="344">
        <f t="shared" si="1"/>
        <v>2023</v>
      </c>
    </row>
    <row r="3" spans="1:32" ht="12.75" x14ac:dyDescent="0.2">
      <c r="A3" s="184"/>
      <c r="B3" s="185" t="s">
        <v>5</v>
      </c>
      <c r="C3" s="181">
        <f>C60</f>
        <v>2190.4476053960566</v>
      </c>
      <c r="D3" s="181">
        <f>D60</f>
        <v>-2996.0662053571414</v>
      </c>
      <c r="E3" s="181">
        <f t="shared" ref="E3:P3" si="2">E60</f>
        <v>457.23315365746316</v>
      </c>
      <c r="F3" s="181">
        <f t="shared" si="2"/>
        <v>460.04159719836485</v>
      </c>
      <c r="G3" s="181">
        <f t="shared" si="2"/>
        <v>462.86493969469819</v>
      </c>
      <c r="H3" s="181">
        <f t="shared" si="2"/>
        <v>465.70326054310902</v>
      </c>
      <c r="I3" s="181">
        <f t="shared" si="2"/>
        <v>468.55663956486643</v>
      </c>
      <c r="J3" s="181">
        <f t="shared" si="2"/>
        <v>471.42515700814033</v>
      </c>
      <c r="K3" s="181">
        <f t="shared" si="2"/>
        <v>474.30889355029086</v>
      </c>
      <c r="L3" s="181">
        <f t="shared" si="2"/>
        <v>477.20793030017057</v>
      </c>
      <c r="M3" s="181">
        <f t="shared" si="2"/>
        <v>480.1223488004386</v>
      </c>
      <c r="N3" s="181">
        <f t="shared" si="2"/>
        <v>483.05223102988708</v>
      </c>
      <c r="O3" s="181">
        <f t="shared" si="2"/>
        <v>485.99765940578106</v>
      </c>
      <c r="P3" s="346">
        <f t="shared" si="2"/>
        <v>2190.4476053960566</v>
      </c>
      <c r="Q3" s="345">
        <f>Q60</f>
        <v>1320.9644732972586</v>
      </c>
      <c r="R3" s="181">
        <f t="shared" ref="R3:AF3" si="3">R60</f>
        <v>1323.9412429834999</v>
      </c>
      <c r="S3" s="181">
        <f t="shared" si="3"/>
        <v>1326.9338087223982</v>
      </c>
      <c r="T3" s="181">
        <f t="shared" si="3"/>
        <v>1329.9422547087529</v>
      </c>
      <c r="U3" s="181">
        <f t="shared" si="3"/>
        <v>1332.9666655877229</v>
      </c>
      <c r="V3" s="181">
        <f t="shared" si="3"/>
        <v>1336.0071264572412</v>
      </c>
      <c r="W3" s="181">
        <f t="shared" si="3"/>
        <v>1339.0637228704438</v>
      </c>
      <c r="X3" s="181">
        <f t="shared" si="3"/>
        <v>1342.1365408381118</v>
      </c>
      <c r="Y3" s="181">
        <f t="shared" si="3"/>
        <v>1345.2256668311256</v>
      </c>
      <c r="Z3" s="181">
        <f t="shared" si="3"/>
        <v>1348.331187782934</v>
      </c>
      <c r="AA3" s="181">
        <f t="shared" si="3"/>
        <v>1351.4531910920346</v>
      </c>
      <c r="AB3" s="181">
        <f t="shared" si="3"/>
        <v>1354.5917646244686</v>
      </c>
      <c r="AC3" s="346">
        <f t="shared" si="3"/>
        <v>14660.694789915646</v>
      </c>
      <c r="AD3" s="347">
        <f t="shared" si="3"/>
        <v>26773.37475072583</v>
      </c>
      <c r="AE3" s="347">
        <f t="shared" si="3"/>
        <v>38907.890388825886</v>
      </c>
      <c r="AF3" s="347">
        <f t="shared" si="3"/>
        <v>52465.170451704442</v>
      </c>
    </row>
    <row r="4" spans="1:32" ht="12.75" x14ac:dyDescent="0.2">
      <c r="A4" s="182"/>
      <c r="B4" s="183" t="s">
        <v>74</v>
      </c>
      <c r="C4" s="181">
        <f>P4</f>
        <v>73049.919799345953</v>
      </c>
      <c r="D4" s="181">
        <f>D79</f>
        <v>73050.695364730724</v>
      </c>
      <c r="E4" s="181">
        <f t="shared" ref="E4:P4" si="4">E79</f>
        <v>73051.688256850946</v>
      </c>
      <c r="F4" s="181">
        <f t="shared" si="4"/>
        <v>73052.47183637631</v>
      </c>
      <c r="G4" s="181">
        <f t="shared" si="4"/>
        <v>73053.044992891402</v>
      </c>
      <c r="H4" s="181">
        <f t="shared" si="4"/>
        <v>73053.406610063394</v>
      </c>
      <c r="I4" s="181">
        <f t="shared" si="4"/>
        <v>73053.555565610382</v>
      </c>
      <c r="J4" s="181">
        <f t="shared" si="4"/>
        <v>73053.490731269601</v>
      </c>
      <c r="K4" s="181">
        <f t="shared" si="4"/>
        <v>73053.210972765417</v>
      </c>
      <c r="L4" s="181">
        <f t="shared" si="4"/>
        <v>73052.71514977717</v>
      </c>
      <c r="M4" s="181">
        <f t="shared" si="4"/>
        <v>73052.002115906842</v>
      </c>
      <c r="N4" s="181">
        <f t="shared" si="4"/>
        <v>73051.070718646573</v>
      </c>
      <c r="O4" s="181">
        <f t="shared" si="4"/>
        <v>73049.919799345953</v>
      </c>
      <c r="P4" s="346">
        <f t="shared" si="4"/>
        <v>73049.919799345953</v>
      </c>
      <c r="Q4" s="345">
        <f>Q79</f>
        <v>73880.553949690235</v>
      </c>
      <c r="R4" s="181">
        <f t="shared" ref="R4:AF4" si="5">R79</f>
        <v>74710.966242134149</v>
      </c>
      <c r="S4" s="181">
        <f t="shared" si="5"/>
        <v>75541.155499401837</v>
      </c>
      <c r="T4" s="181">
        <f t="shared" si="5"/>
        <v>76371.120537942421</v>
      </c>
      <c r="U4" s="181">
        <f t="shared" si="5"/>
        <v>77200.860167896462</v>
      </c>
      <c r="V4" s="181">
        <f t="shared" si="5"/>
        <v>78030.373193062158</v>
      </c>
      <c r="W4" s="181">
        <f t="shared" si="5"/>
        <v>78859.658410861492</v>
      </c>
      <c r="X4" s="181">
        <f t="shared" si="5"/>
        <v>79688.714612306052</v>
      </c>
      <c r="Y4" s="181">
        <f t="shared" si="5"/>
        <v>80517.540581962792</v>
      </c>
      <c r="Z4" s="181">
        <f t="shared" si="5"/>
        <v>81346.135097919527</v>
      </c>
      <c r="AA4" s="181">
        <f t="shared" si="5"/>
        <v>82174.496931750298</v>
      </c>
      <c r="AB4" s="181">
        <f t="shared" si="5"/>
        <v>83002.624848480496</v>
      </c>
      <c r="AC4" s="346">
        <f t="shared" si="5"/>
        <v>83002.62484848054</v>
      </c>
      <c r="AD4" s="347">
        <f t="shared" si="5"/>
        <v>103188.76695894473</v>
      </c>
      <c r="AE4" s="347">
        <f t="shared" si="5"/>
        <v>142567.91568341534</v>
      </c>
      <c r="AF4" s="347">
        <f t="shared" si="5"/>
        <v>196344.47383603681</v>
      </c>
    </row>
    <row r="5" spans="1:32" ht="13.5" thickBot="1" x14ac:dyDescent="0.25">
      <c r="A5" s="9"/>
      <c r="B5" s="612" t="str">
        <f>A1</f>
        <v>My Business</v>
      </c>
      <c r="C5" s="116"/>
      <c r="D5" s="116"/>
      <c r="E5" s="116"/>
      <c r="F5" s="116"/>
      <c r="G5" s="116"/>
      <c r="H5" s="116"/>
      <c r="I5" s="116"/>
      <c r="J5" s="116"/>
      <c r="K5" s="116"/>
      <c r="L5" s="116"/>
      <c r="M5" s="116"/>
      <c r="N5" s="116"/>
      <c r="O5" s="116"/>
      <c r="P5" s="348"/>
      <c r="Q5" s="116"/>
      <c r="R5" s="116"/>
      <c r="S5" s="116"/>
      <c r="T5" s="116"/>
      <c r="U5" s="116"/>
      <c r="V5" s="116"/>
      <c r="W5" s="116"/>
      <c r="X5" s="116"/>
      <c r="Y5" s="116"/>
      <c r="Z5" s="116"/>
      <c r="AA5" s="116"/>
      <c r="AB5" s="116"/>
      <c r="AC5" s="348"/>
      <c r="AD5" s="348"/>
      <c r="AE5" s="348"/>
      <c r="AF5" s="348"/>
    </row>
    <row r="6" spans="1:32" ht="13.9" customHeight="1" thickBot="1" x14ac:dyDescent="0.25">
      <c r="B6" s="186" t="s">
        <v>62</v>
      </c>
      <c r="C6" s="279" t="s">
        <v>39</v>
      </c>
      <c r="D6" s="534">
        <f>DATE('0. Basic Info'!D16,'0. Basic Info'!D17,1)</f>
        <v>43466</v>
      </c>
      <c r="E6" s="535">
        <f>D6+31</f>
        <v>43497</v>
      </c>
      <c r="F6" s="535">
        <f>E6+31</f>
        <v>43528</v>
      </c>
      <c r="G6" s="535">
        <f>F6+31</f>
        <v>43559</v>
      </c>
      <c r="H6" s="535">
        <f t="shared" ref="H6:O6" si="6">G6+31</f>
        <v>43590</v>
      </c>
      <c r="I6" s="535">
        <f t="shared" si="6"/>
        <v>43621</v>
      </c>
      <c r="J6" s="535">
        <f t="shared" si="6"/>
        <v>43652</v>
      </c>
      <c r="K6" s="535">
        <f t="shared" si="6"/>
        <v>43683</v>
      </c>
      <c r="L6" s="535">
        <f t="shared" si="6"/>
        <v>43714</v>
      </c>
      <c r="M6" s="535">
        <f t="shared" si="6"/>
        <v>43745</v>
      </c>
      <c r="N6" s="535">
        <f t="shared" si="6"/>
        <v>43776</v>
      </c>
      <c r="O6" s="535">
        <f t="shared" si="6"/>
        <v>43807</v>
      </c>
      <c r="P6" s="537">
        <f>IF('0. Basic Info'!D17=1,'0. Basic Info'!D16,"Year 1")</f>
        <v>2019</v>
      </c>
      <c r="Q6" s="536">
        <f>DATE('0. Basic Info'!$D$16+1,'0. Basic Info'!$D$17,1)</f>
        <v>43831</v>
      </c>
      <c r="R6" s="534">
        <f>DATE('0. Basic Info'!$D$16+1,'0. Basic Info'!$D$17+1,1)</f>
        <v>43862</v>
      </c>
      <c r="S6" s="534">
        <f>DATE('0. Basic Info'!$D$16+1,'0. Basic Info'!$D$17+2,1)</f>
        <v>43891</v>
      </c>
      <c r="T6" s="534">
        <f>DATE('0. Basic Info'!$D$16+1,'0. Basic Info'!$D$17+3,1)</f>
        <v>43922</v>
      </c>
      <c r="U6" s="534">
        <f>DATE('0. Basic Info'!$D$16+1,'0. Basic Info'!$D$17+4,1)</f>
        <v>43952</v>
      </c>
      <c r="V6" s="534">
        <f>DATE('0. Basic Info'!$D$16+1,'0. Basic Info'!$D$17+5,1)</f>
        <v>43983</v>
      </c>
      <c r="W6" s="534">
        <f>DATE('0. Basic Info'!$D$16+1,'0. Basic Info'!$D$17+6,1)</f>
        <v>44013</v>
      </c>
      <c r="X6" s="534">
        <f>DATE('0. Basic Info'!$D$16+1,'0. Basic Info'!$D$17+7,1)</f>
        <v>44044</v>
      </c>
      <c r="Y6" s="534">
        <f>DATE('0. Basic Info'!$D$16+1,'0. Basic Info'!$D$17+8,1)</f>
        <v>44075</v>
      </c>
      <c r="Z6" s="534">
        <f>DATE('0. Basic Info'!$D$16+1,'0. Basic Info'!$D$17+9,1)</f>
        <v>44105</v>
      </c>
      <c r="AA6" s="534">
        <f>DATE('0. Basic Info'!$D$16+1,'0. Basic Info'!$D$17+10,1)</f>
        <v>44136</v>
      </c>
      <c r="AB6" s="534">
        <f>DATE('0. Basic Info'!$D$16+1,'0. Basic Info'!$D$17+11,1)</f>
        <v>44166</v>
      </c>
      <c r="AC6" s="537">
        <f>IF('0. Basic Info'!$D17=1,'0. Basic Info'!$D16+1,"Year 2")</f>
        <v>2020</v>
      </c>
      <c r="AD6" s="537">
        <f>IF('0. Basic Info'!$D17=1,'0. Basic Info'!$D16+2,"Year 3")</f>
        <v>2021</v>
      </c>
      <c r="AE6" s="537">
        <f>IF('0. Basic Info'!$D17=1,'0. Basic Info'!$D16+3,"Year 4")</f>
        <v>2022</v>
      </c>
      <c r="AF6" s="537">
        <f>IF('0. Basic Info'!$D17=1,'0. Basic Info'!$D16+4,"Year 5")</f>
        <v>2023</v>
      </c>
    </row>
    <row r="7" spans="1:32" ht="12.75" x14ac:dyDescent="0.2">
      <c r="B7" s="187" t="s">
        <v>128</v>
      </c>
      <c r="C7" s="256">
        <f>'6. Seasonality'!M48</f>
        <v>256450</v>
      </c>
      <c r="D7" s="254">
        <f>'6. Seasonality'!A48</f>
        <v>11150</v>
      </c>
      <c r="E7" s="117">
        <f>'6. Seasonality'!B48</f>
        <v>22300</v>
      </c>
      <c r="F7" s="117">
        <f>'6. Seasonality'!C48</f>
        <v>22300</v>
      </c>
      <c r="G7" s="117">
        <f>'6. Seasonality'!D48</f>
        <v>22300</v>
      </c>
      <c r="H7" s="117">
        <f>'6. Seasonality'!E48</f>
        <v>22300</v>
      </c>
      <c r="I7" s="117">
        <f>'6. Seasonality'!F48</f>
        <v>22300</v>
      </c>
      <c r="J7" s="117">
        <f>'6. Seasonality'!G48</f>
        <v>22300</v>
      </c>
      <c r="K7" s="117">
        <f>'6. Seasonality'!H48</f>
        <v>22300</v>
      </c>
      <c r="L7" s="117">
        <f>'6. Seasonality'!I48</f>
        <v>22300</v>
      </c>
      <c r="M7" s="117">
        <f>'6. Seasonality'!J48</f>
        <v>22300</v>
      </c>
      <c r="N7" s="117">
        <f>'6. Seasonality'!K48</f>
        <v>22300</v>
      </c>
      <c r="O7" s="117">
        <f>'6. Seasonality'!L48</f>
        <v>22300</v>
      </c>
      <c r="P7" s="349">
        <f>SUM(D7:O7)</f>
        <v>256450</v>
      </c>
      <c r="Q7" s="254">
        <f>'6. Seasonality'!A54</f>
        <v>25255</v>
      </c>
      <c r="R7" s="254">
        <f>'6. Seasonality'!B54</f>
        <v>25255</v>
      </c>
      <c r="S7" s="254">
        <f>'6. Seasonality'!C54</f>
        <v>25255</v>
      </c>
      <c r="T7" s="254">
        <f>'6. Seasonality'!D54</f>
        <v>25255</v>
      </c>
      <c r="U7" s="254">
        <f>'6. Seasonality'!E54</f>
        <v>25255</v>
      </c>
      <c r="V7" s="254">
        <f>'6. Seasonality'!F54</f>
        <v>25255</v>
      </c>
      <c r="W7" s="254">
        <f>'6. Seasonality'!G54</f>
        <v>25255</v>
      </c>
      <c r="X7" s="254">
        <f>'6. Seasonality'!H54</f>
        <v>25255</v>
      </c>
      <c r="Y7" s="254">
        <f>'6. Seasonality'!I54</f>
        <v>25255</v>
      </c>
      <c r="Z7" s="254">
        <f>'6. Seasonality'!J54</f>
        <v>25255</v>
      </c>
      <c r="AA7" s="254">
        <f>'6. Seasonality'!K54</f>
        <v>25255</v>
      </c>
      <c r="AB7" s="254">
        <f>'6. Seasonality'!L54</f>
        <v>25255</v>
      </c>
      <c r="AC7" s="349">
        <f>SUM(Q7:AB7)</f>
        <v>303060</v>
      </c>
      <c r="AD7" s="399">
        <f>'1. Sales Forecast'!E62</f>
        <v>343371</v>
      </c>
      <c r="AE7" s="349">
        <f>'1. Sales Forecast'!F62</f>
        <v>389213.85</v>
      </c>
      <c r="AF7" s="349">
        <f>'1. Sales Forecast'!G62</f>
        <v>441366.84749999997</v>
      </c>
    </row>
    <row r="8" spans="1:32" ht="13.5" thickBot="1" x14ac:dyDescent="0.25">
      <c r="A8" s="47"/>
      <c r="B8" s="188" t="s">
        <v>1</v>
      </c>
      <c r="C8" s="257">
        <f>'6. Seasonality'!M49</f>
        <v>53854.5</v>
      </c>
      <c r="D8" s="254">
        <f>'6. Seasonality'!A49</f>
        <v>2341.5</v>
      </c>
      <c r="E8" s="117">
        <f>'6. Seasonality'!B49</f>
        <v>4683</v>
      </c>
      <c r="F8" s="117">
        <f>'6. Seasonality'!C49</f>
        <v>4683</v>
      </c>
      <c r="G8" s="117">
        <f>'6. Seasonality'!D49</f>
        <v>4683</v>
      </c>
      <c r="H8" s="117">
        <f>'6. Seasonality'!E49</f>
        <v>4683</v>
      </c>
      <c r="I8" s="117">
        <f>'6. Seasonality'!F49</f>
        <v>4683</v>
      </c>
      <c r="J8" s="117">
        <f>'6. Seasonality'!G49</f>
        <v>4683</v>
      </c>
      <c r="K8" s="117">
        <f>'6. Seasonality'!H49</f>
        <v>4683</v>
      </c>
      <c r="L8" s="117">
        <f>'6. Seasonality'!I49</f>
        <v>4683</v>
      </c>
      <c r="M8" s="117">
        <f>'6. Seasonality'!J49</f>
        <v>4683</v>
      </c>
      <c r="N8" s="117">
        <f>'6. Seasonality'!K49</f>
        <v>4683</v>
      </c>
      <c r="O8" s="117">
        <f>'6. Seasonality'!L49</f>
        <v>4683</v>
      </c>
      <c r="P8" s="350">
        <f>SUM(D8:O8)</f>
        <v>53854.5</v>
      </c>
      <c r="Q8" s="254">
        <f>'6. Seasonality'!A55</f>
        <v>5303.55</v>
      </c>
      <c r="R8" s="254">
        <f>'6. Seasonality'!B55</f>
        <v>5303.55</v>
      </c>
      <c r="S8" s="254">
        <f>'6. Seasonality'!C55</f>
        <v>5303.55</v>
      </c>
      <c r="T8" s="254">
        <f>'6. Seasonality'!D55</f>
        <v>5303.55</v>
      </c>
      <c r="U8" s="254">
        <f>'6. Seasonality'!E55</f>
        <v>5303.55</v>
      </c>
      <c r="V8" s="254">
        <f>'6. Seasonality'!F55</f>
        <v>5303.55</v>
      </c>
      <c r="W8" s="254">
        <f>'6. Seasonality'!G55</f>
        <v>5303.55</v>
      </c>
      <c r="X8" s="254">
        <f>'6. Seasonality'!H55</f>
        <v>5303.55</v>
      </c>
      <c r="Y8" s="254">
        <f>'6. Seasonality'!I55</f>
        <v>5303.55</v>
      </c>
      <c r="Z8" s="254">
        <f>'6. Seasonality'!J55</f>
        <v>5303.55</v>
      </c>
      <c r="AA8" s="254">
        <f>'6. Seasonality'!K55</f>
        <v>5303.55</v>
      </c>
      <c r="AB8" s="254">
        <f>'6. Seasonality'!L55</f>
        <v>5303.55</v>
      </c>
      <c r="AC8" s="350">
        <f>SUM(Q8:AB8)</f>
        <v>63642.600000000013</v>
      </c>
      <c r="AD8" s="400">
        <f>'1. Sales Forecast'!E74</f>
        <v>72107.909999999989</v>
      </c>
      <c r="AE8" s="400">
        <f>'1. Sales Forecast'!F74</f>
        <v>81734.90849999999</v>
      </c>
      <c r="AF8" s="350">
        <f>'1. Sales Forecast'!G74</f>
        <v>92687.037974999999</v>
      </c>
    </row>
    <row r="9" spans="1:32" ht="13.5" thickBot="1" x14ac:dyDescent="0.25">
      <c r="A9" s="48"/>
      <c r="B9" s="233" t="s">
        <v>2</v>
      </c>
      <c r="C9" s="258">
        <f>C7-C8</f>
        <v>202595.5</v>
      </c>
      <c r="D9" s="255">
        <f>D7-D8</f>
        <v>8808.5</v>
      </c>
      <c r="E9" s="177">
        <f>E7-E8</f>
        <v>17617</v>
      </c>
      <c r="F9" s="177">
        <f t="shared" ref="F9:P9" si="7">F7-F8</f>
        <v>17617</v>
      </c>
      <c r="G9" s="177">
        <f t="shared" si="7"/>
        <v>17617</v>
      </c>
      <c r="H9" s="177">
        <f t="shared" si="7"/>
        <v>17617</v>
      </c>
      <c r="I9" s="177">
        <f t="shared" si="7"/>
        <v>17617</v>
      </c>
      <c r="J9" s="177">
        <f t="shared" si="7"/>
        <v>17617</v>
      </c>
      <c r="K9" s="177">
        <f t="shared" si="7"/>
        <v>17617</v>
      </c>
      <c r="L9" s="177">
        <f t="shared" si="7"/>
        <v>17617</v>
      </c>
      <c r="M9" s="177">
        <f t="shared" si="7"/>
        <v>17617</v>
      </c>
      <c r="N9" s="177">
        <f t="shared" si="7"/>
        <v>17617</v>
      </c>
      <c r="O9" s="177">
        <f t="shared" si="7"/>
        <v>17617</v>
      </c>
      <c r="P9" s="351">
        <f t="shared" si="7"/>
        <v>202595.5</v>
      </c>
      <c r="Q9" s="255">
        <f>Q7-Q8</f>
        <v>19951.45</v>
      </c>
      <c r="R9" s="177">
        <f>R7-R8</f>
        <v>19951.45</v>
      </c>
      <c r="S9" s="177">
        <f t="shared" ref="S9:AF9" si="8">S7-S8</f>
        <v>19951.45</v>
      </c>
      <c r="T9" s="177">
        <f t="shared" si="8"/>
        <v>19951.45</v>
      </c>
      <c r="U9" s="177">
        <f t="shared" si="8"/>
        <v>19951.45</v>
      </c>
      <c r="V9" s="177">
        <f t="shared" si="8"/>
        <v>19951.45</v>
      </c>
      <c r="W9" s="177">
        <f t="shared" si="8"/>
        <v>19951.45</v>
      </c>
      <c r="X9" s="177">
        <f t="shared" si="8"/>
        <v>19951.45</v>
      </c>
      <c r="Y9" s="177">
        <f t="shared" si="8"/>
        <v>19951.45</v>
      </c>
      <c r="Z9" s="177">
        <f t="shared" si="8"/>
        <v>19951.45</v>
      </c>
      <c r="AA9" s="177">
        <f t="shared" si="8"/>
        <v>19951.45</v>
      </c>
      <c r="AB9" s="177">
        <f t="shared" si="8"/>
        <v>19951.45</v>
      </c>
      <c r="AC9" s="351">
        <f t="shared" si="8"/>
        <v>239417.4</v>
      </c>
      <c r="AD9" s="402">
        <f t="shared" si="8"/>
        <v>271263.09000000003</v>
      </c>
      <c r="AE9" s="401">
        <f t="shared" si="8"/>
        <v>307478.94149999996</v>
      </c>
      <c r="AF9" s="351">
        <f t="shared" si="8"/>
        <v>348679.80952499999</v>
      </c>
    </row>
    <row r="10" spans="1:32" ht="6.6" customHeight="1" x14ac:dyDescent="0.2">
      <c r="A10" s="48"/>
      <c r="B10" s="9"/>
      <c r="C10" s="18"/>
      <c r="D10" s="56"/>
      <c r="E10" s="56"/>
      <c r="F10" s="56"/>
      <c r="G10" s="56"/>
      <c r="H10" s="56"/>
      <c r="I10" s="56"/>
      <c r="J10" s="56"/>
      <c r="K10" s="56"/>
      <c r="L10" s="56"/>
      <c r="M10" s="56"/>
      <c r="N10" s="56"/>
      <c r="O10" s="56"/>
      <c r="P10" s="352"/>
      <c r="Q10" s="56"/>
      <c r="R10" s="56"/>
      <c r="S10" s="56"/>
      <c r="T10" s="56"/>
      <c r="U10" s="56"/>
      <c r="V10" s="56"/>
      <c r="W10" s="56"/>
      <c r="X10" s="56"/>
      <c r="Y10" s="56"/>
      <c r="Z10" s="56"/>
      <c r="AA10" s="56"/>
      <c r="AB10" s="56"/>
      <c r="AC10" s="352"/>
      <c r="AD10" s="352"/>
      <c r="AE10" s="352"/>
      <c r="AF10" s="352"/>
    </row>
    <row r="11" spans="1:32" ht="5.45" customHeight="1" thickBot="1" x14ac:dyDescent="0.25">
      <c r="B11" s="9"/>
      <c r="C11" s="9"/>
      <c r="D11" s="58"/>
      <c r="E11" s="58"/>
      <c r="F11" s="58"/>
      <c r="G11" s="58"/>
      <c r="H11" s="58"/>
      <c r="I11" s="58"/>
      <c r="J11" s="58"/>
      <c r="K11" s="58"/>
      <c r="L11" s="58"/>
      <c r="M11" s="58"/>
      <c r="N11" s="58"/>
      <c r="O11" s="58"/>
      <c r="P11" s="353"/>
      <c r="Q11" s="58"/>
      <c r="R11" s="58"/>
      <c r="S11" s="58"/>
      <c r="T11" s="58"/>
      <c r="U11" s="58"/>
      <c r="V11" s="58"/>
      <c r="W11" s="58"/>
      <c r="X11" s="58"/>
      <c r="Y11" s="58"/>
      <c r="Z11" s="58"/>
      <c r="AA11" s="58"/>
      <c r="AB11" s="58"/>
      <c r="AC11" s="353"/>
      <c r="AD11" s="353"/>
      <c r="AE11" s="353"/>
      <c r="AF11" s="353"/>
    </row>
    <row r="12" spans="1:32" ht="13.5" thickBot="1" x14ac:dyDescent="0.25">
      <c r="A12" s="9"/>
      <c r="B12" s="259" t="s">
        <v>127</v>
      </c>
      <c r="C12" s="265" t="str">
        <f t="shared" ref="C12:H12" si="9">C6</f>
        <v>Annual</v>
      </c>
      <c r="D12" s="260">
        <f t="shared" si="9"/>
        <v>43466</v>
      </c>
      <c r="E12" s="176">
        <f t="shared" si="9"/>
        <v>43497</v>
      </c>
      <c r="F12" s="176">
        <f t="shared" si="9"/>
        <v>43528</v>
      </c>
      <c r="G12" s="176">
        <f t="shared" si="9"/>
        <v>43559</v>
      </c>
      <c r="H12" s="176">
        <f t="shared" si="9"/>
        <v>43590</v>
      </c>
      <c r="I12" s="176">
        <f>I6</f>
        <v>43621</v>
      </c>
      <c r="J12" s="176">
        <f t="shared" ref="J12:U12" si="10">J6</f>
        <v>43652</v>
      </c>
      <c r="K12" s="176">
        <f t="shared" si="10"/>
        <v>43683</v>
      </c>
      <c r="L12" s="176">
        <f t="shared" si="10"/>
        <v>43714</v>
      </c>
      <c r="M12" s="176">
        <f t="shared" si="10"/>
        <v>43745</v>
      </c>
      <c r="N12" s="176">
        <f t="shared" si="10"/>
        <v>43776</v>
      </c>
      <c r="O12" s="176">
        <f t="shared" si="10"/>
        <v>43807</v>
      </c>
      <c r="P12" s="354">
        <f t="shared" si="10"/>
        <v>2019</v>
      </c>
      <c r="Q12" s="260">
        <f t="shared" si="10"/>
        <v>43831</v>
      </c>
      <c r="R12" s="176">
        <f t="shared" si="10"/>
        <v>43862</v>
      </c>
      <c r="S12" s="176">
        <f t="shared" si="10"/>
        <v>43891</v>
      </c>
      <c r="T12" s="176">
        <f t="shared" si="10"/>
        <v>43922</v>
      </c>
      <c r="U12" s="176">
        <f t="shared" si="10"/>
        <v>43952</v>
      </c>
      <c r="V12" s="176">
        <f>V6</f>
        <v>43983</v>
      </c>
      <c r="W12" s="176">
        <f t="shared" ref="W12:AF12" si="11">W6</f>
        <v>44013</v>
      </c>
      <c r="X12" s="176">
        <f t="shared" si="11"/>
        <v>44044</v>
      </c>
      <c r="Y12" s="176">
        <f t="shared" si="11"/>
        <v>44075</v>
      </c>
      <c r="Z12" s="176">
        <f t="shared" si="11"/>
        <v>44105</v>
      </c>
      <c r="AA12" s="176">
        <f t="shared" si="11"/>
        <v>44136</v>
      </c>
      <c r="AB12" s="176">
        <f t="shared" si="11"/>
        <v>44166</v>
      </c>
      <c r="AC12" s="354">
        <f t="shared" si="11"/>
        <v>2020</v>
      </c>
      <c r="AD12" s="354">
        <f t="shared" si="11"/>
        <v>2021</v>
      </c>
      <c r="AE12" s="354">
        <f t="shared" si="11"/>
        <v>2022</v>
      </c>
      <c r="AF12" s="354">
        <f t="shared" si="11"/>
        <v>2023</v>
      </c>
    </row>
    <row r="13" spans="1:32" ht="12.75" x14ac:dyDescent="0.2">
      <c r="B13" s="174" t="str">
        <f>IF('2. Operating Budget'!A7="","",'2. Operating Budget'!A7)</f>
        <v>Worker Wages</v>
      </c>
      <c r="C13" s="266">
        <f>'2. Operating Budget'!K7</f>
        <v>64112.5</v>
      </c>
      <c r="D13" s="261">
        <f>IF('2. Operating Budget'!$D7&gt;0,$C13/12,'2. Operating Budget'!$B7*4.3+'2. Operating Budget'!$C7+'2. Operating Budget'!$E7*D$7)</f>
        <v>2787.5</v>
      </c>
      <c r="E13" s="76">
        <f>IF('2. Operating Budget'!$D7&gt;0,$C13/12,'2. Operating Budget'!$B7*4.3+'2. Operating Budget'!$C7+'2. Operating Budget'!$E7*E$7)</f>
        <v>5575</v>
      </c>
      <c r="F13" s="76">
        <f>IF('2. Operating Budget'!$D7&gt;0,$C13/12,'2. Operating Budget'!$B7*4.3+'2. Operating Budget'!$C7+'2. Operating Budget'!$E7*F$7)</f>
        <v>5575</v>
      </c>
      <c r="G13" s="76">
        <f>IF('2. Operating Budget'!$D7&gt;0,$C13/12,'2. Operating Budget'!$B7*4.3+'2. Operating Budget'!$C7+'2. Operating Budget'!$E7*G$7)</f>
        <v>5575</v>
      </c>
      <c r="H13" s="76">
        <f>IF('2. Operating Budget'!$D7&gt;0,$C13/12,'2. Operating Budget'!$B7*4.3+'2. Operating Budget'!$C7+'2. Operating Budget'!$E7*H$7)</f>
        <v>5575</v>
      </c>
      <c r="I13" s="76">
        <f>IF('2. Operating Budget'!$D7&gt;0,$C13/12,'2. Operating Budget'!$B7*4.3+'2. Operating Budget'!$C7+'2. Operating Budget'!$E7*I$7)</f>
        <v>5575</v>
      </c>
      <c r="J13" s="76">
        <f>IF('2. Operating Budget'!$D7&gt;0,$C13/12,'2. Operating Budget'!$B7*4.3+'2. Operating Budget'!$C7+'2. Operating Budget'!$E7*J$7)</f>
        <v>5575</v>
      </c>
      <c r="K13" s="76">
        <f>IF('2. Operating Budget'!$D7&gt;0,$C13/12,'2. Operating Budget'!$B7*4.3+'2. Operating Budget'!$C7+'2. Operating Budget'!$E7*K$7)</f>
        <v>5575</v>
      </c>
      <c r="L13" s="76">
        <f>IF('2. Operating Budget'!$D7&gt;0,$C13/12,'2. Operating Budget'!$B7*4.3+'2. Operating Budget'!$C7+'2. Operating Budget'!$E7*L$7)</f>
        <v>5575</v>
      </c>
      <c r="M13" s="76">
        <f>IF('2. Operating Budget'!$D7&gt;0,$C13/12,'2. Operating Budget'!$B7*4.3+'2. Operating Budget'!$C7+'2. Operating Budget'!$E7*M$7)</f>
        <v>5575</v>
      </c>
      <c r="N13" s="76">
        <f>IF('2. Operating Budget'!$D7&gt;0,$C13/12,'2. Operating Budget'!$B7*4.3+'2. Operating Budget'!$C7+'2. Operating Budget'!$E7*N$7)</f>
        <v>5575</v>
      </c>
      <c r="O13" s="76">
        <f>IF('2. Operating Budget'!$D7&gt;0,$C13/12,'2. Operating Budget'!$B7*4.3+'2. Operating Budget'!$C7+'2. Operating Budget'!$E7*O$7)</f>
        <v>5575</v>
      </c>
      <c r="P13" s="355">
        <f>SUM(D13:O13)</f>
        <v>64112.5</v>
      </c>
      <c r="Q13" s="261">
        <f>IF('2. Operating Budget'!$D7&gt;0,$C13/12,'2. Operating Budget'!$B7*4.3+'2. Operating Budget'!$C7+'2. Operating Budget'!$E7*Q$7)</f>
        <v>6313.75</v>
      </c>
      <c r="R13" s="76">
        <f>IF('2. Operating Budget'!$D7&gt;0,$C13/12,'2. Operating Budget'!$B7*4.3+'2. Operating Budget'!$C7+'2. Operating Budget'!$E7*R$7)</f>
        <v>6313.75</v>
      </c>
      <c r="S13" s="76">
        <f>IF('2. Operating Budget'!$D7&gt;0,$C13/12,'2. Operating Budget'!$B7*4.3+'2. Operating Budget'!$C7+'2. Operating Budget'!$E7*S$7)</f>
        <v>6313.75</v>
      </c>
      <c r="T13" s="76">
        <f>IF('2. Operating Budget'!$D7&gt;0,$C13/12,'2. Operating Budget'!$B7*4.3+'2. Operating Budget'!$C7+'2. Operating Budget'!$E7*T$7)</f>
        <v>6313.75</v>
      </c>
      <c r="U13" s="76">
        <f>IF('2. Operating Budget'!$D7&gt;0,$C13/12,'2. Operating Budget'!$B7*4.3+'2. Operating Budget'!$C7+'2. Operating Budget'!$E7*U$7)</f>
        <v>6313.75</v>
      </c>
      <c r="V13" s="76">
        <f>IF('2. Operating Budget'!$D7&gt;0,$C13/12,'2. Operating Budget'!$B7*4.3+'2. Operating Budget'!$C7+'2. Operating Budget'!$E7*V$7)</f>
        <v>6313.75</v>
      </c>
      <c r="W13" s="76">
        <f>IF('2. Operating Budget'!$D7&gt;0,$C13/12,'2. Operating Budget'!$B7*4.3+'2. Operating Budget'!$C7+'2. Operating Budget'!$E7*W$7)</f>
        <v>6313.75</v>
      </c>
      <c r="X13" s="76">
        <f>IF('2. Operating Budget'!$D7&gt;0,$C13/12,'2. Operating Budget'!$B7*4.3+'2. Operating Budget'!$C7+'2. Operating Budget'!$E7*X$7)</f>
        <v>6313.75</v>
      </c>
      <c r="Y13" s="76">
        <f>IF('2. Operating Budget'!$D7&gt;0,$C13/12,'2. Operating Budget'!$B7*4.3+'2. Operating Budget'!$C7+'2. Operating Budget'!$E7*Y$7)</f>
        <v>6313.75</v>
      </c>
      <c r="Z13" s="76">
        <f>IF('2. Operating Budget'!$D7&gt;0,$C13/12,'2. Operating Budget'!$B7*4.3+'2. Operating Budget'!$C7+'2. Operating Budget'!$E7*Z$7)</f>
        <v>6313.75</v>
      </c>
      <c r="AA13" s="76">
        <f>IF('2. Operating Budget'!$D7&gt;0,$C13/12,'2. Operating Budget'!$B7*4.3+'2. Operating Budget'!$C7+'2. Operating Budget'!$E7*AA$7)</f>
        <v>6313.75</v>
      </c>
      <c r="AB13" s="76">
        <f>IF('2. Operating Budget'!$D7&gt;0,$C13/12,'2. Operating Budget'!$B7*4.3+'2. Operating Budget'!$C7+'2. Operating Budget'!$E7*AB$7)</f>
        <v>6313.75</v>
      </c>
      <c r="AC13" s="355">
        <f>SUM(Q13:AB13)</f>
        <v>75765</v>
      </c>
      <c r="AD13" s="355">
        <f>IF('2. Operating Budget'!$E7&gt;0,'2. Operating Budget'!$E7*'8. P&amp;L and Cashflow'!AD$7,'2. Operating Budget'!$K7)</f>
        <v>85842.75</v>
      </c>
      <c r="AE13" s="355">
        <f>IF('2. Operating Budget'!$E7&gt;0,'2. Operating Budget'!$E7*'8. P&amp;L and Cashflow'!AE$7,'2. Operating Budget'!$K7)</f>
        <v>97303.462499999994</v>
      </c>
      <c r="AF13" s="355">
        <f>IF('2. Operating Budget'!$E7&gt;0,'2. Operating Budget'!$E7*'8. P&amp;L and Cashflow'!AF$7,'2. Operating Budget'!$K7)</f>
        <v>110341.71187499999</v>
      </c>
    </row>
    <row r="14" spans="1:32" ht="12.75" x14ac:dyDescent="0.2">
      <c r="B14" s="293" t="str">
        <f>IF('2. Operating Budget'!A8="","",'2. Operating Budget'!A8)</f>
        <v>Owner Pay</v>
      </c>
      <c r="C14" s="294">
        <f>'2. Operating Budget'!K8</f>
        <v>36000</v>
      </c>
      <c r="D14" s="295">
        <f>IF('2. Operating Budget'!$D8&gt;0,$C14/12,'2. Operating Budget'!$B8*4.3+'2. Operating Budget'!$C8+'2. Operating Budget'!$E8*D$7)</f>
        <v>3000</v>
      </c>
      <c r="E14" s="296">
        <f>IF('2. Operating Budget'!$D8&gt;0,$C14/12,'2. Operating Budget'!$B8*4.3+'2. Operating Budget'!$C8+'2. Operating Budget'!$E8*E$7)</f>
        <v>3000</v>
      </c>
      <c r="F14" s="296">
        <f>IF('2. Operating Budget'!$D8&gt;0,$C14/12,'2. Operating Budget'!$B8*4.3+'2. Operating Budget'!$C8+'2. Operating Budget'!$E8*F$7)</f>
        <v>3000</v>
      </c>
      <c r="G14" s="296">
        <f>IF('2. Operating Budget'!$D8&gt;0,$C14/12,'2. Operating Budget'!$B8*4.3+'2. Operating Budget'!$C8+'2. Operating Budget'!$E8*G$7)</f>
        <v>3000</v>
      </c>
      <c r="H14" s="296">
        <f>IF('2. Operating Budget'!$D8&gt;0,$C14/12,'2. Operating Budget'!$B8*4.3+'2. Operating Budget'!$C8+'2. Operating Budget'!$E8*H$7)</f>
        <v>3000</v>
      </c>
      <c r="I14" s="296">
        <f>IF('2. Operating Budget'!$D8&gt;0,$C14/12,'2. Operating Budget'!$B8*4.3+'2. Operating Budget'!$C8+'2. Operating Budget'!$E8*I$7)</f>
        <v>3000</v>
      </c>
      <c r="J14" s="296">
        <f>IF('2. Operating Budget'!$D8&gt;0,$C14/12,'2. Operating Budget'!$B8*4.3+'2. Operating Budget'!$C8+'2. Operating Budget'!$E8*J$7)</f>
        <v>3000</v>
      </c>
      <c r="K14" s="296">
        <f>IF('2. Operating Budget'!$D8&gt;0,$C14/12,'2. Operating Budget'!$B8*4.3+'2. Operating Budget'!$C8+'2. Operating Budget'!$E8*K$7)</f>
        <v>3000</v>
      </c>
      <c r="L14" s="296">
        <f>IF('2. Operating Budget'!$D8&gt;0,$C14/12,'2. Operating Budget'!$B8*4.3+'2. Operating Budget'!$C8+'2. Operating Budget'!$E8*L$7)</f>
        <v>3000</v>
      </c>
      <c r="M14" s="296">
        <f>IF('2. Operating Budget'!$D8&gt;0,$C14/12,'2. Operating Budget'!$B8*4.3+'2. Operating Budget'!$C8+'2. Operating Budget'!$E8*M$7)</f>
        <v>3000</v>
      </c>
      <c r="N14" s="296">
        <f>IF('2. Operating Budget'!$D8&gt;0,$C14/12,'2. Operating Budget'!$B8*4.3+'2. Operating Budget'!$C8+'2. Operating Budget'!$E8*N$7)</f>
        <v>3000</v>
      </c>
      <c r="O14" s="296">
        <f>IF('2. Operating Budget'!$D8&gt;0,$C14/12,'2. Operating Budget'!$B8*4.3+'2. Operating Budget'!$C8+'2. Operating Budget'!$E8*O$7)</f>
        <v>3000</v>
      </c>
      <c r="P14" s="356">
        <f>SUM(D14:O14)</f>
        <v>36000</v>
      </c>
      <c r="Q14" s="295">
        <f>IF('2. Operating Budget'!$D8&gt;0,$C14/12,'2. Operating Budget'!$B8*4.3+'2. Operating Budget'!$C8+'2. Operating Budget'!$E8*Q$7)</f>
        <v>3000</v>
      </c>
      <c r="R14" s="296">
        <f>IF('2. Operating Budget'!$D8&gt;0,$C14/12,'2. Operating Budget'!$B8*4.3+'2. Operating Budget'!$C8+'2. Operating Budget'!$E8*R$7)</f>
        <v>3000</v>
      </c>
      <c r="S14" s="296">
        <f>IF('2. Operating Budget'!$D8&gt;0,$C14/12,'2. Operating Budget'!$B8*4.3+'2. Operating Budget'!$C8+'2. Operating Budget'!$E8*S$7)</f>
        <v>3000</v>
      </c>
      <c r="T14" s="296">
        <f>IF('2. Operating Budget'!$D8&gt;0,$C14/12,'2. Operating Budget'!$B8*4.3+'2. Operating Budget'!$C8+'2. Operating Budget'!$E8*T$7)</f>
        <v>3000</v>
      </c>
      <c r="U14" s="296">
        <f>IF('2. Operating Budget'!$D8&gt;0,$C14/12,'2. Operating Budget'!$B8*4.3+'2. Operating Budget'!$C8+'2. Operating Budget'!$E8*U$7)</f>
        <v>3000</v>
      </c>
      <c r="V14" s="296">
        <f>IF('2. Operating Budget'!$D8&gt;0,$C14/12,'2. Operating Budget'!$B8*4.3+'2. Operating Budget'!$C8+'2. Operating Budget'!$E8*V$7)</f>
        <v>3000</v>
      </c>
      <c r="W14" s="296">
        <f>IF('2. Operating Budget'!$D8&gt;0,$C14/12,'2. Operating Budget'!$B8*4.3+'2. Operating Budget'!$C8+'2. Operating Budget'!$E8*W$7)</f>
        <v>3000</v>
      </c>
      <c r="X14" s="296">
        <f>IF('2. Operating Budget'!$D8&gt;0,$C14/12,'2. Operating Budget'!$B8*4.3+'2. Operating Budget'!$C8+'2. Operating Budget'!$E8*X$7)</f>
        <v>3000</v>
      </c>
      <c r="Y14" s="296">
        <f>IF('2. Operating Budget'!$D8&gt;0,$C14/12,'2. Operating Budget'!$B8*4.3+'2. Operating Budget'!$C8+'2. Operating Budget'!$E8*Y$7)</f>
        <v>3000</v>
      </c>
      <c r="Z14" s="296">
        <f>IF('2. Operating Budget'!$D8&gt;0,$C14/12,'2. Operating Budget'!$B8*4.3+'2. Operating Budget'!$C8+'2. Operating Budget'!$E8*Z$7)</f>
        <v>3000</v>
      </c>
      <c r="AA14" s="296">
        <f>IF('2. Operating Budget'!$D8&gt;0,$C14/12,'2. Operating Budget'!$B8*4.3+'2. Operating Budget'!$C8+'2. Operating Budget'!$E8*AA$7)</f>
        <v>3000</v>
      </c>
      <c r="AB14" s="296">
        <f>IF('2. Operating Budget'!$D8&gt;0,$C14/12,'2. Operating Budget'!$B8*4.3+'2. Operating Budget'!$C8+'2. Operating Budget'!$E8*AB$7)</f>
        <v>3000</v>
      </c>
      <c r="AC14" s="356">
        <f>SUM(Q14:AB14)</f>
        <v>36000</v>
      </c>
      <c r="AD14" s="356">
        <f>IF('2. Operating Budget'!$D8&gt;0,$C14,'2. Operating Budget'!$B8*52+'2. Operating Budget'!$C8*12+'2. Operating Budget'!$E8*AD$7)</f>
        <v>36000</v>
      </c>
      <c r="AE14" s="356">
        <f>IF('2. Operating Budget'!$D8&gt;0,$C14,'2. Operating Budget'!$B8*52+'2. Operating Budget'!$C8*12+'2. Operating Budget'!$E8*AE$7)</f>
        <v>36000</v>
      </c>
      <c r="AF14" s="356">
        <f>IF('2. Operating Budget'!$D8&gt;0,$C14,'2. Operating Budget'!$B8*52+'2. Operating Budget'!$C8*12+'2. Operating Budget'!$E8*AF$7)</f>
        <v>36000</v>
      </c>
    </row>
    <row r="15" spans="1:32" ht="12.75" x14ac:dyDescent="0.2">
      <c r="B15" s="36">
        <f>'2. Operating Budget'!A9</f>
        <v>0.15</v>
      </c>
      <c r="C15" s="267">
        <f>'2. Operating Budget'!K9</f>
        <v>15016.875</v>
      </c>
      <c r="D15" s="262">
        <f>0.15*(D13+D14)</f>
        <v>868.125</v>
      </c>
      <c r="E15" s="5">
        <f>0.15*(E13+E14)</f>
        <v>1286.25</v>
      </c>
      <c r="F15" s="5">
        <f t="shared" ref="F15:O15" si="12">0.15*(F13+F14)</f>
        <v>1286.25</v>
      </c>
      <c r="G15" s="5">
        <f t="shared" si="12"/>
        <v>1286.25</v>
      </c>
      <c r="H15" s="5">
        <f t="shared" si="12"/>
        <v>1286.25</v>
      </c>
      <c r="I15" s="5">
        <f t="shared" si="12"/>
        <v>1286.25</v>
      </c>
      <c r="J15" s="5">
        <f t="shared" si="12"/>
        <v>1286.25</v>
      </c>
      <c r="K15" s="5">
        <f t="shared" si="12"/>
        <v>1286.25</v>
      </c>
      <c r="L15" s="5">
        <f t="shared" si="12"/>
        <v>1286.25</v>
      </c>
      <c r="M15" s="5">
        <f t="shared" si="12"/>
        <v>1286.25</v>
      </c>
      <c r="N15" s="5">
        <f t="shared" si="12"/>
        <v>1286.25</v>
      </c>
      <c r="O15" s="5">
        <f t="shared" si="12"/>
        <v>1286.25</v>
      </c>
      <c r="P15" s="357">
        <f t="shared" ref="P15:P52" si="13">SUM(D15:O15)</f>
        <v>15016.875</v>
      </c>
      <c r="Q15" s="262">
        <f>0.15*(Q13+Q14)</f>
        <v>1397.0625</v>
      </c>
      <c r="R15" s="5">
        <f>0.15*(R13+R14)</f>
        <v>1397.0625</v>
      </c>
      <c r="S15" s="5">
        <f t="shared" ref="S15:AF15" si="14">0.15*(S13+S14)</f>
        <v>1397.0625</v>
      </c>
      <c r="T15" s="5">
        <f t="shared" si="14"/>
        <v>1397.0625</v>
      </c>
      <c r="U15" s="5">
        <f t="shared" si="14"/>
        <v>1397.0625</v>
      </c>
      <c r="V15" s="5">
        <f t="shared" si="14"/>
        <v>1397.0625</v>
      </c>
      <c r="W15" s="5">
        <f t="shared" si="14"/>
        <v>1397.0625</v>
      </c>
      <c r="X15" s="5">
        <f t="shared" si="14"/>
        <v>1397.0625</v>
      </c>
      <c r="Y15" s="5">
        <f t="shared" si="14"/>
        <v>1397.0625</v>
      </c>
      <c r="Z15" s="5">
        <f t="shared" si="14"/>
        <v>1397.0625</v>
      </c>
      <c r="AA15" s="5">
        <f t="shared" si="14"/>
        <v>1397.0625</v>
      </c>
      <c r="AB15" s="5">
        <f t="shared" si="14"/>
        <v>1397.0625</v>
      </c>
      <c r="AC15" s="357">
        <f t="shared" ref="AC15:AC16" si="15">SUM(Q15:AB15)</f>
        <v>16764.75</v>
      </c>
      <c r="AD15" s="357">
        <f t="shared" si="14"/>
        <v>18276.412499999999</v>
      </c>
      <c r="AE15" s="357">
        <f t="shared" si="14"/>
        <v>19995.519375</v>
      </c>
      <c r="AF15" s="357">
        <f t="shared" si="14"/>
        <v>21951.256781249995</v>
      </c>
    </row>
    <row r="16" spans="1:32" ht="12.75" x14ac:dyDescent="0.2">
      <c r="A16" s="18"/>
      <c r="B16" s="293" t="str">
        <f>'2. Operating Budget'!A10</f>
        <v>Workers Comp</v>
      </c>
      <c r="C16" s="294">
        <f>P13/100*'2. Operating Budget'!$E$10</f>
        <v>1942.6087499999999</v>
      </c>
      <c r="D16" s="295">
        <f>C16/12</f>
        <v>161.8840625</v>
      </c>
      <c r="E16" s="296">
        <f t="shared" ref="E16:F51" si="16">D16</f>
        <v>161.8840625</v>
      </c>
      <c r="F16" s="296">
        <f t="shared" si="16"/>
        <v>161.8840625</v>
      </c>
      <c r="G16" s="296">
        <f t="shared" ref="G16:O16" si="17">F16</f>
        <v>161.8840625</v>
      </c>
      <c r="H16" s="296">
        <f t="shared" si="17"/>
        <v>161.8840625</v>
      </c>
      <c r="I16" s="296">
        <f t="shared" si="17"/>
        <v>161.8840625</v>
      </c>
      <c r="J16" s="296">
        <f t="shared" si="17"/>
        <v>161.8840625</v>
      </c>
      <c r="K16" s="296">
        <f t="shared" si="17"/>
        <v>161.8840625</v>
      </c>
      <c r="L16" s="296">
        <f t="shared" si="17"/>
        <v>161.8840625</v>
      </c>
      <c r="M16" s="296">
        <f t="shared" si="17"/>
        <v>161.8840625</v>
      </c>
      <c r="N16" s="296">
        <f t="shared" si="17"/>
        <v>161.8840625</v>
      </c>
      <c r="O16" s="296">
        <f t="shared" si="17"/>
        <v>161.8840625</v>
      </c>
      <c r="P16" s="356">
        <f t="shared" si="13"/>
        <v>1942.6087500000001</v>
      </c>
      <c r="Q16" s="295">
        <f>AC13/100*'2. Operating Budget'!E10/12</f>
        <v>191.30662499999997</v>
      </c>
      <c r="R16" s="296">
        <f t="shared" ref="R16:AB16" si="18">Q16</f>
        <v>191.30662499999997</v>
      </c>
      <c r="S16" s="296">
        <f t="shared" si="18"/>
        <v>191.30662499999997</v>
      </c>
      <c r="T16" s="296">
        <f t="shared" si="18"/>
        <v>191.30662499999997</v>
      </c>
      <c r="U16" s="296">
        <f t="shared" si="18"/>
        <v>191.30662499999997</v>
      </c>
      <c r="V16" s="296">
        <f t="shared" si="18"/>
        <v>191.30662499999997</v>
      </c>
      <c r="W16" s="296">
        <f t="shared" si="18"/>
        <v>191.30662499999997</v>
      </c>
      <c r="X16" s="296">
        <f t="shared" si="18"/>
        <v>191.30662499999997</v>
      </c>
      <c r="Y16" s="296">
        <f t="shared" si="18"/>
        <v>191.30662499999997</v>
      </c>
      <c r="Z16" s="296">
        <f t="shared" si="18"/>
        <v>191.30662499999997</v>
      </c>
      <c r="AA16" s="296">
        <f t="shared" si="18"/>
        <v>191.30662499999997</v>
      </c>
      <c r="AB16" s="296">
        <f t="shared" si="18"/>
        <v>191.30662499999997</v>
      </c>
      <c r="AC16" s="356">
        <f t="shared" si="15"/>
        <v>2295.6794999999997</v>
      </c>
      <c r="AD16" s="356">
        <f>AD13/100*'2. Operating Budget'!$E10</f>
        <v>2601.0353249999998</v>
      </c>
      <c r="AE16" s="356">
        <f>AE13/100*'2. Operating Budget'!$E10</f>
        <v>2948.2949137499995</v>
      </c>
      <c r="AF16" s="356">
        <f>AF13/100*'2. Operating Budget'!$E10</f>
        <v>3343.3538698124994</v>
      </c>
    </row>
    <row r="17" spans="1:32" ht="12.75" x14ac:dyDescent="0.2">
      <c r="A17" s="47"/>
      <c r="B17" s="174" t="str">
        <f>IF('2. Operating Budget'!A11="","",'2. Operating Budget'!A11)</f>
        <v>Rent</v>
      </c>
      <c r="C17" s="267">
        <f>'2. Operating Budget'!K11</f>
        <v>4800</v>
      </c>
      <c r="D17" s="261">
        <f>IF('2. Operating Budget'!$D11&gt;0,$C17/12,'2. Operating Budget'!$B11*4.3+'2. Operating Budget'!$C11+'2. Operating Budget'!$E11*D$7)</f>
        <v>400</v>
      </c>
      <c r="E17" s="76">
        <f>IF('2. Operating Budget'!$D11&gt;0,$C17/12,'2. Operating Budget'!$B11*4.3+'2. Operating Budget'!$C11+'2. Operating Budget'!$E11*E$7)</f>
        <v>400</v>
      </c>
      <c r="F17" s="76">
        <f>IF('2. Operating Budget'!$D11&gt;0,$C17/12,'2. Operating Budget'!$B11*4.3+'2. Operating Budget'!$C11+'2. Operating Budget'!$E11*F$7)</f>
        <v>400</v>
      </c>
      <c r="G17" s="76">
        <f>IF('2. Operating Budget'!$D11&gt;0,$C17/12,'2. Operating Budget'!$B11*4.3+'2. Operating Budget'!$C11+'2. Operating Budget'!$E11*G$7)</f>
        <v>400</v>
      </c>
      <c r="H17" s="76">
        <f>IF('2. Operating Budget'!$D11&gt;0,$C17/12,'2. Operating Budget'!$B11*4.3+'2. Operating Budget'!$C11+'2. Operating Budget'!$E11*H$7)</f>
        <v>400</v>
      </c>
      <c r="I17" s="76">
        <f>IF('2. Operating Budget'!$D11&gt;0,$C17/12,'2. Operating Budget'!$B11*4.3+'2. Operating Budget'!$C11+'2. Operating Budget'!$E11*I$7)</f>
        <v>400</v>
      </c>
      <c r="J17" s="76">
        <f>IF('2. Operating Budget'!$D11&gt;0,$C17/12,'2. Operating Budget'!$B11*4.3+'2. Operating Budget'!$C11+'2. Operating Budget'!$E11*J$7)</f>
        <v>400</v>
      </c>
      <c r="K17" s="76">
        <f>IF('2. Operating Budget'!$D11&gt;0,$C17/12,'2. Operating Budget'!$B11*4.3+'2. Operating Budget'!$C11+'2. Operating Budget'!$E11*K$7)</f>
        <v>400</v>
      </c>
      <c r="L17" s="76">
        <f>IF('2. Operating Budget'!$D11&gt;0,$C17/12,'2. Operating Budget'!$B11*4.3+'2. Operating Budget'!$C11+'2. Operating Budget'!$E11*L$7)</f>
        <v>400</v>
      </c>
      <c r="M17" s="76">
        <f>IF('2. Operating Budget'!$D11&gt;0,$C17/12,'2. Operating Budget'!$B11*4.3+'2. Operating Budget'!$C11+'2. Operating Budget'!$E11*M$7)</f>
        <v>400</v>
      </c>
      <c r="N17" s="76">
        <f>IF('2. Operating Budget'!$D11&gt;0,$C17/12,'2. Operating Budget'!$B11*4.3+'2. Operating Budget'!$C11+'2. Operating Budget'!$E11*N$7)</f>
        <v>400</v>
      </c>
      <c r="O17" s="76">
        <f>IF('2. Operating Budget'!$D11&gt;0,$C17/12,'2. Operating Budget'!$B11*4.3+'2. Operating Budget'!$C11+'2. Operating Budget'!$E11*O$7)</f>
        <v>400</v>
      </c>
      <c r="P17" s="357">
        <f>SUM(D17:O17)</f>
        <v>4800</v>
      </c>
      <c r="Q17" s="261">
        <f>IF('2. Operating Budget'!$D11&gt;0,$C17/12,'2. Operating Budget'!$B11*4.3+'2. Operating Budget'!$C11+'2. Operating Budget'!$E11*Q$7)</f>
        <v>400</v>
      </c>
      <c r="R17" s="76">
        <f>IF('2. Operating Budget'!$D11&gt;0,$C17/12,'2. Operating Budget'!$B11*4.3+'2. Operating Budget'!$C11+'2. Operating Budget'!$E11*R$7)</f>
        <v>400</v>
      </c>
      <c r="S17" s="76">
        <f>IF('2. Operating Budget'!$D11&gt;0,$C17/12,'2. Operating Budget'!$B11*4.3+'2. Operating Budget'!$C11+'2. Operating Budget'!$E11*S$7)</f>
        <v>400</v>
      </c>
      <c r="T17" s="76">
        <f>IF('2. Operating Budget'!$D11&gt;0,$C17/12,'2. Operating Budget'!$B11*4.3+'2. Operating Budget'!$C11+'2. Operating Budget'!$E11*T$7)</f>
        <v>400</v>
      </c>
      <c r="U17" s="76">
        <f>IF('2. Operating Budget'!$D11&gt;0,$C17/12,'2. Operating Budget'!$B11*4.3+'2. Operating Budget'!$C11+'2. Operating Budget'!$E11*U$7)</f>
        <v>400</v>
      </c>
      <c r="V17" s="76">
        <f>IF('2. Operating Budget'!$D11&gt;0,$C17/12,'2. Operating Budget'!$B11*4.3+'2. Operating Budget'!$C11+'2. Operating Budget'!$E11*V$7)</f>
        <v>400</v>
      </c>
      <c r="W17" s="76">
        <f>IF('2. Operating Budget'!$D11&gt;0,$C17/12,'2. Operating Budget'!$B11*4.3+'2. Operating Budget'!$C11+'2. Operating Budget'!$E11*W$7)</f>
        <v>400</v>
      </c>
      <c r="X17" s="76">
        <f>IF('2. Operating Budget'!$D11&gt;0,$C17/12,'2. Operating Budget'!$B11*4.3+'2. Operating Budget'!$C11+'2. Operating Budget'!$E11*X$7)</f>
        <v>400</v>
      </c>
      <c r="Y17" s="76">
        <f>IF('2. Operating Budget'!$D11&gt;0,$C17/12,'2. Operating Budget'!$B11*4.3+'2. Operating Budget'!$C11+'2. Operating Budget'!$E11*Y$7)</f>
        <v>400</v>
      </c>
      <c r="Z17" s="76">
        <f>IF('2. Operating Budget'!$D11&gt;0,$C17/12,'2. Operating Budget'!$B11*4.3+'2. Operating Budget'!$C11+'2. Operating Budget'!$E11*Z$7)</f>
        <v>400</v>
      </c>
      <c r="AA17" s="76">
        <f>IF('2. Operating Budget'!$D11&gt;0,$C17/12,'2. Operating Budget'!$B11*4.3+'2. Operating Budget'!$C11+'2. Operating Budget'!$E11*AA$7)</f>
        <v>400</v>
      </c>
      <c r="AB17" s="76">
        <f>IF('2. Operating Budget'!$D11&gt;0,$C17/12,'2. Operating Budget'!$B11*4.3+'2. Operating Budget'!$C11+'2. Operating Budget'!$E11*AB$7)</f>
        <v>400</v>
      </c>
      <c r="AC17" s="357">
        <f>SUM(Q17:AB17)</f>
        <v>4800</v>
      </c>
      <c r="AD17" s="357">
        <f>IF('2. Operating Budget'!$E11&gt;0,'2. Operating Budget'!$E11*'8. P&amp;L and Cashflow'!AD$7,'2. Operating Budget'!$K11)</f>
        <v>4800</v>
      </c>
      <c r="AE17" s="357">
        <f>IF('2. Operating Budget'!$E11&gt;0,'2. Operating Budget'!$E11*'8. P&amp;L and Cashflow'!AE$7,'2. Operating Budget'!$K11)</f>
        <v>4800</v>
      </c>
      <c r="AF17" s="357">
        <f>IF('2. Operating Budget'!$E11&gt;0,'2. Operating Budget'!$E11*'8. P&amp;L and Cashflow'!AF$7,'2. Operating Budget'!$K11)</f>
        <v>4800</v>
      </c>
    </row>
    <row r="18" spans="1:32" ht="12.75" x14ac:dyDescent="0.2">
      <c r="A18" s="48"/>
      <c r="B18" s="293" t="str">
        <f>IF('2. Operating Budget'!A12="","",'2. Operating Budget'!A12)</f>
        <v>Phone/Internet/Cell</v>
      </c>
      <c r="C18" s="294">
        <f>'2. Operating Budget'!K12</f>
        <v>1800</v>
      </c>
      <c r="D18" s="295">
        <f>IF('2. Operating Budget'!$D12&gt;0,$C18/12,'2. Operating Budget'!$B12*4.3+'2. Operating Budget'!$C12+'2. Operating Budget'!$E12*D$7)</f>
        <v>150</v>
      </c>
      <c r="E18" s="296">
        <f>IF('2. Operating Budget'!$D12&gt;0,$C18/12,'2. Operating Budget'!$B12*4.3+'2. Operating Budget'!$C12+'2. Operating Budget'!$E12*E$7)</f>
        <v>150</v>
      </c>
      <c r="F18" s="296">
        <f>IF('2. Operating Budget'!$D12&gt;0,$C18/12,'2. Operating Budget'!$B12*4.3+'2. Operating Budget'!$C12+'2. Operating Budget'!$E12*F$7)</f>
        <v>150</v>
      </c>
      <c r="G18" s="296">
        <f>IF('2. Operating Budget'!$D12&gt;0,$C18/12,'2. Operating Budget'!$B12*4.3+'2. Operating Budget'!$C12+'2. Operating Budget'!$E12*G$7)</f>
        <v>150</v>
      </c>
      <c r="H18" s="296">
        <f>IF('2. Operating Budget'!$D12&gt;0,$C18/12,'2. Operating Budget'!$B12*4.3+'2. Operating Budget'!$C12+'2. Operating Budget'!$E12*H$7)</f>
        <v>150</v>
      </c>
      <c r="I18" s="296">
        <f>IF('2. Operating Budget'!$D12&gt;0,$C18/12,'2. Operating Budget'!$B12*4.3+'2. Operating Budget'!$C12+'2. Operating Budget'!$E12*I$7)</f>
        <v>150</v>
      </c>
      <c r="J18" s="296">
        <f>IF('2. Operating Budget'!$D12&gt;0,$C18/12,'2. Operating Budget'!$B12*4.3+'2. Operating Budget'!$C12+'2. Operating Budget'!$E12*J$7)</f>
        <v>150</v>
      </c>
      <c r="K18" s="296">
        <f>IF('2. Operating Budget'!$D12&gt;0,$C18/12,'2. Operating Budget'!$B12*4.3+'2. Operating Budget'!$C12+'2. Operating Budget'!$E12*K$7)</f>
        <v>150</v>
      </c>
      <c r="L18" s="296">
        <f>IF('2. Operating Budget'!$D12&gt;0,$C18/12,'2. Operating Budget'!$B12*4.3+'2. Operating Budget'!$C12+'2. Operating Budget'!$E12*L$7)</f>
        <v>150</v>
      </c>
      <c r="M18" s="296">
        <f>IF('2. Operating Budget'!$D12&gt;0,$C18/12,'2. Operating Budget'!$B12*4.3+'2. Operating Budget'!$C12+'2. Operating Budget'!$E12*M$7)</f>
        <v>150</v>
      </c>
      <c r="N18" s="296">
        <f>IF('2. Operating Budget'!$D12&gt;0,$C18/12,'2. Operating Budget'!$B12*4.3+'2. Operating Budget'!$C12+'2. Operating Budget'!$E12*N$7)</f>
        <v>150</v>
      </c>
      <c r="O18" s="296">
        <f>IF('2. Operating Budget'!$D12&gt;0,$C18/12,'2. Operating Budget'!$B12*4.3+'2. Operating Budget'!$C12+'2. Operating Budget'!$E12*O$7)</f>
        <v>150</v>
      </c>
      <c r="P18" s="356">
        <f t="shared" ref="P18:P50" si="19">SUM(D18:O18)</f>
        <v>1800</v>
      </c>
      <c r="Q18" s="295">
        <f>IF('2. Operating Budget'!$D12&gt;0,$C18/12,'2. Operating Budget'!$B12*4.3+'2. Operating Budget'!$C12+'2. Operating Budget'!$E12*Q$7)</f>
        <v>150</v>
      </c>
      <c r="R18" s="296">
        <f>IF('2. Operating Budget'!$D12&gt;0,$C18/12,'2. Operating Budget'!$B12*4.3+'2. Operating Budget'!$C12+'2. Operating Budget'!$E12*R$7)</f>
        <v>150</v>
      </c>
      <c r="S18" s="296">
        <f>IF('2. Operating Budget'!$D12&gt;0,$C18/12,'2. Operating Budget'!$B12*4.3+'2. Operating Budget'!$C12+'2. Operating Budget'!$E12*S$7)</f>
        <v>150</v>
      </c>
      <c r="T18" s="296">
        <f>IF('2. Operating Budget'!$D12&gt;0,$C18/12,'2. Operating Budget'!$B12*4.3+'2. Operating Budget'!$C12+'2. Operating Budget'!$E12*T$7)</f>
        <v>150</v>
      </c>
      <c r="U18" s="296">
        <f>IF('2. Operating Budget'!$D12&gt;0,$C18/12,'2. Operating Budget'!$B12*4.3+'2. Operating Budget'!$C12+'2. Operating Budget'!$E12*U$7)</f>
        <v>150</v>
      </c>
      <c r="V18" s="296">
        <f>IF('2. Operating Budget'!$D12&gt;0,$C18/12,'2. Operating Budget'!$B12*4.3+'2. Operating Budget'!$C12+'2. Operating Budget'!$E12*V$7)</f>
        <v>150</v>
      </c>
      <c r="W18" s="296">
        <f>IF('2. Operating Budget'!$D12&gt;0,$C18/12,'2. Operating Budget'!$B12*4.3+'2. Operating Budget'!$C12+'2. Operating Budget'!$E12*W$7)</f>
        <v>150</v>
      </c>
      <c r="X18" s="296">
        <f>IF('2. Operating Budget'!$D12&gt;0,$C18/12,'2. Operating Budget'!$B12*4.3+'2. Operating Budget'!$C12+'2. Operating Budget'!$E12*X$7)</f>
        <v>150</v>
      </c>
      <c r="Y18" s="296">
        <f>IF('2. Operating Budget'!$D12&gt;0,$C18/12,'2. Operating Budget'!$B12*4.3+'2. Operating Budget'!$C12+'2. Operating Budget'!$E12*Y$7)</f>
        <v>150</v>
      </c>
      <c r="Z18" s="296">
        <f>IF('2. Operating Budget'!$D12&gt;0,$C18/12,'2. Operating Budget'!$B12*4.3+'2. Operating Budget'!$C12+'2. Operating Budget'!$E12*Z$7)</f>
        <v>150</v>
      </c>
      <c r="AA18" s="296">
        <f>IF('2. Operating Budget'!$D12&gt;0,$C18/12,'2. Operating Budget'!$B12*4.3+'2. Operating Budget'!$C12+'2. Operating Budget'!$E12*AA$7)</f>
        <v>150</v>
      </c>
      <c r="AB18" s="296">
        <f>IF('2. Operating Budget'!$D12&gt;0,$C18/12,'2. Operating Budget'!$B12*4.3+'2. Operating Budget'!$C12+'2. Operating Budget'!$E12*AB$7)</f>
        <v>150</v>
      </c>
      <c r="AC18" s="356">
        <f t="shared" ref="AC18:AC50" si="20">SUM(Q18:AB18)</f>
        <v>1800</v>
      </c>
      <c r="AD18" s="356">
        <f>IF('2. Operating Budget'!$E12&gt;0,'2. Operating Budget'!$E12*'8. P&amp;L and Cashflow'!AD$7,'2. Operating Budget'!$K12)</f>
        <v>1800</v>
      </c>
      <c r="AE18" s="356">
        <f>IF('2. Operating Budget'!$E12&gt;0,'2. Operating Budget'!$E12*'8. P&amp;L and Cashflow'!AE$7,'2. Operating Budget'!$K12)</f>
        <v>1800</v>
      </c>
      <c r="AF18" s="356">
        <f>IF('2. Operating Budget'!$E12&gt;0,'2. Operating Budget'!$E12*'8. P&amp;L and Cashflow'!AF$7,'2. Operating Budget'!$K12)</f>
        <v>1800</v>
      </c>
    </row>
    <row r="19" spans="1:32" ht="12.75" x14ac:dyDescent="0.2">
      <c r="B19" s="174" t="str">
        <f>IF('2. Operating Budget'!A13="","",'2. Operating Budget'!A13)</f>
        <v>Electricity/Heat/Water</v>
      </c>
      <c r="C19" s="267">
        <f>'2. Operating Budget'!K13</f>
        <v>0</v>
      </c>
      <c r="D19" s="261">
        <f>IF('2. Operating Budget'!$D13&gt;0,$C19/12,'2. Operating Budget'!$B13*4.3+'2. Operating Budget'!$C13+'2. Operating Budget'!$E13*D$7)</f>
        <v>0</v>
      </c>
      <c r="E19" s="76">
        <f>IF('2. Operating Budget'!$D13&gt;0,$C19/12,'2. Operating Budget'!$B13*4.3+'2. Operating Budget'!$C13+'2. Operating Budget'!$E13*E$7)</f>
        <v>0</v>
      </c>
      <c r="F19" s="76">
        <f>IF('2. Operating Budget'!$D13&gt;0,$C19/12,'2. Operating Budget'!$B13*4.3+'2. Operating Budget'!$C13+'2. Operating Budget'!$E13*F$7)</f>
        <v>0</v>
      </c>
      <c r="G19" s="76">
        <f>IF('2. Operating Budget'!$D13&gt;0,$C19/12,'2. Operating Budget'!$B13*4.3+'2. Operating Budget'!$C13+'2. Operating Budget'!$E13*G$7)</f>
        <v>0</v>
      </c>
      <c r="H19" s="76">
        <f>IF('2. Operating Budget'!$D13&gt;0,$C19/12,'2. Operating Budget'!$B13*4.3+'2. Operating Budget'!$C13+'2. Operating Budget'!$E13*H$7)</f>
        <v>0</v>
      </c>
      <c r="I19" s="76">
        <f>IF('2. Operating Budget'!$D13&gt;0,$C19/12,'2. Operating Budget'!$B13*4.3+'2. Operating Budget'!$C13+'2. Operating Budget'!$E13*I$7)</f>
        <v>0</v>
      </c>
      <c r="J19" s="76">
        <f>IF('2. Operating Budget'!$D13&gt;0,$C19/12,'2. Operating Budget'!$B13*4.3+'2. Operating Budget'!$C13+'2. Operating Budget'!$E13*J$7)</f>
        <v>0</v>
      </c>
      <c r="K19" s="76">
        <f>IF('2. Operating Budget'!$D13&gt;0,$C19/12,'2. Operating Budget'!$B13*4.3+'2. Operating Budget'!$C13+'2. Operating Budget'!$E13*K$7)</f>
        <v>0</v>
      </c>
      <c r="L19" s="76">
        <f>IF('2. Operating Budget'!$D13&gt;0,$C19/12,'2. Operating Budget'!$B13*4.3+'2. Operating Budget'!$C13+'2. Operating Budget'!$E13*L$7)</f>
        <v>0</v>
      </c>
      <c r="M19" s="76">
        <f>IF('2. Operating Budget'!$D13&gt;0,$C19/12,'2. Operating Budget'!$B13*4.3+'2. Operating Budget'!$C13+'2. Operating Budget'!$E13*M$7)</f>
        <v>0</v>
      </c>
      <c r="N19" s="76">
        <f>IF('2. Operating Budget'!$D13&gt;0,$C19/12,'2. Operating Budget'!$B13*4.3+'2. Operating Budget'!$C13+'2. Operating Budget'!$E13*N$7)</f>
        <v>0</v>
      </c>
      <c r="O19" s="76">
        <f>IF('2. Operating Budget'!$D13&gt;0,$C19/12,'2. Operating Budget'!$B13*4.3+'2. Operating Budget'!$C13+'2. Operating Budget'!$E13*O$7)</f>
        <v>0</v>
      </c>
      <c r="P19" s="357">
        <f t="shared" si="19"/>
        <v>0</v>
      </c>
      <c r="Q19" s="261">
        <f>IF('2. Operating Budget'!$D13&gt;0,$C19/12,'2. Operating Budget'!$B13*4.3+'2. Operating Budget'!$C13+'2. Operating Budget'!$E13*Q$7)</f>
        <v>0</v>
      </c>
      <c r="R19" s="76">
        <f>IF('2. Operating Budget'!$D13&gt;0,$C19/12,'2. Operating Budget'!$B13*4.3+'2. Operating Budget'!$C13+'2. Operating Budget'!$E13*R$7)</f>
        <v>0</v>
      </c>
      <c r="S19" s="76">
        <f>IF('2. Operating Budget'!$D13&gt;0,$C19/12,'2. Operating Budget'!$B13*4.3+'2. Operating Budget'!$C13+'2. Operating Budget'!$E13*S$7)</f>
        <v>0</v>
      </c>
      <c r="T19" s="76">
        <f>IF('2. Operating Budget'!$D13&gt;0,$C19/12,'2. Operating Budget'!$B13*4.3+'2. Operating Budget'!$C13+'2. Operating Budget'!$E13*T$7)</f>
        <v>0</v>
      </c>
      <c r="U19" s="76">
        <f>IF('2. Operating Budget'!$D13&gt;0,$C19/12,'2. Operating Budget'!$B13*4.3+'2. Operating Budget'!$C13+'2. Operating Budget'!$E13*U$7)</f>
        <v>0</v>
      </c>
      <c r="V19" s="76">
        <f>IF('2. Operating Budget'!$D13&gt;0,$C19/12,'2. Operating Budget'!$B13*4.3+'2. Operating Budget'!$C13+'2. Operating Budget'!$E13*V$7)</f>
        <v>0</v>
      </c>
      <c r="W19" s="76">
        <f>IF('2. Operating Budget'!$D13&gt;0,$C19/12,'2. Operating Budget'!$B13*4.3+'2. Operating Budget'!$C13+'2. Operating Budget'!$E13*W$7)</f>
        <v>0</v>
      </c>
      <c r="X19" s="76">
        <f>IF('2. Operating Budget'!$D13&gt;0,$C19/12,'2. Operating Budget'!$B13*4.3+'2. Operating Budget'!$C13+'2. Operating Budget'!$E13*X$7)</f>
        <v>0</v>
      </c>
      <c r="Y19" s="76">
        <f>IF('2. Operating Budget'!$D13&gt;0,$C19/12,'2. Operating Budget'!$B13*4.3+'2. Operating Budget'!$C13+'2. Operating Budget'!$E13*Y$7)</f>
        <v>0</v>
      </c>
      <c r="Z19" s="76">
        <f>IF('2. Operating Budget'!$D13&gt;0,$C19/12,'2. Operating Budget'!$B13*4.3+'2. Operating Budget'!$C13+'2. Operating Budget'!$E13*Z$7)</f>
        <v>0</v>
      </c>
      <c r="AA19" s="76">
        <f>IF('2. Operating Budget'!$D13&gt;0,$C19/12,'2. Operating Budget'!$B13*4.3+'2. Operating Budget'!$C13+'2. Operating Budget'!$E13*AA$7)</f>
        <v>0</v>
      </c>
      <c r="AB19" s="76">
        <f>IF('2. Operating Budget'!$D13&gt;0,$C19/12,'2. Operating Budget'!$B13*4.3+'2. Operating Budget'!$C13+'2. Operating Budget'!$E13*AB$7)</f>
        <v>0</v>
      </c>
      <c r="AC19" s="357">
        <f t="shared" si="20"/>
        <v>0</v>
      </c>
      <c r="AD19" s="357">
        <f>IF('2. Operating Budget'!$E13&gt;0,'2. Operating Budget'!$E13*'8. P&amp;L and Cashflow'!AD$7,'2. Operating Budget'!$K13)</f>
        <v>0</v>
      </c>
      <c r="AE19" s="357">
        <f>IF('2. Operating Budget'!$E13&gt;0,'2. Operating Budget'!$E13*'8. P&amp;L and Cashflow'!AE$7,'2. Operating Budget'!$K13)</f>
        <v>0</v>
      </c>
      <c r="AF19" s="357">
        <f>IF('2. Operating Budget'!$E13&gt;0,'2. Operating Budget'!$E13*'8. P&amp;L and Cashflow'!AF$7,'2. Operating Budget'!$K13)</f>
        <v>0</v>
      </c>
    </row>
    <row r="20" spans="1:32" ht="12.75" x14ac:dyDescent="0.2">
      <c r="B20" s="293" t="str">
        <f>IF('2. Operating Budget'!A14="","",'2. Operating Budget'!A14)</f>
        <v>Dumpster/Waste</v>
      </c>
      <c r="C20" s="294">
        <f>'2. Operating Budget'!K14</f>
        <v>0</v>
      </c>
      <c r="D20" s="295">
        <f>IF('2. Operating Budget'!$D14&gt;0,$C20/12,'2. Operating Budget'!$B14*4.3+'2. Operating Budget'!$C14+'2. Operating Budget'!$E14*D$7)</f>
        <v>0</v>
      </c>
      <c r="E20" s="296">
        <f>IF('2. Operating Budget'!$D14&gt;0,$C20/12,'2. Operating Budget'!$B14*4.3+'2. Operating Budget'!$C14+'2. Operating Budget'!$E14*E$7)</f>
        <v>0</v>
      </c>
      <c r="F20" s="296">
        <f>IF('2. Operating Budget'!$D14&gt;0,$C20/12,'2. Operating Budget'!$B14*4.3+'2. Operating Budget'!$C14+'2. Operating Budget'!$E14*F$7)</f>
        <v>0</v>
      </c>
      <c r="G20" s="296">
        <f>IF('2. Operating Budget'!$D14&gt;0,$C20/12,'2. Operating Budget'!$B14*4.3+'2. Operating Budget'!$C14+'2. Operating Budget'!$E14*G$7)</f>
        <v>0</v>
      </c>
      <c r="H20" s="296">
        <f>IF('2. Operating Budget'!$D14&gt;0,$C20/12,'2. Operating Budget'!$B14*4.3+'2. Operating Budget'!$C14+'2. Operating Budget'!$E14*H$7)</f>
        <v>0</v>
      </c>
      <c r="I20" s="296">
        <f>IF('2. Operating Budget'!$D14&gt;0,$C20/12,'2. Operating Budget'!$B14*4.3+'2. Operating Budget'!$C14+'2. Operating Budget'!$E14*I$7)</f>
        <v>0</v>
      </c>
      <c r="J20" s="296">
        <f>IF('2. Operating Budget'!$D14&gt;0,$C20/12,'2. Operating Budget'!$B14*4.3+'2. Operating Budget'!$C14+'2. Operating Budget'!$E14*J$7)</f>
        <v>0</v>
      </c>
      <c r="K20" s="296">
        <f>IF('2. Operating Budget'!$D14&gt;0,$C20/12,'2. Operating Budget'!$B14*4.3+'2. Operating Budget'!$C14+'2. Operating Budget'!$E14*K$7)</f>
        <v>0</v>
      </c>
      <c r="L20" s="296">
        <f>IF('2. Operating Budget'!$D14&gt;0,$C20/12,'2. Operating Budget'!$B14*4.3+'2. Operating Budget'!$C14+'2. Operating Budget'!$E14*L$7)</f>
        <v>0</v>
      </c>
      <c r="M20" s="296">
        <f>IF('2. Operating Budget'!$D14&gt;0,$C20/12,'2. Operating Budget'!$B14*4.3+'2. Operating Budget'!$C14+'2. Operating Budget'!$E14*M$7)</f>
        <v>0</v>
      </c>
      <c r="N20" s="296">
        <f>IF('2. Operating Budget'!$D14&gt;0,$C20/12,'2. Operating Budget'!$B14*4.3+'2. Operating Budget'!$C14+'2. Operating Budget'!$E14*N$7)</f>
        <v>0</v>
      </c>
      <c r="O20" s="296">
        <f>IF('2. Operating Budget'!$D14&gt;0,$C20/12,'2. Operating Budget'!$B14*4.3+'2. Operating Budget'!$C14+'2. Operating Budget'!$E14*O$7)</f>
        <v>0</v>
      </c>
      <c r="P20" s="356">
        <f t="shared" si="19"/>
        <v>0</v>
      </c>
      <c r="Q20" s="295">
        <f>IF('2. Operating Budget'!$D14&gt;0,$C20/12,'2. Operating Budget'!$B14*4.3+'2. Operating Budget'!$C14+'2. Operating Budget'!$E14*Q$7)</f>
        <v>0</v>
      </c>
      <c r="R20" s="296">
        <f>IF('2. Operating Budget'!$D14&gt;0,$C20/12,'2. Operating Budget'!$B14*4.3+'2. Operating Budget'!$C14+'2. Operating Budget'!$E14*R$7)</f>
        <v>0</v>
      </c>
      <c r="S20" s="296">
        <f>IF('2. Operating Budget'!$D14&gt;0,$C20/12,'2. Operating Budget'!$B14*4.3+'2. Operating Budget'!$C14+'2. Operating Budget'!$E14*S$7)</f>
        <v>0</v>
      </c>
      <c r="T20" s="296">
        <f>IF('2. Operating Budget'!$D14&gt;0,$C20/12,'2. Operating Budget'!$B14*4.3+'2. Operating Budget'!$C14+'2. Operating Budget'!$E14*T$7)</f>
        <v>0</v>
      </c>
      <c r="U20" s="296">
        <f>IF('2. Operating Budget'!$D14&gt;0,$C20/12,'2. Operating Budget'!$B14*4.3+'2. Operating Budget'!$C14+'2. Operating Budget'!$E14*U$7)</f>
        <v>0</v>
      </c>
      <c r="V20" s="296">
        <f>IF('2. Operating Budget'!$D14&gt;0,$C20/12,'2. Operating Budget'!$B14*4.3+'2. Operating Budget'!$C14+'2. Operating Budget'!$E14*V$7)</f>
        <v>0</v>
      </c>
      <c r="W20" s="296">
        <f>IF('2. Operating Budget'!$D14&gt;0,$C20/12,'2. Operating Budget'!$B14*4.3+'2. Operating Budget'!$C14+'2. Operating Budget'!$E14*W$7)</f>
        <v>0</v>
      </c>
      <c r="X20" s="296">
        <f>IF('2. Operating Budget'!$D14&gt;0,$C20/12,'2. Operating Budget'!$B14*4.3+'2. Operating Budget'!$C14+'2. Operating Budget'!$E14*X$7)</f>
        <v>0</v>
      </c>
      <c r="Y20" s="296">
        <f>IF('2. Operating Budget'!$D14&gt;0,$C20/12,'2. Operating Budget'!$B14*4.3+'2. Operating Budget'!$C14+'2. Operating Budget'!$E14*Y$7)</f>
        <v>0</v>
      </c>
      <c r="Z20" s="296">
        <f>IF('2. Operating Budget'!$D14&gt;0,$C20/12,'2. Operating Budget'!$B14*4.3+'2. Operating Budget'!$C14+'2. Operating Budget'!$E14*Z$7)</f>
        <v>0</v>
      </c>
      <c r="AA20" s="296">
        <f>IF('2. Operating Budget'!$D14&gt;0,$C20/12,'2. Operating Budget'!$B14*4.3+'2. Operating Budget'!$C14+'2. Operating Budget'!$E14*AA$7)</f>
        <v>0</v>
      </c>
      <c r="AB20" s="296">
        <f>IF('2. Operating Budget'!$D14&gt;0,$C20/12,'2. Operating Budget'!$B14*4.3+'2. Operating Budget'!$C14+'2. Operating Budget'!$E14*AB$7)</f>
        <v>0</v>
      </c>
      <c r="AC20" s="356">
        <f t="shared" si="20"/>
        <v>0</v>
      </c>
      <c r="AD20" s="356">
        <f>IF('2. Operating Budget'!$E14&gt;0,'2. Operating Budget'!$E14*'8. P&amp;L and Cashflow'!AD$7,'2. Operating Budget'!$K14)</f>
        <v>0</v>
      </c>
      <c r="AE20" s="356">
        <f>IF('2. Operating Budget'!$E14&gt;0,'2. Operating Budget'!$E14*'8. P&amp;L and Cashflow'!AE$7,'2. Operating Budget'!$K14)</f>
        <v>0</v>
      </c>
      <c r="AF20" s="356">
        <f>IF('2. Operating Budget'!$E14&gt;0,'2. Operating Budget'!$E14*'8. P&amp;L and Cashflow'!AF$7,'2. Operating Budget'!$K14)</f>
        <v>0</v>
      </c>
    </row>
    <row r="21" spans="1:32" ht="12.75" x14ac:dyDescent="0.2">
      <c r="B21" s="174" t="str">
        <f>IF('2. Operating Budget'!A15="","",'2. Operating Budget'!A15)</f>
        <v>Liability Insurance</v>
      </c>
      <c r="C21" s="267">
        <f>'2. Operating Budget'!K15</f>
        <v>500</v>
      </c>
      <c r="D21" s="261">
        <f>IF('2. Operating Budget'!$D15&gt;0,$C21/12,'2. Operating Budget'!$B15*4.3+'2. Operating Budget'!$C15+'2. Operating Budget'!$E15*D$7)</f>
        <v>41.666666666666664</v>
      </c>
      <c r="E21" s="76">
        <f>IF('2. Operating Budget'!$D15&gt;0,$C21/12,'2. Operating Budget'!$B15*4.3+'2. Operating Budget'!$C15+'2. Operating Budget'!$E15*E$7)</f>
        <v>41.666666666666664</v>
      </c>
      <c r="F21" s="76">
        <f>IF('2. Operating Budget'!$D15&gt;0,$C21/12,'2. Operating Budget'!$B15*4.3+'2. Operating Budget'!$C15+'2. Operating Budget'!$E15*F$7)</f>
        <v>41.666666666666664</v>
      </c>
      <c r="G21" s="76">
        <f>IF('2. Operating Budget'!$D15&gt;0,$C21/12,'2. Operating Budget'!$B15*4.3+'2. Operating Budget'!$C15+'2. Operating Budget'!$E15*G$7)</f>
        <v>41.666666666666664</v>
      </c>
      <c r="H21" s="76">
        <f>IF('2. Operating Budget'!$D15&gt;0,$C21/12,'2. Operating Budget'!$B15*4.3+'2. Operating Budget'!$C15+'2. Operating Budget'!$E15*H$7)</f>
        <v>41.666666666666664</v>
      </c>
      <c r="I21" s="76">
        <f>IF('2. Operating Budget'!$D15&gt;0,$C21/12,'2. Operating Budget'!$B15*4.3+'2. Operating Budget'!$C15+'2. Operating Budget'!$E15*I$7)</f>
        <v>41.666666666666664</v>
      </c>
      <c r="J21" s="76">
        <f>IF('2. Operating Budget'!$D15&gt;0,$C21/12,'2. Operating Budget'!$B15*4.3+'2. Operating Budget'!$C15+'2. Operating Budget'!$E15*J$7)</f>
        <v>41.666666666666664</v>
      </c>
      <c r="K21" s="76">
        <f>IF('2. Operating Budget'!$D15&gt;0,$C21/12,'2. Operating Budget'!$B15*4.3+'2. Operating Budget'!$C15+'2. Operating Budget'!$E15*K$7)</f>
        <v>41.666666666666664</v>
      </c>
      <c r="L21" s="76">
        <f>IF('2. Operating Budget'!$D15&gt;0,$C21/12,'2. Operating Budget'!$B15*4.3+'2. Operating Budget'!$C15+'2. Operating Budget'!$E15*L$7)</f>
        <v>41.666666666666664</v>
      </c>
      <c r="M21" s="76">
        <f>IF('2. Operating Budget'!$D15&gt;0,$C21/12,'2. Operating Budget'!$B15*4.3+'2. Operating Budget'!$C15+'2. Operating Budget'!$E15*M$7)</f>
        <v>41.666666666666664</v>
      </c>
      <c r="N21" s="76">
        <f>IF('2. Operating Budget'!$D15&gt;0,$C21/12,'2. Operating Budget'!$B15*4.3+'2. Operating Budget'!$C15+'2. Operating Budget'!$E15*N$7)</f>
        <v>41.666666666666664</v>
      </c>
      <c r="O21" s="76">
        <f>IF('2. Operating Budget'!$D15&gt;0,$C21/12,'2. Operating Budget'!$B15*4.3+'2. Operating Budget'!$C15+'2. Operating Budget'!$E15*O$7)</f>
        <v>41.666666666666664</v>
      </c>
      <c r="P21" s="357">
        <f t="shared" si="19"/>
        <v>500.00000000000006</v>
      </c>
      <c r="Q21" s="261">
        <f>IF('2. Operating Budget'!$D15&gt;0,$C21/12,'2. Operating Budget'!$B15*4.3+'2. Operating Budget'!$C15+'2. Operating Budget'!$E15*Q$7)</f>
        <v>41.666666666666664</v>
      </c>
      <c r="R21" s="76">
        <f>IF('2. Operating Budget'!$D15&gt;0,$C21/12,'2. Operating Budget'!$B15*4.3+'2. Operating Budget'!$C15+'2. Operating Budget'!$E15*R$7)</f>
        <v>41.666666666666664</v>
      </c>
      <c r="S21" s="76">
        <f>IF('2. Operating Budget'!$D15&gt;0,$C21/12,'2. Operating Budget'!$B15*4.3+'2. Operating Budget'!$C15+'2. Operating Budget'!$E15*S$7)</f>
        <v>41.666666666666664</v>
      </c>
      <c r="T21" s="76">
        <f>IF('2. Operating Budget'!$D15&gt;0,$C21/12,'2. Operating Budget'!$B15*4.3+'2. Operating Budget'!$C15+'2. Operating Budget'!$E15*T$7)</f>
        <v>41.666666666666664</v>
      </c>
      <c r="U21" s="76">
        <f>IF('2. Operating Budget'!$D15&gt;0,$C21/12,'2. Operating Budget'!$B15*4.3+'2. Operating Budget'!$C15+'2. Operating Budget'!$E15*U$7)</f>
        <v>41.666666666666664</v>
      </c>
      <c r="V21" s="76">
        <f>IF('2. Operating Budget'!$D15&gt;0,$C21/12,'2. Operating Budget'!$B15*4.3+'2. Operating Budget'!$C15+'2. Operating Budget'!$E15*V$7)</f>
        <v>41.666666666666664</v>
      </c>
      <c r="W21" s="76">
        <f>IF('2. Operating Budget'!$D15&gt;0,$C21/12,'2. Operating Budget'!$B15*4.3+'2. Operating Budget'!$C15+'2. Operating Budget'!$E15*W$7)</f>
        <v>41.666666666666664</v>
      </c>
      <c r="X21" s="76">
        <f>IF('2. Operating Budget'!$D15&gt;0,$C21/12,'2. Operating Budget'!$B15*4.3+'2. Operating Budget'!$C15+'2. Operating Budget'!$E15*X$7)</f>
        <v>41.666666666666664</v>
      </c>
      <c r="Y21" s="76">
        <f>IF('2. Operating Budget'!$D15&gt;0,$C21/12,'2. Operating Budget'!$B15*4.3+'2. Operating Budget'!$C15+'2. Operating Budget'!$E15*Y$7)</f>
        <v>41.666666666666664</v>
      </c>
      <c r="Z21" s="76">
        <f>IF('2. Operating Budget'!$D15&gt;0,$C21/12,'2. Operating Budget'!$B15*4.3+'2. Operating Budget'!$C15+'2. Operating Budget'!$E15*Z$7)</f>
        <v>41.666666666666664</v>
      </c>
      <c r="AA21" s="76">
        <f>IF('2. Operating Budget'!$D15&gt;0,$C21/12,'2. Operating Budget'!$B15*4.3+'2. Operating Budget'!$C15+'2. Operating Budget'!$E15*AA$7)</f>
        <v>41.666666666666664</v>
      </c>
      <c r="AB21" s="76">
        <f>IF('2. Operating Budget'!$D15&gt;0,$C21/12,'2. Operating Budget'!$B15*4.3+'2. Operating Budget'!$C15+'2. Operating Budget'!$E15*AB$7)</f>
        <v>41.666666666666664</v>
      </c>
      <c r="AC21" s="357">
        <f t="shared" si="20"/>
        <v>500.00000000000006</v>
      </c>
      <c r="AD21" s="357">
        <f>IF('2. Operating Budget'!$E15&gt;0,'2. Operating Budget'!$E15*'8. P&amp;L and Cashflow'!AD$7,'2. Operating Budget'!$K15)</f>
        <v>500</v>
      </c>
      <c r="AE21" s="357">
        <f>IF('2. Operating Budget'!$E15&gt;0,'2. Operating Budget'!$E15*'8. P&amp;L and Cashflow'!AE$7,'2. Operating Budget'!$K15)</f>
        <v>500</v>
      </c>
      <c r="AF21" s="357">
        <f>IF('2. Operating Budget'!$E15&gt;0,'2. Operating Budget'!$E15*'8. P&amp;L and Cashflow'!AF$7,'2. Operating Budget'!$K15)</f>
        <v>500</v>
      </c>
    </row>
    <row r="22" spans="1:32" ht="12.75" x14ac:dyDescent="0.2">
      <c r="A22" s="9"/>
      <c r="B22" s="293" t="str">
        <f>IF('2. Operating Budget'!A16="","",'2. Operating Budget'!A16)</f>
        <v>Software/Online Subscriptions</v>
      </c>
      <c r="C22" s="294">
        <f>'2. Operating Budget'!K16</f>
        <v>1548</v>
      </c>
      <c r="D22" s="295">
        <f>IF('2. Operating Budget'!$D16&gt;0,$C22/12,'2. Operating Budget'!$B16*4.3+'2. Operating Budget'!$C16+'2. Operating Budget'!$E16*D$7)</f>
        <v>129</v>
      </c>
      <c r="E22" s="296">
        <f>IF('2. Operating Budget'!$D16&gt;0,$C22/12,'2. Operating Budget'!$B16*4.3+'2. Operating Budget'!$C16+'2. Operating Budget'!$E16*E$7)</f>
        <v>129</v>
      </c>
      <c r="F22" s="296">
        <f>IF('2. Operating Budget'!$D16&gt;0,$C22/12,'2. Operating Budget'!$B16*4.3+'2. Operating Budget'!$C16+'2. Operating Budget'!$E16*F$7)</f>
        <v>129</v>
      </c>
      <c r="G22" s="296">
        <f>IF('2. Operating Budget'!$D16&gt;0,$C22/12,'2. Operating Budget'!$B16*4.3+'2. Operating Budget'!$C16+'2. Operating Budget'!$E16*G$7)</f>
        <v>129</v>
      </c>
      <c r="H22" s="296">
        <f>IF('2. Operating Budget'!$D16&gt;0,$C22/12,'2. Operating Budget'!$B16*4.3+'2. Operating Budget'!$C16+'2. Operating Budget'!$E16*H$7)</f>
        <v>129</v>
      </c>
      <c r="I22" s="296">
        <f>IF('2. Operating Budget'!$D16&gt;0,$C22/12,'2. Operating Budget'!$B16*4.3+'2. Operating Budget'!$C16+'2. Operating Budget'!$E16*I$7)</f>
        <v>129</v>
      </c>
      <c r="J22" s="296">
        <f>IF('2. Operating Budget'!$D16&gt;0,$C22/12,'2. Operating Budget'!$B16*4.3+'2. Operating Budget'!$C16+'2. Operating Budget'!$E16*J$7)</f>
        <v>129</v>
      </c>
      <c r="K22" s="296">
        <f>IF('2. Operating Budget'!$D16&gt;0,$C22/12,'2. Operating Budget'!$B16*4.3+'2. Operating Budget'!$C16+'2. Operating Budget'!$E16*K$7)</f>
        <v>129</v>
      </c>
      <c r="L22" s="296">
        <f>IF('2. Operating Budget'!$D16&gt;0,$C22/12,'2. Operating Budget'!$B16*4.3+'2. Operating Budget'!$C16+'2. Operating Budget'!$E16*L$7)</f>
        <v>129</v>
      </c>
      <c r="M22" s="296">
        <f>IF('2. Operating Budget'!$D16&gt;0,$C22/12,'2. Operating Budget'!$B16*4.3+'2. Operating Budget'!$C16+'2. Operating Budget'!$E16*M$7)</f>
        <v>129</v>
      </c>
      <c r="N22" s="296">
        <f>IF('2. Operating Budget'!$D16&gt;0,$C22/12,'2. Operating Budget'!$B16*4.3+'2. Operating Budget'!$C16+'2. Operating Budget'!$E16*N$7)</f>
        <v>129</v>
      </c>
      <c r="O22" s="296">
        <f>IF('2. Operating Budget'!$D16&gt;0,$C22/12,'2. Operating Budget'!$B16*4.3+'2. Operating Budget'!$C16+'2. Operating Budget'!$E16*O$7)</f>
        <v>129</v>
      </c>
      <c r="P22" s="356">
        <f t="shared" si="19"/>
        <v>1548</v>
      </c>
      <c r="Q22" s="295">
        <f>IF('2. Operating Budget'!$D16&gt;0,$C22/12,'2. Operating Budget'!$B16*4.3+'2. Operating Budget'!$C16+'2. Operating Budget'!$E16*Q$7)</f>
        <v>129</v>
      </c>
      <c r="R22" s="296">
        <f>IF('2. Operating Budget'!$D16&gt;0,$C22/12,'2. Operating Budget'!$B16*4.3+'2. Operating Budget'!$C16+'2. Operating Budget'!$E16*R$7)</f>
        <v>129</v>
      </c>
      <c r="S22" s="296">
        <f>IF('2. Operating Budget'!$D16&gt;0,$C22/12,'2. Operating Budget'!$B16*4.3+'2. Operating Budget'!$C16+'2. Operating Budget'!$E16*S$7)</f>
        <v>129</v>
      </c>
      <c r="T22" s="296">
        <f>IF('2. Operating Budget'!$D16&gt;0,$C22/12,'2. Operating Budget'!$B16*4.3+'2. Operating Budget'!$C16+'2. Operating Budget'!$E16*T$7)</f>
        <v>129</v>
      </c>
      <c r="U22" s="296">
        <f>IF('2. Operating Budget'!$D16&gt;0,$C22/12,'2. Operating Budget'!$B16*4.3+'2. Operating Budget'!$C16+'2. Operating Budget'!$E16*U$7)</f>
        <v>129</v>
      </c>
      <c r="V22" s="296">
        <f>IF('2. Operating Budget'!$D16&gt;0,$C22/12,'2. Operating Budget'!$B16*4.3+'2. Operating Budget'!$C16+'2. Operating Budget'!$E16*V$7)</f>
        <v>129</v>
      </c>
      <c r="W22" s="296">
        <f>IF('2. Operating Budget'!$D16&gt;0,$C22/12,'2. Operating Budget'!$B16*4.3+'2. Operating Budget'!$C16+'2. Operating Budget'!$E16*W$7)</f>
        <v>129</v>
      </c>
      <c r="X22" s="296">
        <f>IF('2. Operating Budget'!$D16&gt;0,$C22/12,'2. Operating Budget'!$B16*4.3+'2. Operating Budget'!$C16+'2. Operating Budget'!$E16*X$7)</f>
        <v>129</v>
      </c>
      <c r="Y22" s="296">
        <f>IF('2. Operating Budget'!$D16&gt;0,$C22/12,'2. Operating Budget'!$B16*4.3+'2. Operating Budget'!$C16+'2. Operating Budget'!$E16*Y$7)</f>
        <v>129</v>
      </c>
      <c r="Z22" s="296">
        <f>IF('2. Operating Budget'!$D16&gt;0,$C22/12,'2. Operating Budget'!$B16*4.3+'2. Operating Budget'!$C16+'2. Operating Budget'!$E16*Z$7)</f>
        <v>129</v>
      </c>
      <c r="AA22" s="296">
        <f>IF('2. Operating Budget'!$D16&gt;0,$C22/12,'2. Operating Budget'!$B16*4.3+'2. Operating Budget'!$C16+'2. Operating Budget'!$E16*AA$7)</f>
        <v>129</v>
      </c>
      <c r="AB22" s="296">
        <f>IF('2. Operating Budget'!$D16&gt;0,$C22/12,'2. Operating Budget'!$B16*4.3+'2. Operating Budget'!$C16+'2. Operating Budget'!$E16*AB$7)</f>
        <v>129</v>
      </c>
      <c r="AC22" s="356">
        <f t="shared" si="20"/>
        <v>1548</v>
      </c>
      <c r="AD22" s="356">
        <f>IF('2. Operating Budget'!$E16&gt;0,'2. Operating Budget'!$E16*'8. P&amp;L and Cashflow'!AD$7,'2. Operating Budget'!$K16)</f>
        <v>1548</v>
      </c>
      <c r="AE22" s="356">
        <f>IF('2. Operating Budget'!$E16&gt;0,'2. Operating Budget'!$E16*'8. P&amp;L and Cashflow'!AE$7,'2. Operating Budget'!$K16)</f>
        <v>1548</v>
      </c>
      <c r="AF22" s="356">
        <f>IF('2. Operating Budget'!$E16&gt;0,'2. Operating Budget'!$E16*'8. P&amp;L and Cashflow'!AF$7,'2. Operating Budget'!$K16)</f>
        <v>1548</v>
      </c>
    </row>
    <row r="23" spans="1:32" ht="12.75" x14ac:dyDescent="0.2">
      <c r="A23" s="59"/>
      <c r="B23" s="174" t="str">
        <f>IF('2. Operating Budget'!A17="","",'2. Operating Budget'!A17)</f>
        <v>Office Supplies</v>
      </c>
      <c r="C23" s="267">
        <f>'2. Operating Budget'!K17</f>
        <v>480</v>
      </c>
      <c r="D23" s="261">
        <f>IF('2. Operating Budget'!$D17&gt;0,$C23/12,'2. Operating Budget'!$B17*4.3+'2. Operating Budget'!$C17+'2. Operating Budget'!$E17*D$7)</f>
        <v>40</v>
      </c>
      <c r="E23" s="76">
        <f>IF('2. Operating Budget'!$D17&gt;0,$C23/12,'2. Operating Budget'!$B17*4.3+'2. Operating Budget'!$C17+'2. Operating Budget'!$E17*E$7)</f>
        <v>40</v>
      </c>
      <c r="F23" s="76">
        <f>IF('2. Operating Budget'!$D17&gt;0,$C23/12,'2. Operating Budget'!$B17*4.3+'2. Operating Budget'!$C17+'2. Operating Budget'!$E17*F$7)</f>
        <v>40</v>
      </c>
      <c r="G23" s="76">
        <f>IF('2. Operating Budget'!$D17&gt;0,$C23/12,'2. Operating Budget'!$B17*4.3+'2. Operating Budget'!$C17+'2. Operating Budget'!$E17*G$7)</f>
        <v>40</v>
      </c>
      <c r="H23" s="76">
        <f>IF('2. Operating Budget'!$D17&gt;0,$C23/12,'2. Operating Budget'!$B17*4.3+'2. Operating Budget'!$C17+'2. Operating Budget'!$E17*H$7)</f>
        <v>40</v>
      </c>
      <c r="I23" s="76">
        <f>IF('2. Operating Budget'!$D17&gt;0,$C23/12,'2. Operating Budget'!$B17*4.3+'2. Operating Budget'!$C17+'2. Operating Budget'!$E17*I$7)</f>
        <v>40</v>
      </c>
      <c r="J23" s="76">
        <f>IF('2. Operating Budget'!$D17&gt;0,$C23/12,'2. Operating Budget'!$B17*4.3+'2. Operating Budget'!$C17+'2. Operating Budget'!$E17*J$7)</f>
        <v>40</v>
      </c>
      <c r="K23" s="76">
        <f>IF('2. Operating Budget'!$D17&gt;0,$C23/12,'2. Operating Budget'!$B17*4.3+'2. Operating Budget'!$C17+'2. Operating Budget'!$E17*K$7)</f>
        <v>40</v>
      </c>
      <c r="L23" s="76">
        <f>IF('2. Operating Budget'!$D17&gt;0,$C23/12,'2. Operating Budget'!$B17*4.3+'2. Operating Budget'!$C17+'2. Operating Budget'!$E17*L$7)</f>
        <v>40</v>
      </c>
      <c r="M23" s="76">
        <f>IF('2. Operating Budget'!$D17&gt;0,$C23/12,'2. Operating Budget'!$B17*4.3+'2. Operating Budget'!$C17+'2. Operating Budget'!$E17*M$7)</f>
        <v>40</v>
      </c>
      <c r="N23" s="76">
        <f>IF('2. Operating Budget'!$D17&gt;0,$C23/12,'2. Operating Budget'!$B17*4.3+'2. Operating Budget'!$C17+'2. Operating Budget'!$E17*N$7)</f>
        <v>40</v>
      </c>
      <c r="O23" s="76">
        <f>IF('2. Operating Budget'!$D17&gt;0,$C23/12,'2. Operating Budget'!$B17*4.3+'2. Operating Budget'!$C17+'2. Operating Budget'!$E17*O$7)</f>
        <v>40</v>
      </c>
      <c r="P23" s="357">
        <f t="shared" si="19"/>
        <v>480</v>
      </c>
      <c r="Q23" s="261">
        <f>IF('2. Operating Budget'!$D17&gt;0,$C23/12,'2. Operating Budget'!$B17*4.3+'2. Operating Budget'!$C17+'2. Operating Budget'!$E17*Q$7)</f>
        <v>40</v>
      </c>
      <c r="R23" s="76">
        <f>IF('2. Operating Budget'!$D17&gt;0,$C23/12,'2. Operating Budget'!$B17*4.3+'2. Operating Budget'!$C17+'2. Operating Budget'!$E17*R$7)</f>
        <v>40</v>
      </c>
      <c r="S23" s="76">
        <f>IF('2. Operating Budget'!$D17&gt;0,$C23/12,'2. Operating Budget'!$B17*4.3+'2. Operating Budget'!$C17+'2. Operating Budget'!$E17*S$7)</f>
        <v>40</v>
      </c>
      <c r="T23" s="76">
        <f>IF('2. Operating Budget'!$D17&gt;0,$C23/12,'2. Operating Budget'!$B17*4.3+'2. Operating Budget'!$C17+'2. Operating Budget'!$E17*T$7)</f>
        <v>40</v>
      </c>
      <c r="U23" s="76">
        <f>IF('2. Operating Budget'!$D17&gt;0,$C23/12,'2. Operating Budget'!$B17*4.3+'2. Operating Budget'!$C17+'2. Operating Budget'!$E17*U$7)</f>
        <v>40</v>
      </c>
      <c r="V23" s="76">
        <f>IF('2. Operating Budget'!$D17&gt;0,$C23/12,'2. Operating Budget'!$B17*4.3+'2. Operating Budget'!$C17+'2. Operating Budget'!$E17*V$7)</f>
        <v>40</v>
      </c>
      <c r="W23" s="76">
        <f>IF('2. Operating Budget'!$D17&gt;0,$C23/12,'2. Operating Budget'!$B17*4.3+'2. Operating Budget'!$C17+'2. Operating Budget'!$E17*W$7)</f>
        <v>40</v>
      </c>
      <c r="X23" s="76">
        <f>IF('2. Operating Budget'!$D17&gt;0,$C23/12,'2. Operating Budget'!$B17*4.3+'2. Operating Budget'!$C17+'2. Operating Budget'!$E17*X$7)</f>
        <v>40</v>
      </c>
      <c r="Y23" s="76">
        <f>IF('2. Operating Budget'!$D17&gt;0,$C23/12,'2. Operating Budget'!$B17*4.3+'2. Operating Budget'!$C17+'2. Operating Budget'!$E17*Y$7)</f>
        <v>40</v>
      </c>
      <c r="Z23" s="76">
        <f>IF('2. Operating Budget'!$D17&gt;0,$C23/12,'2. Operating Budget'!$B17*4.3+'2. Operating Budget'!$C17+'2. Operating Budget'!$E17*Z$7)</f>
        <v>40</v>
      </c>
      <c r="AA23" s="76">
        <f>IF('2. Operating Budget'!$D17&gt;0,$C23/12,'2. Operating Budget'!$B17*4.3+'2. Operating Budget'!$C17+'2. Operating Budget'!$E17*AA$7)</f>
        <v>40</v>
      </c>
      <c r="AB23" s="76">
        <f>IF('2. Operating Budget'!$D17&gt;0,$C23/12,'2. Operating Budget'!$B17*4.3+'2. Operating Budget'!$C17+'2. Operating Budget'!$E17*AB$7)</f>
        <v>40</v>
      </c>
      <c r="AC23" s="357">
        <f t="shared" si="20"/>
        <v>480</v>
      </c>
      <c r="AD23" s="357">
        <f>IF('2. Operating Budget'!$E17&gt;0,'2. Operating Budget'!$E17*'8. P&amp;L and Cashflow'!AD$7,'2. Operating Budget'!$K17)</f>
        <v>480</v>
      </c>
      <c r="AE23" s="357">
        <f>IF('2. Operating Budget'!$E17&gt;0,'2. Operating Budget'!$E17*'8. P&amp;L and Cashflow'!AE$7,'2. Operating Budget'!$K17)</f>
        <v>480</v>
      </c>
      <c r="AF23" s="357">
        <f>IF('2. Operating Budget'!$E17&gt;0,'2. Operating Budget'!$E17*'8. P&amp;L and Cashflow'!AF$7,'2. Operating Budget'!$K17)</f>
        <v>480</v>
      </c>
    </row>
    <row r="24" spans="1:32" ht="12.75" x14ac:dyDescent="0.2">
      <c r="A24" s="18"/>
      <c r="B24" s="293" t="str">
        <f>IF('2. Operating Budget'!A18="","",'2. Operating Budget'!A18)</f>
        <v/>
      </c>
      <c r="C24" s="294">
        <f>'2. Operating Budget'!K18</f>
        <v>0</v>
      </c>
      <c r="D24" s="295">
        <f>IF('2. Operating Budget'!$D18&gt;0,$C24/12,'2. Operating Budget'!$B18*4.3+'2. Operating Budget'!$C18+'2. Operating Budget'!$E18*D$7)</f>
        <v>0</v>
      </c>
      <c r="E24" s="296">
        <f>IF('2. Operating Budget'!$D18&gt;0,$C24/12,'2. Operating Budget'!$B18*4.3+'2. Operating Budget'!$C18+'2. Operating Budget'!$E18*E$7)</f>
        <v>0</v>
      </c>
      <c r="F24" s="296">
        <f>IF('2. Operating Budget'!$D18&gt;0,$C24/12,'2. Operating Budget'!$B18*4.3+'2. Operating Budget'!$C18+'2. Operating Budget'!$E18*F$7)</f>
        <v>0</v>
      </c>
      <c r="G24" s="296">
        <f>IF('2. Operating Budget'!$D18&gt;0,$C24/12,'2. Operating Budget'!$B18*4.3+'2. Operating Budget'!$C18+'2. Operating Budget'!$E18*G$7)</f>
        <v>0</v>
      </c>
      <c r="H24" s="296">
        <f>IF('2. Operating Budget'!$D18&gt;0,$C24/12,'2. Operating Budget'!$B18*4.3+'2. Operating Budget'!$C18+'2. Operating Budget'!$E18*H$7)</f>
        <v>0</v>
      </c>
      <c r="I24" s="296">
        <f>IF('2. Operating Budget'!$D18&gt;0,$C24/12,'2. Operating Budget'!$B18*4.3+'2. Operating Budget'!$C18+'2. Operating Budget'!$E18*I$7)</f>
        <v>0</v>
      </c>
      <c r="J24" s="296">
        <f>IF('2. Operating Budget'!$D18&gt;0,$C24/12,'2. Operating Budget'!$B18*4.3+'2. Operating Budget'!$C18+'2. Operating Budget'!$E18*J$7)</f>
        <v>0</v>
      </c>
      <c r="K24" s="296">
        <f>IF('2. Operating Budget'!$D18&gt;0,$C24/12,'2. Operating Budget'!$B18*4.3+'2. Operating Budget'!$C18+'2. Operating Budget'!$E18*K$7)</f>
        <v>0</v>
      </c>
      <c r="L24" s="296">
        <f>IF('2. Operating Budget'!$D18&gt;0,$C24/12,'2. Operating Budget'!$B18*4.3+'2. Operating Budget'!$C18+'2. Operating Budget'!$E18*L$7)</f>
        <v>0</v>
      </c>
      <c r="M24" s="296">
        <f>IF('2. Operating Budget'!$D18&gt;0,$C24/12,'2. Operating Budget'!$B18*4.3+'2. Operating Budget'!$C18+'2. Operating Budget'!$E18*M$7)</f>
        <v>0</v>
      </c>
      <c r="N24" s="296">
        <f>IF('2. Operating Budget'!$D18&gt;0,$C24/12,'2. Operating Budget'!$B18*4.3+'2. Operating Budget'!$C18+'2. Operating Budget'!$E18*N$7)</f>
        <v>0</v>
      </c>
      <c r="O24" s="296">
        <f>IF('2. Operating Budget'!$D18&gt;0,$C24/12,'2. Operating Budget'!$B18*4.3+'2. Operating Budget'!$C18+'2. Operating Budget'!$E18*O$7)</f>
        <v>0</v>
      </c>
      <c r="P24" s="356">
        <f t="shared" si="19"/>
        <v>0</v>
      </c>
      <c r="Q24" s="295">
        <f>IF('2. Operating Budget'!$D18&gt;0,$C24/12,'2. Operating Budget'!$B18*4.3+'2. Operating Budget'!$C18+'2. Operating Budget'!$E18*Q$7)</f>
        <v>0</v>
      </c>
      <c r="R24" s="296">
        <f>IF('2. Operating Budget'!$D18&gt;0,$C24/12,'2. Operating Budget'!$B18*4.3+'2. Operating Budget'!$C18+'2. Operating Budget'!$E18*R$7)</f>
        <v>0</v>
      </c>
      <c r="S24" s="296">
        <f>IF('2. Operating Budget'!$D18&gt;0,$C24/12,'2. Operating Budget'!$B18*4.3+'2. Operating Budget'!$C18+'2. Operating Budget'!$E18*S$7)</f>
        <v>0</v>
      </c>
      <c r="T24" s="296">
        <f>IF('2. Operating Budget'!$D18&gt;0,$C24/12,'2. Operating Budget'!$B18*4.3+'2. Operating Budget'!$C18+'2. Operating Budget'!$E18*T$7)</f>
        <v>0</v>
      </c>
      <c r="U24" s="296">
        <f>IF('2. Operating Budget'!$D18&gt;0,$C24/12,'2. Operating Budget'!$B18*4.3+'2. Operating Budget'!$C18+'2. Operating Budget'!$E18*U$7)</f>
        <v>0</v>
      </c>
      <c r="V24" s="296">
        <f>IF('2. Operating Budget'!$D18&gt;0,$C24/12,'2. Operating Budget'!$B18*4.3+'2. Operating Budget'!$C18+'2. Operating Budget'!$E18*V$7)</f>
        <v>0</v>
      </c>
      <c r="W24" s="296">
        <f>IF('2. Operating Budget'!$D18&gt;0,$C24/12,'2. Operating Budget'!$B18*4.3+'2. Operating Budget'!$C18+'2. Operating Budget'!$E18*W$7)</f>
        <v>0</v>
      </c>
      <c r="X24" s="296">
        <f>IF('2. Operating Budget'!$D18&gt;0,$C24/12,'2. Operating Budget'!$B18*4.3+'2. Operating Budget'!$C18+'2. Operating Budget'!$E18*X$7)</f>
        <v>0</v>
      </c>
      <c r="Y24" s="296">
        <f>IF('2. Operating Budget'!$D18&gt;0,$C24/12,'2. Operating Budget'!$B18*4.3+'2. Operating Budget'!$C18+'2. Operating Budget'!$E18*Y$7)</f>
        <v>0</v>
      </c>
      <c r="Z24" s="296">
        <f>IF('2. Operating Budget'!$D18&gt;0,$C24/12,'2. Operating Budget'!$B18*4.3+'2. Operating Budget'!$C18+'2. Operating Budget'!$E18*Z$7)</f>
        <v>0</v>
      </c>
      <c r="AA24" s="296">
        <f>IF('2. Operating Budget'!$D18&gt;0,$C24/12,'2. Operating Budget'!$B18*4.3+'2. Operating Budget'!$C18+'2. Operating Budget'!$E18*AA$7)</f>
        <v>0</v>
      </c>
      <c r="AB24" s="296">
        <f>IF('2. Operating Budget'!$D18&gt;0,$C24/12,'2. Operating Budget'!$B18*4.3+'2. Operating Budget'!$C18+'2. Operating Budget'!$E18*AB$7)</f>
        <v>0</v>
      </c>
      <c r="AC24" s="356">
        <f t="shared" si="20"/>
        <v>0</v>
      </c>
      <c r="AD24" s="356">
        <f>IF('2. Operating Budget'!$E18&gt;0,'2. Operating Budget'!$E18*'8. P&amp;L and Cashflow'!AD$7,'2. Operating Budget'!$K18)</f>
        <v>0</v>
      </c>
      <c r="AE24" s="356">
        <f>IF('2. Operating Budget'!$E18&gt;0,'2. Operating Budget'!$E18*'8. P&amp;L and Cashflow'!AE$7,'2. Operating Budget'!$K18)</f>
        <v>0</v>
      </c>
      <c r="AF24" s="356">
        <f>IF('2. Operating Budget'!$E18&gt;0,'2. Operating Budget'!$E18*'8. P&amp;L and Cashflow'!AF$7,'2. Operating Budget'!$K18)</f>
        <v>0</v>
      </c>
    </row>
    <row r="25" spans="1:32" ht="12.75" x14ac:dyDescent="0.2">
      <c r="A25" s="47"/>
      <c r="B25" s="174" t="str">
        <f>IF('2. Operating Budget'!A19="","",'2. Operating Budget'!A19)</f>
        <v/>
      </c>
      <c r="C25" s="267">
        <f>'2. Operating Budget'!K19</f>
        <v>0</v>
      </c>
      <c r="D25" s="261">
        <f>IF('2. Operating Budget'!$D19&gt;0,$C25/12,'2. Operating Budget'!$B19*4.3+'2. Operating Budget'!$C19+'2. Operating Budget'!$E19*D$7)</f>
        <v>0</v>
      </c>
      <c r="E25" s="76">
        <f>IF('2. Operating Budget'!$D19&gt;0,$C25/12,'2. Operating Budget'!$B19*4.3+'2. Operating Budget'!$C19+'2. Operating Budget'!$E19*E$7)</f>
        <v>0</v>
      </c>
      <c r="F25" s="76">
        <f>IF('2. Operating Budget'!$D19&gt;0,$C25/12,'2. Operating Budget'!$B19*4.3+'2. Operating Budget'!$C19+'2. Operating Budget'!$E19*F$7)</f>
        <v>0</v>
      </c>
      <c r="G25" s="76">
        <f>IF('2. Operating Budget'!$D19&gt;0,$C25/12,'2. Operating Budget'!$B19*4.3+'2. Operating Budget'!$C19+'2. Operating Budget'!$E19*G$7)</f>
        <v>0</v>
      </c>
      <c r="H25" s="76">
        <f>IF('2. Operating Budget'!$D19&gt;0,$C25/12,'2. Operating Budget'!$B19*4.3+'2. Operating Budget'!$C19+'2. Operating Budget'!$E19*H$7)</f>
        <v>0</v>
      </c>
      <c r="I25" s="76">
        <f>IF('2. Operating Budget'!$D19&gt;0,$C25/12,'2. Operating Budget'!$B19*4.3+'2. Operating Budget'!$C19+'2. Operating Budget'!$E19*I$7)</f>
        <v>0</v>
      </c>
      <c r="J25" s="76">
        <f>IF('2. Operating Budget'!$D19&gt;0,$C25/12,'2. Operating Budget'!$B19*4.3+'2. Operating Budget'!$C19+'2. Operating Budget'!$E19*J$7)</f>
        <v>0</v>
      </c>
      <c r="K25" s="76">
        <f>IF('2. Operating Budget'!$D19&gt;0,$C25/12,'2. Operating Budget'!$B19*4.3+'2. Operating Budget'!$C19+'2. Operating Budget'!$E19*K$7)</f>
        <v>0</v>
      </c>
      <c r="L25" s="76">
        <f>IF('2. Operating Budget'!$D19&gt;0,$C25/12,'2. Operating Budget'!$B19*4.3+'2. Operating Budget'!$C19+'2. Operating Budget'!$E19*L$7)</f>
        <v>0</v>
      </c>
      <c r="M25" s="76">
        <f>IF('2. Operating Budget'!$D19&gt;0,$C25/12,'2. Operating Budget'!$B19*4.3+'2. Operating Budget'!$C19+'2. Operating Budget'!$E19*M$7)</f>
        <v>0</v>
      </c>
      <c r="N25" s="76">
        <f>IF('2. Operating Budget'!$D19&gt;0,$C25/12,'2. Operating Budget'!$B19*4.3+'2. Operating Budget'!$C19+'2. Operating Budget'!$E19*N$7)</f>
        <v>0</v>
      </c>
      <c r="O25" s="76">
        <f>IF('2. Operating Budget'!$D19&gt;0,$C25/12,'2. Operating Budget'!$B19*4.3+'2. Operating Budget'!$C19+'2. Operating Budget'!$E19*O$7)</f>
        <v>0</v>
      </c>
      <c r="P25" s="357">
        <f t="shared" si="19"/>
        <v>0</v>
      </c>
      <c r="Q25" s="261">
        <f>IF('2. Operating Budget'!$D19&gt;0,$C25/12,'2. Operating Budget'!$B19*4.3+'2. Operating Budget'!$C19+'2. Operating Budget'!$E19*Q$7)</f>
        <v>0</v>
      </c>
      <c r="R25" s="76">
        <f>IF('2. Operating Budget'!$D19&gt;0,$C25/12,'2. Operating Budget'!$B19*4.3+'2. Operating Budget'!$C19+'2. Operating Budget'!$E19*R$7)</f>
        <v>0</v>
      </c>
      <c r="S25" s="76">
        <f>IF('2. Operating Budget'!$D19&gt;0,$C25/12,'2. Operating Budget'!$B19*4.3+'2. Operating Budget'!$C19+'2. Operating Budget'!$E19*S$7)</f>
        <v>0</v>
      </c>
      <c r="T25" s="76">
        <f>IF('2. Operating Budget'!$D19&gt;0,$C25/12,'2. Operating Budget'!$B19*4.3+'2. Operating Budget'!$C19+'2. Operating Budget'!$E19*T$7)</f>
        <v>0</v>
      </c>
      <c r="U25" s="76">
        <f>IF('2. Operating Budget'!$D19&gt;0,$C25/12,'2. Operating Budget'!$B19*4.3+'2. Operating Budget'!$C19+'2. Operating Budget'!$E19*U$7)</f>
        <v>0</v>
      </c>
      <c r="V25" s="76">
        <f>IF('2. Operating Budget'!$D19&gt;0,$C25/12,'2. Operating Budget'!$B19*4.3+'2. Operating Budget'!$C19+'2. Operating Budget'!$E19*V$7)</f>
        <v>0</v>
      </c>
      <c r="W25" s="76">
        <f>IF('2. Operating Budget'!$D19&gt;0,$C25/12,'2. Operating Budget'!$B19*4.3+'2. Operating Budget'!$C19+'2. Operating Budget'!$E19*W$7)</f>
        <v>0</v>
      </c>
      <c r="X25" s="76">
        <f>IF('2. Operating Budget'!$D19&gt;0,$C25/12,'2. Operating Budget'!$B19*4.3+'2. Operating Budget'!$C19+'2. Operating Budget'!$E19*X$7)</f>
        <v>0</v>
      </c>
      <c r="Y25" s="76">
        <f>IF('2. Operating Budget'!$D19&gt;0,$C25/12,'2. Operating Budget'!$B19*4.3+'2. Operating Budget'!$C19+'2. Operating Budget'!$E19*Y$7)</f>
        <v>0</v>
      </c>
      <c r="Z25" s="76">
        <f>IF('2. Operating Budget'!$D19&gt;0,$C25/12,'2. Operating Budget'!$B19*4.3+'2. Operating Budget'!$C19+'2. Operating Budget'!$E19*Z$7)</f>
        <v>0</v>
      </c>
      <c r="AA25" s="76">
        <f>IF('2. Operating Budget'!$D19&gt;0,$C25/12,'2. Operating Budget'!$B19*4.3+'2. Operating Budget'!$C19+'2. Operating Budget'!$E19*AA$7)</f>
        <v>0</v>
      </c>
      <c r="AB25" s="76">
        <f>IF('2. Operating Budget'!$D19&gt;0,$C25/12,'2. Operating Budget'!$B19*4.3+'2. Operating Budget'!$C19+'2. Operating Budget'!$E19*AB$7)</f>
        <v>0</v>
      </c>
      <c r="AC25" s="357">
        <f t="shared" si="20"/>
        <v>0</v>
      </c>
      <c r="AD25" s="357">
        <f>IF('2. Operating Budget'!$E19&gt;0,'2. Operating Budget'!$E19*'8. P&amp;L and Cashflow'!AD$7,'2. Operating Budget'!$K19)</f>
        <v>0</v>
      </c>
      <c r="AE25" s="357">
        <f>IF('2. Operating Budget'!$E19&gt;0,'2. Operating Budget'!$E19*'8. P&amp;L and Cashflow'!AE$7,'2. Operating Budget'!$K19)</f>
        <v>0</v>
      </c>
      <c r="AF25" s="357">
        <f>IF('2. Operating Budget'!$E19&gt;0,'2. Operating Budget'!$E19*'8. P&amp;L and Cashflow'!AF$7,'2. Operating Budget'!$K19)</f>
        <v>0</v>
      </c>
    </row>
    <row r="26" spans="1:32" ht="12.75" x14ac:dyDescent="0.2">
      <c r="B26" s="293" t="str">
        <f>IF('2. Operating Budget'!A20="","",'2. Operating Budget'!A20)</f>
        <v>Website Hosting/Updates</v>
      </c>
      <c r="C26" s="294">
        <f>'2. Operating Budget'!K20</f>
        <v>1020</v>
      </c>
      <c r="D26" s="295">
        <f>IF('2. Operating Budget'!$D20&gt;0,$C26/12,'2. Operating Budget'!$B20*4.3+'2. Operating Budget'!$C20+'2. Operating Budget'!$E20*D$7)</f>
        <v>85</v>
      </c>
      <c r="E26" s="296">
        <f>IF('2. Operating Budget'!$D20&gt;0,$C26/12,'2. Operating Budget'!$B20*4.3+'2. Operating Budget'!$C20+'2. Operating Budget'!$E20*E$7)</f>
        <v>85</v>
      </c>
      <c r="F26" s="296">
        <f>IF('2. Operating Budget'!$D20&gt;0,$C26/12,'2. Operating Budget'!$B20*4.3+'2. Operating Budget'!$C20+'2. Operating Budget'!$E20*F$7)</f>
        <v>85</v>
      </c>
      <c r="G26" s="296">
        <f>IF('2. Operating Budget'!$D20&gt;0,$C26/12,'2. Operating Budget'!$B20*4.3+'2. Operating Budget'!$C20+'2. Operating Budget'!$E20*G$7)</f>
        <v>85</v>
      </c>
      <c r="H26" s="296">
        <f>IF('2. Operating Budget'!$D20&gt;0,$C26/12,'2. Operating Budget'!$B20*4.3+'2. Operating Budget'!$C20+'2. Operating Budget'!$E20*H$7)</f>
        <v>85</v>
      </c>
      <c r="I26" s="296">
        <f>IF('2. Operating Budget'!$D20&gt;0,$C26/12,'2. Operating Budget'!$B20*4.3+'2. Operating Budget'!$C20+'2. Operating Budget'!$E20*I$7)</f>
        <v>85</v>
      </c>
      <c r="J26" s="296">
        <f>IF('2. Operating Budget'!$D20&gt;0,$C26/12,'2. Operating Budget'!$B20*4.3+'2. Operating Budget'!$C20+'2. Operating Budget'!$E20*J$7)</f>
        <v>85</v>
      </c>
      <c r="K26" s="296">
        <f>IF('2. Operating Budget'!$D20&gt;0,$C26/12,'2. Operating Budget'!$B20*4.3+'2. Operating Budget'!$C20+'2. Operating Budget'!$E20*K$7)</f>
        <v>85</v>
      </c>
      <c r="L26" s="296">
        <f>IF('2. Operating Budget'!$D20&gt;0,$C26/12,'2. Operating Budget'!$B20*4.3+'2. Operating Budget'!$C20+'2. Operating Budget'!$E20*L$7)</f>
        <v>85</v>
      </c>
      <c r="M26" s="296">
        <f>IF('2. Operating Budget'!$D20&gt;0,$C26/12,'2. Operating Budget'!$B20*4.3+'2. Operating Budget'!$C20+'2. Operating Budget'!$E20*M$7)</f>
        <v>85</v>
      </c>
      <c r="N26" s="296">
        <f>IF('2. Operating Budget'!$D20&gt;0,$C26/12,'2. Operating Budget'!$B20*4.3+'2. Operating Budget'!$C20+'2. Operating Budget'!$E20*N$7)</f>
        <v>85</v>
      </c>
      <c r="O26" s="296">
        <f>IF('2. Operating Budget'!$D20&gt;0,$C26/12,'2. Operating Budget'!$B20*4.3+'2. Operating Budget'!$C20+'2. Operating Budget'!$E20*O$7)</f>
        <v>85</v>
      </c>
      <c r="P26" s="356">
        <f t="shared" si="19"/>
        <v>1020</v>
      </c>
      <c r="Q26" s="295">
        <f>IF('2. Operating Budget'!$D20&gt;0,$C26/12,'2. Operating Budget'!$B20*4.3+'2. Operating Budget'!$C20+'2. Operating Budget'!$E20*Q$7)</f>
        <v>85</v>
      </c>
      <c r="R26" s="296">
        <f>IF('2. Operating Budget'!$D20&gt;0,$C26/12,'2. Operating Budget'!$B20*4.3+'2. Operating Budget'!$C20+'2. Operating Budget'!$E20*R$7)</f>
        <v>85</v>
      </c>
      <c r="S26" s="296">
        <f>IF('2. Operating Budget'!$D20&gt;0,$C26/12,'2. Operating Budget'!$B20*4.3+'2. Operating Budget'!$C20+'2. Operating Budget'!$E20*S$7)</f>
        <v>85</v>
      </c>
      <c r="T26" s="296">
        <f>IF('2. Operating Budget'!$D20&gt;0,$C26/12,'2. Operating Budget'!$B20*4.3+'2. Operating Budget'!$C20+'2. Operating Budget'!$E20*T$7)</f>
        <v>85</v>
      </c>
      <c r="U26" s="296">
        <f>IF('2. Operating Budget'!$D20&gt;0,$C26/12,'2. Operating Budget'!$B20*4.3+'2. Operating Budget'!$C20+'2. Operating Budget'!$E20*U$7)</f>
        <v>85</v>
      </c>
      <c r="V26" s="296">
        <f>IF('2. Operating Budget'!$D20&gt;0,$C26/12,'2. Operating Budget'!$B20*4.3+'2. Operating Budget'!$C20+'2. Operating Budget'!$E20*V$7)</f>
        <v>85</v>
      </c>
      <c r="W26" s="296">
        <f>IF('2. Operating Budget'!$D20&gt;0,$C26/12,'2. Operating Budget'!$B20*4.3+'2. Operating Budget'!$C20+'2. Operating Budget'!$E20*W$7)</f>
        <v>85</v>
      </c>
      <c r="X26" s="296">
        <f>IF('2. Operating Budget'!$D20&gt;0,$C26/12,'2. Operating Budget'!$B20*4.3+'2. Operating Budget'!$C20+'2. Operating Budget'!$E20*X$7)</f>
        <v>85</v>
      </c>
      <c r="Y26" s="296">
        <f>IF('2. Operating Budget'!$D20&gt;0,$C26/12,'2. Operating Budget'!$B20*4.3+'2. Operating Budget'!$C20+'2. Operating Budget'!$E20*Y$7)</f>
        <v>85</v>
      </c>
      <c r="Z26" s="296">
        <f>IF('2. Operating Budget'!$D20&gt;0,$C26/12,'2. Operating Budget'!$B20*4.3+'2. Operating Budget'!$C20+'2. Operating Budget'!$E20*Z$7)</f>
        <v>85</v>
      </c>
      <c r="AA26" s="296">
        <f>IF('2. Operating Budget'!$D20&gt;0,$C26/12,'2. Operating Budget'!$B20*4.3+'2. Operating Budget'!$C20+'2. Operating Budget'!$E20*AA$7)</f>
        <v>85</v>
      </c>
      <c r="AB26" s="296">
        <f>IF('2. Operating Budget'!$D20&gt;0,$C26/12,'2. Operating Budget'!$B20*4.3+'2. Operating Budget'!$C20+'2. Operating Budget'!$E20*AB$7)</f>
        <v>85</v>
      </c>
      <c r="AC26" s="356">
        <f t="shared" si="20"/>
        <v>1020</v>
      </c>
      <c r="AD26" s="356">
        <f>IF('2. Operating Budget'!$E20&gt;0,'2. Operating Budget'!$E20*'8. P&amp;L and Cashflow'!AD$7,'2. Operating Budget'!$K20)</f>
        <v>1020</v>
      </c>
      <c r="AE26" s="356">
        <f>IF('2. Operating Budget'!$E20&gt;0,'2. Operating Budget'!$E20*'8. P&amp;L and Cashflow'!AE$7,'2. Operating Budget'!$K20)</f>
        <v>1020</v>
      </c>
      <c r="AF26" s="356">
        <f>IF('2. Operating Budget'!$E20&gt;0,'2. Operating Budget'!$E20*'8. P&amp;L and Cashflow'!AF$7,'2. Operating Budget'!$K20)</f>
        <v>1020</v>
      </c>
    </row>
    <row r="27" spans="1:32" ht="12.75" x14ac:dyDescent="0.2">
      <c r="B27" s="174" t="str">
        <f>IF('2. Operating Budget'!A21="","",'2. Operating Budget'!A21)</f>
        <v>Misc Advertising Expenses</v>
      </c>
      <c r="C27" s="267">
        <f>'2. Operating Budget'!K21</f>
        <v>2564.5</v>
      </c>
      <c r="D27" s="261">
        <f>IF('2. Operating Budget'!$D21&gt;0,$C27/12,'2. Operating Budget'!$B21*4.3+'2. Operating Budget'!$C21+'2. Operating Budget'!$E21*D$7)</f>
        <v>111.5</v>
      </c>
      <c r="E27" s="76">
        <f>IF('2. Operating Budget'!$D21&gt;0,$C27/12,'2. Operating Budget'!$B21*4.3+'2. Operating Budget'!$C21+'2. Operating Budget'!$E21*E$7)</f>
        <v>223</v>
      </c>
      <c r="F27" s="76">
        <f>IF('2. Operating Budget'!$D21&gt;0,$C27/12,'2. Operating Budget'!$B21*4.3+'2. Operating Budget'!$C21+'2. Operating Budget'!$E21*F$7)</f>
        <v>223</v>
      </c>
      <c r="G27" s="76">
        <f>IF('2. Operating Budget'!$D21&gt;0,$C27/12,'2. Operating Budget'!$B21*4.3+'2. Operating Budget'!$C21+'2. Operating Budget'!$E21*G$7)</f>
        <v>223</v>
      </c>
      <c r="H27" s="76">
        <f>IF('2. Operating Budget'!$D21&gt;0,$C27/12,'2. Operating Budget'!$B21*4.3+'2. Operating Budget'!$C21+'2. Operating Budget'!$E21*H$7)</f>
        <v>223</v>
      </c>
      <c r="I27" s="76">
        <f>IF('2. Operating Budget'!$D21&gt;0,$C27/12,'2. Operating Budget'!$B21*4.3+'2. Operating Budget'!$C21+'2. Operating Budget'!$E21*I$7)</f>
        <v>223</v>
      </c>
      <c r="J27" s="76">
        <f>IF('2. Operating Budget'!$D21&gt;0,$C27/12,'2. Operating Budget'!$B21*4.3+'2. Operating Budget'!$C21+'2. Operating Budget'!$E21*J$7)</f>
        <v>223</v>
      </c>
      <c r="K27" s="76">
        <f>IF('2. Operating Budget'!$D21&gt;0,$C27/12,'2. Operating Budget'!$B21*4.3+'2. Operating Budget'!$C21+'2. Operating Budget'!$E21*K$7)</f>
        <v>223</v>
      </c>
      <c r="L27" s="76">
        <f>IF('2. Operating Budget'!$D21&gt;0,$C27/12,'2. Operating Budget'!$B21*4.3+'2. Operating Budget'!$C21+'2. Operating Budget'!$E21*L$7)</f>
        <v>223</v>
      </c>
      <c r="M27" s="76">
        <f>IF('2. Operating Budget'!$D21&gt;0,$C27/12,'2. Operating Budget'!$B21*4.3+'2. Operating Budget'!$C21+'2. Operating Budget'!$E21*M$7)</f>
        <v>223</v>
      </c>
      <c r="N27" s="76">
        <f>IF('2. Operating Budget'!$D21&gt;0,$C27/12,'2. Operating Budget'!$B21*4.3+'2. Operating Budget'!$C21+'2. Operating Budget'!$E21*N$7)</f>
        <v>223</v>
      </c>
      <c r="O27" s="76">
        <f>IF('2. Operating Budget'!$D21&gt;0,$C27/12,'2. Operating Budget'!$B21*4.3+'2. Operating Budget'!$C21+'2. Operating Budget'!$E21*O$7)</f>
        <v>223</v>
      </c>
      <c r="P27" s="357">
        <f t="shared" si="19"/>
        <v>2564.5</v>
      </c>
      <c r="Q27" s="261">
        <f>IF('2. Operating Budget'!$D21&gt;0,$C27/12,'2. Operating Budget'!$B21*4.3+'2. Operating Budget'!$C21+'2. Operating Budget'!$E21*Q$7)</f>
        <v>252.55</v>
      </c>
      <c r="R27" s="76">
        <f>IF('2. Operating Budget'!$D21&gt;0,$C27/12,'2. Operating Budget'!$B21*4.3+'2. Operating Budget'!$C21+'2. Operating Budget'!$E21*R$7)</f>
        <v>252.55</v>
      </c>
      <c r="S27" s="76">
        <f>IF('2. Operating Budget'!$D21&gt;0,$C27/12,'2. Operating Budget'!$B21*4.3+'2. Operating Budget'!$C21+'2. Operating Budget'!$E21*S$7)</f>
        <v>252.55</v>
      </c>
      <c r="T27" s="76">
        <f>IF('2. Operating Budget'!$D21&gt;0,$C27/12,'2. Operating Budget'!$B21*4.3+'2. Operating Budget'!$C21+'2. Operating Budget'!$E21*T$7)</f>
        <v>252.55</v>
      </c>
      <c r="U27" s="76">
        <f>IF('2. Operating Budget'!$D21&gt;0,$C27/12,'2. Operating Budget'!$B21*4.3+'2. Operating Budget'!$C21+'2. Operating Budget'!$E21*U$7)</f>
        <v>252.55</v>
      </c>
      <c r="V27" s="76">
        <f>IF('2. Operating Budget'!$D21&gt;0,$C27/12,'2. Operating Budget'!$B21*4.3+'2. Operating Budget'!$C21+'2. Operating Budget'!$E21*V$7)</f>
        <v>252.55</v>
      </c>
      <c r="W27" s="76">
        <f>IF('2. Operating Budget'!$D21&gt;0,$C27/12,'2. Operating Budget'!$B21*4.3+'2. Operating Budget'!$C21+'2. Operating Budget'!$E21*W$7)</f>
        <v>252.55</v>
      </c>
      <c r="X27" s="76">
        <f>IF('2. Operating Budget'!$D21&gt;0,$C27/12,'2. Operating Budget'!$B21*4.3+'2. Operating Budget'!$C21+'2. Operating Budget'!$E21*X$7)</f>
        <v>252.55</v>
      </c>
      <c r="Y27" s="76">
        <f>IF('2. Operating Budget'!$D21&gt;0,$C27/12,'2. Operating Budget'!$B21*4.3+'2. Operating Budget'!$C21+'2. Operating Budget'!$E21*Y$7)</f>
        <v>252.55</v>
      </c>
      <c r="Z27" s="76">
        <f>IF('2. Operating Budget'!$D21&gt;0,$C27/12,'2. Operating Budget'!$B21*4.3+'2. Operating Budget'!$C21+'2. Operating Budget'!$E21*Z$7)</f>
        <v>252.55</v>
      </c>
      <c r="AA27" s="76">
        <f>IF('2. Operating Budget'!$D21&gt;0,$C27/12,'2. Operating Budget'!$B21*4.3+'2. Operating Budget'!$C21+'2. Operating Budget'!$E21*AA$7)</f>
        <v>252.55</v>
      </c>
      <c r="AB27" s="76">
        <f>IF('2. Operating Budget'!$D21&gt;0,$C27/12,'2. Operating Budget'!$B21*4.3+'2. Operating Budget'!$C21+'2. Operating Budget'!$E21*AB$7)</f>
        <v>252.55</v>
      </c>
      <c r="AC27" s="357">
        <f t="shared" si="20"/>
        <v>3030.6000000000004</v>
      </c>
      <c r="AD27" s="357">
        <f>IF('2. Operating Budget'!$E21&gt;0,'2. Operating Budget'!$E21*'8. P&amp;L and Cashflow'!AD$7,'2. Operating Budget'!$K21)</f>
        <v>3433.71</v>
      </c>
      <c r="AE27" s="357">
        <f>IF('2. Operating Budget'!$E21&gt;0,'2. Operating Budget'!$E21*'8. P&amp;L and Cashflow'!AE$7,'2. Operating Budget'!$K21)</f>
        <v>3892.1385</v>
      </c>
      <c r="AF27" s="357">
        <f>IF('2. Operating Budget'!$E21&gt;0,'2. Operating Budget'!$E21*'8. P&amp;L and Cashflow'!AF$7,'2. Operating Budget'!$K21)</f>
        <v>4413.6684749999995</v>
      </c>
    </row>
    <row r="28" spans="1:32" ht="12.75" x14ac:dyDescent="0.2">
      <c r="B28" s="293" t="str">
        <f>IF('2. Operating Budget'!A22="","",'2. Operating Budget'!A22)</f>
        <v>GoogleAd Words</v>
      </c>
      <c r="C28" s="294">
        <f>'2. Operating Budget'!K22</f>
        <v>2782.25</v>
      </c>
      <c r="D28" s="295">
        <f>IF('2. Operating Budget'!$D22&gt;0,$C28/12,'2. Operating Budget'!$B22*4.3+'2. Operating Budget'!$C22+'2. Operating Budget'!$E22*D$7)</f>
        <v>180.75</v>
      </c>
      <c r="E28" s="296">
        <f>IF('2. Operating Budget'!$D22&gt;0,$C28/12,'2. Operating Budget'!$B22*4.3+'2. Operating Budget'!$C22+'2. Operating Budget'!$E22*E$7)</f>
        <v>236.5</v>
      </c>
      <c r="F28" s="296">
        <f>IF('2. Operating Budget'!$D22&gt;0,$C28/12,'2. Operating Budget'!$B22*4.3+'2. Operating Budget'!$C22+'2. Operating Budget'!$E22*F$7)</f>
        <v>236.5</v>
      </c>
      <c r="G28" s="296">
        <f>IF('2. Operating Budget'!$D22&gt;0,$C28/12,'2. Operating Budget'!$B22*4.3+'2. Operating Budget'!$C22+'2. Operating Budget'!$E22*G$7)</f>
        <v>236.5</v>
      </c>
      <c r="H28" s="296">
        <f>IF('2. Operating Budget'!$D22&gt;0,$C28/12,'2. Operating Budget'!$B22*4.3+'2. Operating Budget'!$C22+'2. Operating Budget'!$E22*H$7)</f>
        <v>236.5</v>
      </c>
      <c r="I28" s="296">
        <f>IF('2. Operating Budget'!$D22&gt;0,$C28/12,'2. Operating Budget'!$B22*4.3+'2. Operating Budget'!$C22+'2. Operating Budget'!$E22*I$7)</f>
        <v>236.5</v>
      </c>
      <c r="J28" s="296">
        <f>IF('2. Operating Budget'!$D22&gt;0,$C28/12,'2. Operating Budget'!$B22*4.3+'2. Operating Budget'!$C22+'2. Operating Budget'!$E22*J$7)</f>
        <v>236.5</v>
      </c>
      <c r="K28" s="296">
        <f>IF('2. Operating Budget'!$D22&gt;0,$C28/12,'2. Operating Budget'!$B22*4.3+'2. Operating Budget'!$C22+'2. Operating Budget'!$E22*K$7)</f>
        <v>236.5</v>
      </c>
      <c r="L28" s="296">
        <f>IF('2. Operating Budget'!$D22&gt;0,$C28/12,'2. Operating Budget'!$B22*4.3+'2. Operating Budget'!$C22+'2. Operating Budget'!$E22*L$7)</f>
        <v>236.5</v>
      </c>
      <c r="M28" s="296">
        <f>IF('2. Operating Budget'!$D22&gt;0,$C28/12,'2. Operating Budget'!$B22*4.3+'2. Operating Budget'!$C22+'2. Operating Budget'!$E22*M$7)</f>
        <v>236.5</v>
      </c>
      <c r="N28" s="296">
        <f>IF('2. Operating Budget'!$D22&gt;0,$C28/12,'2. Operating Budget'!$B22*4.3+'2. Operating Budget'!$C22+'2. Operating Budget'!$E22*N$7)</f>
        <v>236.5</v>
      </c>
      <c r="O28" s="296">
        <f>IF('2. Operating Budget'!$D22&gt;0,$C28/12,'2. Operating Budget'!$B22*4.3+'2. Operating Budget'!$C22+'2. Operating Budget'!$E22*O$7)</f>
        <v>236.5</v>
      </c>
      <c r="P28" s="356">
        <f t="shared" si="19"/>
        <v>2782.25</v>
      </c>
      <c r="Q28" s="295">
        <f>IF('2. Operating Budget'!$D22&gt;0,$C28/12,'2. Operating Budget'!$B22*4.3+'2. Operating Budget'!$C22+'2. Operating Budget'!$E22*Q$7)</f>
        <v>251.27500000000001</v>
      </c>
      <c r="R28" s="296">
        <f>IF('2. Operating Budget'!$D22&gt;0,$C28/12,'2. Operating Budget'!$B22*4.3+'2. Operating Budget'!$C22+'2. Operating Budget'!$E22*R$7)</f>
        <v>251.27500000000001</v>
      </c>
      <c r="S28" s="296">
        <f>IF('2. Operating Budget'!$D22&gt;0,$C28/12,'2. Operating Budget'!$B22*4.3+'2. Operating Budget'!$C22+'2. Operating Budget'!$E22*S$7)</f>
        <v>251.27500000000001</v>
      </c>
      <c r="T28" s="296">
        <f>IF('2. Operating Budget'!$D22&gt;0,$C28/12,'2. Operating Budget'!$B22*4.3+'2. Operating Budget'!$C22+'2. Operating Budget'!$E22*T$7)</f>
        <v>251.27500000000001</v>
      </c>
      <c r="U28" s="296">
        <f>IF('2. Operating Budget'!$D22&gt;0,$C28/12,'2. Operating Budget'!$B22*4.3+'2. Operating Budget'!$C22+'2. Operating Budget'!$E22*U$7)</f>
        <v>251.27500000000001</v>
      </c>
      <c r="V28" s="296">
        <f>IF('2. Operating Budget'!$D22&gt;0,$C28/12,'2. Operating Budget'!$B22*4.3+'2. Operating Budget'!$C22+'2. Operating Budget'!$E22*V$7)</f>
        <v>251.27500000000001</v>
      </c>
      <c r="W28" s="296">
        <f>IF('2. Operating Budget'!$D22&gt;0,$C28/12,'2. Operating Budget'!$B22*4.3+'2. Operating Budget'!$C22+'2. Operating Budget'!$E22*W$7)</f>
        <v>251.27500000000001</v>
      </c>
      <c r="X28" s="296">
        <f>IF('2. Operating Budget'!$D22&gt;0,$C28/12,'2. Operating Budget'!$B22*4.3+'2. Operating Budget'!$C22+'2. Operating Budget'!$E22*X$7)</f>
        <v>251.27500000000001</v>
      </c>
      <c r="Y28" s="296">
        <f>IF('2. Operating Budget'!$D22&gt;0,$C28/12,'2. Operating Budget'!$B22*4.3+'2. Operating Budget'!$C22+'2. Operating Budget'!$E22*Y$7)</f>
        <v>251.27500000000001</v>
      </c>
      <c r="Z28" s="296">
        <f>IF('2. Operating Budget'!$D22&gt;0,$C28/12,'2. Operating Budget'!$B22*4.3+'2. Operating Budget'!$C22+'2. Operating Budget'!$E22*Z$7)</f>
        <v>251.27500000000001</v>
      </c>
      <c r="AA28" s="296">
        <f>IF('2. Operating Budget'!$D22&gt;0,$C28/12,'2. Operating Budget'!$B22*4.3+'2. Operating Budget'!$C22+'2. Operating Budget'!$E22*AA$7)</f>
        <v>251.27500000000001</v>
      </c>
      <c r="AB28" s="296">
        <f>IF('2. Operating Budget'!$D22&gt;0,$C28/12,'2. Operating Budget'!$B22*4.3+'2. Operating Budget'!$C22+'2. Operating Budget'!$E22*AB$7)</f>
        <v>251.27500000000001</v>
      </c>
      <c r="AC28" s="356">
        <f t="shared" si="20"/>
        <v>3015.3000000000006</v>
      </c>
      <c r="AD28" s="356">
        <f>IF('2. Operating Budget'!$E22&gt;0,'2. Operating Budget'!$E22*'8. P&amp;L and Cashflow'!AD$7,'2. Operating Budget'!$K22)</f>
        <v>1716.855</v>
      </c>
      <c r="AE28" s="356">
        <f>IF('2. Operating Budget'!$E22&gt;0,'2. Operating Budget'!$E22*'8. P&amp;L and Cashflow'!AE$7,'2. Operating Budget'!$K22)</f>
        <v>1946.06925</v>
      </c>
      <c r="AF28" s="356">
        <f>IF('2. Operating Budget'!$E22&gt;0,'2. Operating Budget'!$E22*'8. P&amp;L and Cashflow'!AF$7,'2. Operating Budget'!$K22)</f>
        <v>2206.8342374999997</v>
      </c>
    </row>
    <row r="29" spans="1:32" ht="12.75" x14ac:dyDescent="0.2">
      <c r="B29" s="174" t="str">
        <f>IF('2. Operating Budget'!A23="","",'2. Operating Budget'!A23)</f>
        <v>Amazon Seller Fees</v>
      </c>
      <c r="C29" s="267">
        <f>'2. Operating Budget'!K23</f>
        <v>25645</v>
      </c>
      <c r="D29" s="261">
        <f>IF('2. Operating Budget'!$D23&gt;0,$C29/12,'2. Operating Budget'!$B23*4.3+'2. Operating Budget'!$C23+'2. Operating Budget'!$E23*D$7)</f>
        <v>1115</v>
      </c>
      <c r="E29" s="76">
        <f>IF('2. Operating Budget'!$D23&gt;0,$C29/12,'2. Operating Budget'!$B23*4.3+'2. Operating Budget'!$C23+'2. Operating Budget'!$E23*E$7)</f>
        <v>2230</v>
      </c>
      <c r="F29" s="76">
        <f>IF('2. Operating Budget'!$D23&gt;0,$C29/12,'2. Operating Budget'!$B23*4.3+'2. Operating Budget'!$C23+'2. Operating Budget'!$E23*F$7)</f>
        <v>2230</v>
      </c>
      <c r="G29" s="76">
        <f>IF('2. Operating Budget'!$D23&gt;0,$C29/12,'2. Operating Budget'!$B23*4.3+'2. Operating Budget'!$C23+'2. Operating Budget'!$E23*G$7)</f>
        <v>2230</v>
      </c>
      <c r="H29" s="76">
        <f>IF('2. Operating Budget'!$D23&gt;0,$C29/12,'2. Operating Budget'!$B23*4.3+'2. Operating Budget'!$C23+'2. Operating Budget'!$E23*H$7)</f>
        <v>2230</v>
      </c>
      <c r="I29" s="76">
        <f>IF('2. Operating Budget'!$D23&gt;0,$C29/12,'2. Operating Budget'!$B23*4.3+'2. Operating Budget'!$C23+'2. Operating Budget'!$E23*I$7)</f>
        <v>2230</v>
      </c>
      <c r="J29" s="76">
        <f>IF('2. Operating Budget'!$D23&gt;0,$C29/12,'2. Operating Budget'!$B23*4.3+'2. Operating Budget'!$C23+'2. Operating Budget'!$E23*J$7)</f>
        <v>2230</v>
      </c>
      <c r="K29" s="76">
        <f>IF('2. Operating Budget'!$D23&gt;0,$C29/12,'2. Operating Budget'!$B23*4.3+'2. Operating Budget'!$C23+'2. Operating Budget'!$E23*K$7)</f>
        <v>2230</v>
      </c>
      <c r="L29" s="76">
        <f>IF('2. Operating Budget'!$D23&gt;0,$C29/12,'2. Operating Budget'!$B23*4.3+'2. Operating Budget'!$C23+'2. Operating Budget'!$E23*L$7)</f>
        <v>2230</v>
      </c>
      <c r="M29" s="76">
        <f>IF('2. Operating Budget'!$D23&gt;0,$C29/12,'2. Operating Budget'!$B23*4.3+'2. Operating Budget'!$C23+'2. Operating Budget'!$E23*M$7)</f>
        <v>2230</v>
      </c>
      <c r="N29" s="76">
        <f>IF('2. Operating Budget'!$D23&gt;0,$C29/12,'2. Operating Budget'!$B23*4.3+'2. Operating Budget'!$C23+'2. Operating Budget'!$E23*N$7)</f>
        <v>2230</v>
      </c>
      <c r="O29" s="76">
        <f>IF('2. Operating Budget'!$D23&gt;0,$C29/12,'2. Operating Budget'!$B23*4.3+'2. Operating Budget'!$C23+'2. Operating Budget'!$E23*O$7)</f>
        <v>2230</v>
      </c>
      <c r="P29" s="357">
        <f t="shared" ref="P29:P39" si="21">SUM(D29:O29)</f>
        <v>25645</v>
      </c>
      <c r="Q29" s="261">
        <f>IF('2. Operating Budget'!$D23&gt;0,$C29/12,'2. Operating Budget'!$B23*4.3+'2. Operating Budget'!$C23+'2. Operating Budget'!$E23*Q$7)</f>
        <v>2525.5</v>
      </c>
      <c r="R29" s="76">
        <f>IF('2. Operating Budget'!$D23&gt;0,$C29/12,'2. Operating Budget'!$B23*4.3+'2. Operating Budget'!$C23+'2. Operating Budget'!$E23*R$7)</f>
        <v>2525.5</v>
      </c>
      <c r="S29" s="76">
        <f>IF('2. Operating Budget'!$D23&gt;0,$C29/12,'2. Operating Budget'!$B23*4.3+'2. Operating Budget'!$C23+'2. Operating Budget'!$E23*S$7)</f>
        <v>2525.5</v>
      </c>
      <c r="T29" s="76">
        <f>IF('2. Operating Budget'!$D23&gt;0,$C29/12,'2. Operating Budget'!$B23*4.3+'2. Operating Budget'!$C23+'2. Operating Budget'!$E23*T$7)</f>
        <v>2525.5</v>
      </c>
      <c r="U29" s="76">
        <f>IF('2. Operating Budget'!$D23&gt;0,$C29/12,'2. Operating Budget'!$B23*4.3+'2. Operating Budget'!$C23+'2. Operating Budget'!$E23*U$7)</f>
        <v>2525.5</v>
      </c>
      <c r="V29" s="76">
        <f>IF('2. Operating Budget'!$D23&gt;0,$C29/12,'2. Operating Budget'!$B23*4.3+'2. Operating Budget'!$C23+'2. Operating Budget'!$E23*V$7)</f>
        <v>2525.5</v>
      </c>
      <c r="W29" s="76">
        <f>IF('2. Operating Budget'!$D23&gt;0,$C29/12,'2. Operating Budget'!$B23*4.3+'2. Operating Budget'!$C23+'2. Operating Budget'!$E23*W$7)</f>
        <v>2525.5</v>
      </c>
      <c r="X29" s="76">
        <f>IF('2. Operating Budget'!$D23&gt;0,$C29/12,'2. Operating Budget'!$B23*4.3+'2. Operating Budget'!$C23+'2. Operating Budget'!$E23*X$7)</f>
        <v>2525.5</v>
      </c>
      <c r="Y29" s="76">
        <f>IF('2. Operating Budget'!$D23&gt;0,$C29/12,'2. Operating Budget'!$B23*4.3+'2. Operating Budget'!$C23+'2. Operating Budget'!$E23*Y$7)</f>
        <v>2525.5</v>
      </c>
      <c r="Z29" s="76">
        <f>IF('2. Operating Budget'!$D23&gt;0,$C29/12,'2. Operating Budget'!$B23*4.3+'2. Operating Budget'!$C23+'2. Operating Budget'!$E23*Z$7)</f>
        <v>2525.5</v>
      </c>
      <c r="AA29" s="76">
        <f>IF('2. Operating Budget'!$D23&gt;0,$C29/12,'2. Operating Budget'!$B23*4.3+'2. Operating Budget'!$C23+'2. Operating Budget'!$E23*AA$7)</f>
        <v>2525.5</v>
      </c>
      <c r="AB29" s="76">
        <f>IF('2. Operating Budget'!$D23&gt;0,$C29/12,'2. Operating Budget'!$B23*4.3+'2. Operating Budget'!$C23+'2. Operating Budget'!$E23*AB$7)</f>
        <v>2525.5</v>
      </c>
      <c r="AC29" s="357">
        <f t="shared" si="20"/>
        <v>30306</v>
      </c>
      <c r="AD29" s="357">
        <f>IF('2. Operating Budget'!$E23&gt;0,'2. Operating Budget'!$E23*'8. P&amp;L and Cashflow'!AD$7,'2. Operating Budget'!$K23)</f>
        <v>34337.1</v>
      </c>
      <c r="AE29" s="357">
        <f>IF('2. Operating Budget'!$E23&gt;0,'2. Operating Budget'!$E23*'8. P&amp;L and Cashflow'!AE$7,'2. Operating Budget'!$K23)</f>
        <v>38921.385000000002</v>
      </c>
      <c r="AF29" s="357">
        <f>IF('2. Operating Budget'!$E23&gt;0,'2. Operating Budget'!$E23*'8. P&amp;L and Cashflow'!AF$7,'2. Operating Budget'!$K23)</f>
        <v>44136.68475</v>
      </c>
    </row>
    <row r="30" spans="1:32" ht="12.75" x14ac:dyDescent="0.2">
      <c r="B30" s="293" t="str">
        <f>IF('2. Operating Budget'!A24="","",'2. Operating Budget'!A24)</f>
        <v>Free Samples</v>
      </c>
      <c r="C30" s="294">
        <f>'2. Operating Budget'!K24</f>
        <v>1282.25</v>
      </c>
      <c r="D30" s="295">
        <f>IF('2. Operating Budget'!$D24&gt;0,$C30/12,'2. Operating Budget'!$B24*4.3+'2. Operating Budget'!$C24+'2. Operating Budget'!$E24*D$7)</f>
        <v>55.75</v>
      </c>
      <c r="E30" s="296">
        <f>IF('2. Operating Budget'!$D24&gt;0,$C30/12,'2. Operating Budget'!$B24*4.3+'2. Operating Budget'!$C24+'2. Operating Budget'!$E24*E$7)</f>
        <v>111.5</v>
      </c>
      <c r="F30" s="296">
        <f>IF('2. Operating Budget'!$D24&gt;0,$C30/12,'2. Operating Budget'!$B24*4.3+'2. Operating Budget'!$C24+'2. Operating Budget'!$E24*F$7)</f>
        <v>111.5</v>
      </c>
      <c r="G30" s="296">
        <f>IF('2. Operating Budget'!$D24&gt;0,$C30/12,'2. Operating Budget'!$B24*4.3+'2. Operating Budget'!$C24+'2. Operating Budget'!$E24*G$7)</f>
        <v>111.5</v>
      </c>
      <c r="H30" s="296">
        <f>IF('2. Operating Budget'!$D24&gt;0,$C30/12,'2. Operating Budget'!$B24*4.3+'2. Operating Budget'!$C24+'2. Operating Budget'!$E24*H$7)</f>
        <v>111.5</v>
      </c>
      <c r="I30" s="296">
        <f>IF('2. Operating Budget'!$D24&gt;0,$C30/12,'2. Operating Budget'!$B24*4.3+'2. Operating Budget'!$C24+'2. Operating Budget'!$E24*I$7)</f>
        <v>111.5</v>
      </c>
      <c r="J30" s="296">
        <f>IF('2. Operating Budget'!$D24&gt;0,$C30/12,'2. Operating Budget'!$B24*4.3+'2. Operating Budget'!$C24+'2. Operating Budget'!$E24*J$7)</f>
        <v>111.5</v>
      </c>
      <c r="K30" s="296">
        <f>IF('2. Operating Budget'!$D24&gt;0,$C30/12,'2. Operating Budget'!$B24*4.3+'2. Operating Budget'!$C24+'2. Operating Budget'!$E24*K$7)</f>
        <v>111.5</v>
      </c>
      <c r="L30" s="296">
        <f>IF('2. Operating Budget'!$D24&gt;0,$C30/12,'2. Operating Budget'!$B24*4.3+'2. Operating Budget'!$C24+'2. Operating Budget'!$E24*L$7)</f>
        <v>111.5</v>
      </c>
      <c r="M30" s="296">
        <f>IF('2. Operating Budget'!$D24&gt;0,$C30/12,'2. Operating Budget'!$B24*4.3+'2. Operating Budget'!$C24+'2. Operating Budget'!$E24*M$7)</f>
        <v>111.5</v>
      </c>
      <c r="N30" s="296">
        <f>IF('2. Operating Budget'!$D24&gt;0,$C30/12,'2. Operating Budget'!$B24*4.3+'2. Operating Budget'!$C24+'2. Operating Budget'!$E24*N$7)</f>
        <v>111.5</v>
      </c>
      <c r="O30" s="296">
        <f>IF('2. Operating Budget'!$D24&gt;0,$C30/12,'2. Operating Budget'!$B24*4.3+'2. Operating Budget'!$C24+'2. Operating Budget'!$E24*O$7)</f>
        <v>111.5</v>
      </c>
      <c r="P30" s="356">
        <f t="shared" si="21"/>
        <v>1282.25</v>
      </c>
      <c r="Q30" s="295">
        <f>IF('2. Operating Budget'!$D24&gt;0,$C30/12,'2. Operating Budget'!$B24*4.3+'2. Operating Budget'!$C24+'2. Operating Budget'!$E24*Q$7)</f>
        <v>126.27500000000001</v>
      </c>
      <c r="R30" s="296">
        <f>IF('2. Operating Budget'!$D24&gt;0,$C30/12,'2. Operating Budget'!$B24*4.3+'2. Operating Budget'!$C24+'2. Operating Budget'!$E24*R$7)</f>
        <v>126.27500000000001</v>
      </c>
      <c r="S30" s="296">
        <f>IF('2. Operating Budget'!$D24&gt;0,$C30/12,'2. Operating Budget'!$B24*4.3+'2. Operating Budget'!$C24+'2. Operating Budget'!$E24*S$7)</f>
        <v>126.27500000000001</v>
      </c>
      <c r="T30" s="296">
        <f>IF('2. Operating Budget'!$D24&gt;0,$C30/12,'2. Operating Budget'!$B24*4.3+'2. Operating Budget'!$C24+'2. Operating Budget'!$E24*T$7)</f>
        <v>126.27500000000001</v>
      </c>
      <c r="U30" s="296">
        <f>IF('2. Operating Budget'!$D24&gt;0,$C30/12,'2. Operating Budget'!$B24*4.3+'2. Operating Budget'!$C24+'2. Operating Budget'!$E24*U$7)</f>
        <v>126.27500000000001</v>
      </c>
      <c r="V30" s="296">
        <f>IF('2. Operating Budget'!$D24&gt;0,$C30/12,'2. Operating Budget'!$B24*4.3+'2. Operating Budget'!$C24+'2. Operating Budget'!$E24*V$7)</f>
        <v>126.27500000000001</v>
      </c>
      <c r="W30" s="296">
        <f>IF('2. Operating Budget'!$D24&gt;0,$C30/12,'2. Operating Budget'!$B24*4.3+'2. Operating Budget'!$C24+'2. Operating Budget'!$E24*W$7)</f>
        <v>126.27500000000001</v>
      </c>
      <c r="X30" s="296">
        <f>IF('2. Operating Budget'!$D24&gt;0,$C30/12,'2. Operating Budget'!$B24*4.3+'2. Operating Budget'!$C24+'2. Operating Budget'!$E24*X$7)</f>
        <v>126.27500000000001</v>
      </c>
      <c r="Y30" s="296">
        <f>IF('2. Operating Budget'!$D24&gt;0,$C30/12,'2. Operating Budget'!$B24*4.3+'2. Operating Budget'!$C24+'2. Operating Budget'!$E24*Y$7)</f>
        <v>126.27500000000001</v>
      </c>
      <c r="Z30" s="296">
        <f>IF('2. Operating Budget'!$D24&gt;0,$C30/12,'2. Operating Budget'!$B24*4.3+'2. Operating Budget'!$C24+'2. Operating Budget'!$E24*Z$7)</f>
        <v>126.27500000000001</v>
      </c>
      <c r="AA30" s="296">
        <f>IF('2. Operating Budget'!$D24&gt;0,$C30/12,'2. Operating Budget'!$B24*4.3+'2. Operating Budget'!$C24+'2. Operating Budget'!$E24*AA$7)</f>
        <v>126.27500000000001</v>
      </c>
      <c r="AB30" s="296">
        <f>IF('2. Operating Budget'!$D24&gt;0,$C30/12,'2. Operating Budget'!$B24*4.3+'2. Operating Budget'!$C24+'2. Operating Budget'!$E24*AB$7)</f>
        <v>126.27500000000001</v>
      </c>
      <c r="AC30" s="356">
        <f t="shared" si="20"/>
        <v>1515.3000000000002</v>
      </c>
      <c r="AD30" s="356">
        <f>IF('2. Operating Budget'!$E24&gt;0,'2. Operating Budget'!$E24*'8. P&amp;L and Cashflow'!AD$7,'2. Operating Budget'!$K24)</f>
        <v>1716.855</v>
      </c>
      <c r="AE30" s="356">
        <f>IF('2. Operating Budget'!$E24&gt;0,'2. Operating Budget'!$E24*'8. P&amp;L and Cashflow'!AE$7,'2. Operating Budget'!$K24)</f>
        <v>1946.06925</v>
      </c>
      <c r="AF30" s="356">
        <f>IF('2. Operating Budget'!$E24&gt;0,'2. Operating Budget'!$E24*'8. P&amp;L and Cashflow'!AF$7,'2. Operating Budget'!$K24)</f>
        <v>2206.8342374999997</v>
      </c>
    </row>
    <row r="31" spans="1:32" ht="12.75" x14ac:dyDescent="0.2">
      <c r="B31" s="174" t="str">
        <f>IF('2. Operating Budget'!A25="","",'2. Operating Budget'!A25)</f>
        <v>Graphic Design for Flyers</v>
      </c>
      <c r="C31" s="267">
        <f>'2. Operating Budget'!K25</f>
        <v>2000</v>
      </c>
      <c r="D31" s="261">
        <f>IF('2. Operating Budget'!$D25&gt;0,$C31/12,'2. Operating Budget'!$B25*4.3+'2. Operating Budget'!$C25+'2. Operating Budget'!$E25*D$7)</f>
        <v>166.66666666666666</v>
      </c>
      <c r="E31" s="76">
        <f>IF('2. Operating Budget'!$D25&gt;0,$C31/12,'2. Operating Budget'!$B25*4.3+'2. Operating Budget'!$C25+'2. Operating Budget'!$E25*E$7)</f>
        <v>166.66666666666666</v>
      </c>
      <c r="F31" s="76">
        <f>IF('2. Operating Budget'!$D25&gt;0,$C31/12,'2. Operating Budget'!$B25*4.3+'2. Operating Budget'!$C25+'2. Operating Budget'!$E25*F$7)</f>
        <v>166.66666666666666</v>
      </c>
      <c r="G31" s="76">
        <f>IF('2. Operating Budget'!$D25&gt;0,$C31/12,'2. Operating Budget'!$B25*4.3+'2. Operating Budget'!$C25+'2. Operating Budget'!$E25*G$7)</f>
        <v>166.66666666666666</v>
      </c>
      <c r="H31" s="76">
        <f>IF('2. Operating Budget'!$D25&gt;0,$C31/12,'2. Operating Budget'!$B25*4.3+'2. Operating Budget'!$C25+'2. Operating Budget'!$E25*H$7)</f>
        <v>166.66666666666666</v>
      </c>
      <c r="I31" s="76">
        <f>IF('2. Operating Budget'!$D25&gt;0,$C31/12,'2. Operating Budget'!$B25*4.3+'2. Operating Budget'!$C25+'2. Operating Budget'!$E25*I$7)</f>
        <v>166.66666666666666</v>
      </c>
      <c r="J31" s="76">
        <f>IF('2. Operating Budget'!$D25&gt;0,$C31/12,'2. Operating Budget'!$B25*4.3+'2. Operating Budget'!$C25+'2. Operating Budget'!$E25*J$7)</f>
        <v>166.66666666666666</v>
      </c>
      <c r="K31" s="76">
        <f>IF('2. Operating Budget'!$D25&gt;0,$C31/12,'2. Operating Budget'!$B25*4.3+'2. Operating Budget'!$C25+'2. Operating Budget'!$E25*K$7)</f>
        <v>166.66666666666666</v>
      </c>
      <c r="L31" s="76">
        <f>IF('2. Operating Budget'!$D25&gt;0,$C31/12,'2. Operating Budget'!$B25*4.3+'2. Operating Budget'!$C25+'2. Operating Budget'!$E25*L$7)</f>
        <v>166.66666666666666</v>
      </c>
      <c r="M31" s="76">
        <f>IF('2. Operating Budget'!$D25&gt;0,$C31/12,'2. Operating Budget'!$B25*4.3+'2. Operating Budget'!$C25+'2. Operating Budget'!$E25*M$7)</f>
        <v>166.66666666666666</v>
      </c>
      <c r="N31" s="76">
        <f>IF('2. Operating Budget'!$D25&gt;0,$C31/12,'2. Operating Budget'!$B25*4.3+'2. Operating Budget'!$C25+'2. Operating Budget'!$E25*N$7)</f>
        <v>166.66666666666666</v>
      </c>
      <c r="O31" s="76">
        <f>IF('2. Operating Budget'!$D25&gt;0,$C31/12,'2. Operating Budget'!$B25*4.3+'2. Operating Budget'!$C25+'2. Operating Budget'!$E25*O$7)</f>
        <v>166.66666666666666</v>
      </c>
      <c r="P31" s="357">
        <f t="shared" si="21"/>
        <v>2000.0000000000002</v>
      </c>
      <c r="Q31" s="261">
        <f>IF('2. Operating Budget'!$D25&gt;0,$C31/12,'2. Operating Budget'!$B25*4.3+'2. Operating Budget'!$C25+'2. Operating Budget'!$E25*Q$7)</f>
        <v>166.66666666666666</v>
      </c>
      <c r="R31" s="76">
        <f>IF('2. Operating Budget'!$D25&gt;0,$C31/12,'2. Operating Budget'!$B25*4.3+'2. Operating Budget'!$C25+'2. Operating Budget'!$E25*R$7)</f>
        <v>166.66666666666666</v>
      </c>
      <c r="S31" s="76">
        <f>IF('2. Operating Budget'!$D25&gt;0,$C31/12,'2. Operating Budget'!$B25*4.3+'2. Operating Budget'!$C25+'2. Operating Budget'!$E25*S$7)</f>
        <v>166.66666666666666</v>
      </c>
      <c r="T31" s="76">
        <f>IF('2. Operating Budget'!$D25&gt;0,$C31/12,'2. Operating Budget'!$B25*4.3+'2. Operating Budget'!$C25+'2. Operating Budget'!$E25*T$7)</f>
        <v>166.66666666666666</v>
      </c>
      <c r="U31" s="76">
        <f>IF('2. Operating Budget'!$D25&gt;0,$C31/12,'2. Operating Budget'!$B25*4.3+'2. Operating Budget'!$C25+'2. Operating Budget'!$E25*U$7)</f>
        <v>166.66666666666666</v>
      </c>
      <c r="V31" s="76">
        <f>IF('2. Operating Budget'!$D25&gt;0,$C31/12,'2. Operating Budget'!$B25*4.3+'2. Operating Budget'!$C25+'2. Operating Budget'!$E25*V$7)</f>
        <v>166.66666666666666</v>
      </c>
      <c r="W31" s="76">
        <f>IF('2. Operating Budget'!$D25&gt;0,$C31/12,'2. Operating Budget'!$B25*4.3+'2. Operating Budget'!$C25+'2. Operating Budget'!$E25*W$7)</f>
        <v>166.66666666666666</v>
      </c>
      <c r="X31" s="76">
        <f>IF('2. Operating Budget'!$D25&gt;0,$C31/12,'2. Operating Budget'!$B25*4.3+'2. Operating Budget'!$C25+'2. Operating Budget'!$E25*X$7)</f>
        <v>166.66666666666666</v>
      </c>
      <c r="Y31" s="76">
        <f>IF('2. Operating Budget'!$D25&gt;0,$C31/12,'2. Operating Budget'!$B25*4.3+'2. Operating Budget'!$C25+'2. Operating Budget'!$E25*Y$7)</f>
        <v>166.66666666666666</v>
      </c>
      <c r="Z31" s="76">
        <f>IF('2. Operating Budget'!$D25&gt;0,$C31/12,'2. Operating Budget'!$B25*4.3+'2. Operating Budget'!$C25+'2. Operating Budget'!$E25*Z$7)</f>
        <v>166.66666666666666</v>
      </c>
      <c r="AA31" s="76">
        <f>IF('2. Operating Budget'!$D25&gt;0,$C31/12,'2. Operating Budget'!$B25*4.3+'2. Operating Budget'!$C25+'2. Operating Budget'!$E25*AA$7)</f>
        <v>166.66666666666666</v>
      </c>
      <c r="AB31" s="76">
        <f>IF('2. Operating Budget'!$D25&gt;0,$C31/12,'2. Operating Budget'!$B25*4.3+'2. Operating Budget'!$C25+'2. Operating Budget'!$E25*AB$7)</f>
        <v>166.66666666666666</v>
      </c>
      <c r="AC31" s="357">
        <f t="shared" si="20"/>
        <v>2000.0000000000002</v>
      </c>
      <c r="AD31" s="357">
        <f>IF('2. Operating Budget'!$E25&gt;0,'2. Operating Budget'!$E25*'8. P&amp;L and Cashflow'!AD$7,'2. Operating Budget'!$K25)</f>
        <v>2000</v>
      </c>
      <c r="AE31" s="357">
        <f>IF('2. Operating Budget'!$E25&gt;0,'2. Operating Budget'!$E25*'8. P&amp;L and Cashflow'!AE$7,'2. Operating Budget'!$K25)</f>
        <v>2000</v>
      </c>
      <c r="AF31" s="357">
        <f>IF('2. Operating Budget'!$E25&gt;0,'2. Operating Budget'!$E25*'8. P&amp;L and Cashflow'!AF$7,'2. Operating Budget'!$K25)</f>
        <v>2000</v>
      </c>
    </row>
    <row r="32" spans="1:32" ht="12.75" x14ac:dyDescent="0.2">
      <c r="B32" s="293" t="str">
        <f>IF('2. Operating Budget'!A26="","",'2. Operating Budget'!A26)</f>
        <v>Tradeshows</v>
      </c>
      <c r="C32" s="294">
        <f>'2. Operating Budget'!K26</f>
        <v>5000</v>
      </c>
      <c r="D32" s="295">
        <f>IF('2. Operating Budget'!$D26&gt;0,$C32/12,'2. Operating Budget'!$B26*4.3+'2. Operating Budget'!$C26+'2. Operating Budget'!$E26*D$7)</f>
        <v>416.66666666666669</v>
      </c>
      <c r="E32" s="296">
        <f>IF('2. Operating Budget'!$D26&gt;0,$C32/12,'2. Operating Budget'!$B26*4.3+'2. Operating Budget'!$C26+'2. Operating Budget'!$E26*E$7)</f>
        <v>416.66666666666669</v>
      </c>
      <c r="F32" s="296">
        <f>IF('2. Operating Budget'!$D26&gt;0,$C32/12,'2. Operating Budget'!$B26*4.3+'2. Operating Budget'!$C26+'2. Operating Budget'!$E26*F$7)</f>
        <v>416.66666666666669</v>
      </c>
      <c r="G32" s="296">
        <f>IF('2. Operating Budget'!$D26&gt;0,$C32/12,'2. Operating Budget'!$B26*4.3+'2. Operating Budget'!$C26+'2. Operating Budget'!$E26*G$7)</f>
        <v>416.66666666666669</v>
      </c>
      <c r="H32" s="296">
        <f>IF('2. Operating Budget'!$D26&gt;0,$C32/12,'2. Operating Budget'!$B26*4.3+'2. Operating Budget'!$C26+'2. Operating Budget'!$E26*H$7)</f>
        <v>416.66666666666669</v>
      </c>
      <c r="I32" s="296">
        <f>IF('2. Operating Budget'!$D26&gt;0,$C32/12,'2. Operating Budget'!$B26*4.3+'2. Operating Budget'!$C26+'2. Operating Budget'!$E26*I$7)</f>
        <v>416.66666666666669</v>
      </c>
      <c r="J32" s="296">
        <f>IF('2. Operating Budget'!$D26&gt;0,$C32/12,'2. Operating Budget'!$B26*4.3+'2. Operating Budget'!$C26+'2. Operating Budget'!$E26*J$7)</f>
        <v>416.66666666666669</v>
      </c>
      <c r="K32" s="296">
        <f>IF('2. Operating Budget'!$D26&gt;0,$C32/12,'2. Operating Budget'!$B26*4.3+'2. Operating Budget'!$C26+'2. Operating Budget'!$E26*K$7)</f>
        <v>416.66666666666669</v>
      </c>
      <c r="L32" s="296">
        <f>IF('2. Operating Budget'!$D26&gt;0,$C32/12,'2. Operating Budget'!$B26*4.3+'2. Operating Budget'!$C26+'2. Operating Budget'!$E26*L$7)</f>
        <v>416.66666666666669</v>
      </c>
      <c r="M32" s="296">
        <f>IF('2. Operating Budget'!$D26&gt;0,$C32/12,'2. Operating Budget'!$B26*4.3+'2. Operating Budget'!$C26+'2. Operating Budget'!$E26*M$7)</f>
        <v>416.66666666666669</v>
      </c>
      <c r="N32" s="296">
        <f>IF('2. Operating Budget'!$D26&gt;0,$C32/12,'2. Operating Budget'!$B26*4.3+'2. Operating Budget'!$C26+'2. Operating Budget'!$E26*N$7)</f>
        <v>416.66666666666669</v>
      </c>
      <c r="O32" s="296">
        <f>IF('2. Operating Budget'!$D26&gt;0,$C32/12,'2. Operating Budget'!$B26*4.3+'2. Operating Budget'!$C26+'2. Operating Budget'!$E26*O$7)</f>
        <v>416.66666666666669</v>
      </c>
      <c r="P32" s="356">
        <f t="shared" si="21"/>
        <v>5000</v>
      </c>
      <c r="Q32" s="295">
        <f>IF('2. Operating Budget'!$D26&gt;0,$C32/12,'2. Operating Budget'!$B26*4.3+'2. Operating Budget'!$C26+'2. Operating Budget'!$E26*Q$7)</f>
        <v>416.66666666666669</v>
      </c>
      <c r="R32" s="296">
        <f>IF('2. Operating Budget'!$D26&gt;0,$C32/12,'2. Operating Budget'!$B26*4.3+'2. Operating Budget'!$C26+'2. Operating Budget'!$E26*R$7)</f>
        <v>416.66666666666669</v>
      </c>
      <c r="S32" s="296">
        <f>IF('2. Operating Budget'!$D26&gt;0,$C32/12,'2. Operating Budget'!$B26*4.3+'2. Operating Budget'!$C26+'2. Operating Budget'!$E26*S$7)</f>
        <v>416.66666666666669</v>
      </c>
      <c r="T32" s="296">
        <f>IF('2. Operating Budget'!$D26&gt;0,$C32/12,'2. Operating Budget'!$B26*4.3+'2. Operating Budget'!$C26+'2. Operating Budget'!$E26*T$7)</f>
        <v>416.66666666666669</v>
      </c>
      <c r="U32" s="296">
        <f>IF('2. Operating Budget'!$D26&gt;0,$C32/12,'2. Operating Budget'!$B26*4.3+'2. Operating Budget'!$C26+'2. Operating Budget'!$E26*U$7)</f>
        <v>416.66666666666669</v>
      </c>
      <c r="V32" s="296">
        <f>IF('2. Operating Budget'!$D26&gt;0,$C32/12,'2. Operating Budget'!$B26*4.3+'2. Operating Budget'!$C26+'2. Operating Budget'!$E26*V$7)</f>
        <v>416.66666666666669</v>
      </c>
      <c r="W32" s="296">
        <f>IF('2. Operating Budget'!$D26&gt;0,$C32/12,'2. Operating Budget'!$B26*4.3+'2. Operating Budget'!$C26+'2. Operating Budget'!$E26*W$7)</f>
        <v>416.66666666666669</v>
      </c>
      <c r="X32" s="296">
        <f>IF('2. Operating Budget'!$D26&gt;0,$C32/12,'2. Operating Budget'!$B26*4.3+'2. Operating Budget'!$C26+'2. Operating Budget'!$E26*X$7)</f>
        <v>416.66666666666669</v>
      </c>
      <c r="Y32" s="296">
        <f>IF('2. Operating Budget'!$D26&gt;0,$C32/12,'2. Operating Budget'!$B26*4.3+'2. Operating Budget'!$C26+'2. Operating Budget'!$E26*Y$7)</f>
        <v>416.66666666666669</v>
      </c>
      <c r="Z32" s="296">
        <f>IF('2. Operating Budget'!$D26&gt;0,$C32/12,'2. Operating Budget'!$B26*4.3+'2. Operating Budget'!$C26+'2. Operating Budget'!$E26*Z$7)</f>
        <v>416.66666666666669</v>
      </c>
      <c r="AA32" s="296">
        <f>IF('2. Operating Budget'!$D26&gt;0,$C32/12,'2. Operating Budget'!$B26*4.3+'2. Operating Budget'!$C26+'2. Operating Budget'!$E26*AA$7)</f>
        <v>416.66666666666669</v>
      </c>
      <c r="AB32" s="296">
        <f>IF('2. Operating Budget'!$D26&gt;0,$C32/12,'2. Operating Budget'!$B26*4.3+'2. Operating Budget'!$C26+'2. Operating Budget'!$E26*AB$7)</f>
        <v>416.66666666666669</v>
      </c>
      <c r="AC32" s="356">
        <f t="shared" si="20"/>
        <v>5000</v>
      </c>
      <c r="AD32" s="356">
        <f>IF('2. Operating Budget'!$E26&gt;0,'2. Operating Budget'!$E26*'8. P&amp;L and Cashflow'!AD$7,'2. Operating Budget'!$K26)</f>
        <v>5000</v>
      </c>
      <c r="AE32" s="356">
        <f>IF('2. Operating Budget'!$E26&gt;0,'2. Operating Budget'!$E26*'8. P&amp;L and Cashflow'!AE$7,'2. Operating Budget'!$K26)</f>
        <v>5000</v>
      </c>
      <c r="AF32" s="356">
        <f>IF('2. Operating Budget'!$E26&gt;0,'2. Operating Budget'!$E26*'8. P&amp;L and Cashflow'!AF$7,'2. Operating Budget'!$K26)</f>
        <v>5000</v>
      </c>
    </row>
    <row r="33" spans="2:32" ht="12.75" x14ac:dyDescent="0.2">
      <c r="B33" s="174" t="str">
        <f>IF('2. Operating Budget'!A27="","",'2. Operating Budget'!A27)</f>
        <v>Travel</v>
      </c>
      <c r="C33" s="267">
        <f>'2. Operating Budget'!K27</f>
        <v>2080</v>
      </c>
      <c r="D33" s="261">
        <f>IF('2. Operating Budget'!$D27&gt;0,$C33/12,'2. Operating Budget'!$B27*4.3+'2. Operating Budget'!$C27+'2. Operating Budget'!$E27*D$7)</f>
        <v>172</v>
      </c>
      <c r="E33" s="76">
        <f>IF('2. Operating Budget'!$D27&gt;0,$C33/12,'2. Operating Budget'!$B27*4.3+'2. Operating Budget'!$C27+'2. Operating Budget'!$E27*E$7)</f>
        <v>172</v>
      </c>
      <c r="F33" s="76">
        <f>IF('2. Operating Budget'!$D27&gt;0,$C33/12,'2. Operating Budget'!$B27*4.3+'2. Operating Budget'!$C27+'2. Operating Budget'!$E27*F$7)</f>
        <v>172</v>
      </c>
      <c r="G33" s="76">
        <f>IF('2. Operating Budget'!$D27&gt;0,$C33/12,'2. Operating Budget'!$B27*4.3+'2. Operating Budget'!$C27+'2. Operating Budget'!$E27*G$7)</f>
        <v>172</v>
      </c>
      <c r="H33" s="76">
        <f>IF('2. Operating Budget'!$D27&gt;0,$C33/12,'2. Operating Budget'!$B27*4.3+'2. Operating Budget'!$C27+'2. Operating Budget'!$E27*H$7)</f>
        <v>172</v>
      </c>
      <c r="I33" s="76">
        <f>IF('2. Operating Budget'!$D27&gt;0,$C33/12,'2. Operating Budget'!$B27*4.3+'2. Operating Budget'!$C27+'2. Operating Budget'!$E27*I$7)</f>
        <v>172</v>
      </c>
      <c r="J33" s="76">
        <f>IF('2. Operating Budget'!$D27&gt;0,$C33/12,'2. Operating Budget'!$B27*4.3+'2. Operating Budget'!$C27+'2. Operating Budget'!$E27*J$7)</f>
        <v>172</v>
      </c>
      <c r="K33" s="76">
        <f>IF('2. Operating Budget'!$D27&gt;0,$C33/12,'2. Operating Budget'!$B27*4.3+'2. Operating Budget'!$C27+'2. Operating Budget'!$E27*K$7)</f>
        <v>172</v>
      </c>
      <c r="L33" s="76">
        <f>IF('2. Operating Budget'!$D27&gt;0,$C33/12,'2. Operating Budget'!$B27*4.3+'2. Operating Budget'!$C27+'2. Operating Budget'!$E27*L$7)</f>
        <v>172</v>
      </c>
      <c r="M33" s="76">
        <f>IF('2. Operating Budget'!$D27&gt;0,$C33/12,'2. Operating Budget'!$B27*4.3+'2. Operating Budget'!$C27+'2. Operating Budget'!$E27*M$7)</f>
        <v>172</v>
      </c>
      <c r="N33" s="76">
        <f>IF('2. Operating Budget'!$D27&gt;0,$C33/12,'2. Operating Budget'!$B27*4.3+'2. Operating Budget'!$C27+'2. Operating Budget'!$E27*N$7)</f>
        <v>172</v>
      </c>
      <c r="O33" s="76">
        <f>IF('2. Operating Budget'!$D27&gt;0,$C33/12,'2. Operating Budget'!$B27*4.3+'2. Operating Budget'!$C27+'2. Operating Budget'!$E27*O$7)</f>
        <v>172</v>
      </c>
      <c r="P33" s="357">
        <f t="shared" si="21"/>
        <v>2064</v>
      </c>
      <c r="Q33" s="261">
        <f>IF('2. Operating Budget'!$D27&gt;0,$C33/12,'2. Operating Budget'!$B27*4.3+'2. Operating Budget'!$C27+'2. Operating Budget'!$E27*Q$7)</f>
        <v>172</v>
      </c>
      <c r="R33" s="76">
        <f>IF('2. Operating Budget'!$D27&gt;0,$C33/12,'2. Operating Budget'!$B27*4.3+'2. Operating Budget'!$C27+'2. Operating Budget'!$E27*R$7)</f>
        <v>172</v>
      </c>
      <c r="S33" s="76">
        <f>IF('2. Operating Budget'!$D27&gt;0,$C33/12,'2. Operating Budget'!$B27*4.3+'2. Operating Budget'!$C27+'2. Operating Budget'!$E27*S$7)</f>
        <v>172</v>
      </c>
      <c r="T33" s="76">
        <f>IF('2. Operating Budget'!$D27&gt;0,$C33/12,'2. Operating Budget'!$B27*4.3+'2. Operating Budget'!$C27+'2. Operating Budget'!$E27*T$7)</f>
        <v>172</v>
      </c>
      <c r="U33" s="76">
        <f>IF('2. Operating Budget'!$D27&gt;0,$C33/12,'2. Operating Budget'!$B27*4.3+'2. Operating Budget'!$C27+'2. Operating Budget'!$E27*U$7)</f>
        <v>172</v>
      </c>
      <c r="V33" s="76">
        <f>IF('2. Operating Budget'!$D27&gt;0,$C33/12,'2. Operating Budget'!$B27*4.3+'2. Operating Budget'!$C27+'2. Operating Budget'!$E27*V$7)</f>
        <v>172</v>
      </c>
      <c r="W33" s="76">
        <f>IF('2. Operating Budget'!$D27&gt;0,$C33/12,'2. Operating Budget'!$B27*4.3+'2. Operating Budget'!$C27+'2. Operating Budget'!$E27*W$7)</f>
        <v>172</v>
      </c>
      <c r="X33" s="76">
        <f>IF('2. Operating Budget'!$D27&gt;0,$C33/12,'2. Operating Budget'!$B27*4.3+'2. Operating Budget'!$C27+'2. Operating Budget'!$E27*X$7)</f>
        <v>172</v>
      </c>
      <c r="Y33" s="76">
        <f>IF('2. Operating Budget'!$D27&gt;0,$C33/12,'2. Operating Budget'!$B27*4.3+'2. Operating Budget'!$C27+'2. Operating Budget'!$E27*Y$7)</f>
        <v>172</v>
      </c>
      <c r="Z33" s="76">
        <f>IF('2. Operating Budget'!$D27&gt;0,$C33/12,'2. Operating Budget'!$B27*4.3+'2. Operating Budget'!$C27+'2. Operating Budget'!$E27*Z$7)</f>
        <v>172</v>
      </c>
      <c r="AA33" s="76">
        <f>IF('2. Operating Budget'!$D27&gt;0,$C33/12,'2. Operating Budget'!$B27*4.3+'2. Operating Budget'!$C27+'2. Operating Budget'!$E27*AA$7)</f>
        <v>172</v>
      </c>
      <c r="AB33" s="76">
        <f>IF('2. Operating Budget'!$D27&gt;0,$C33/12,'2. Operating Budget'!$B27*4.3+'2. Operating Budget'!$C27+'2. Operating Budget'!$E27*AB$7)</f>
        <v>172</v>
      </c>
      <c r="AC33" s="357">
        <f t="shared" si="20"/>
        <v>2064</v>
      </c>
      <c r="AD33" s="357">
        <f>IF('2. Operating Budget'!$E27&gt;0,'2. Operating Budget'!$E27*'8. P&amp;L and Cashflow'!AD$7,'2. Operating Budget'!$K27)</f>
        <v>2080</v>
      </c>
      <c r="AE33" s="357">
        <f>IF('2. Operating Budget'!$E27&gt;0,'2. Operating Budget'!$E27*'8. P&amp;L and Cashflow'!AE$7,'2. Operating Budget'!$K27)</f>
        <v>2080</v>
      </c>
      <c r="AF33" s="357">
        <f>IF('2. Operating Budget'!$E27&gt;0,'2. Operating Budget'!$E27*'8. P&amp;L and Cashflow'!AF$7,'2. Operating Budget'!$K27)</f>
        <v>2080</v>
      </c>
    </row>
    <row r="34" spans="2:32" ht="12.75" x14ac:dyDescent="0.2">
      <c r="B34" s="293" t="str">
        <f>IF('2. Operating Budget'!A28="","",'2. Operating Budget'!A28)</f>
        <v>Meals and Entertainment</v>
      </c>
      <c r="C34" s="294">
        <f>'2. Operating Budget'!K28</f>
        <v>1820</v>
      </c>
      <c r="D34" s="295">
        <f>IF('2. Operating Budget'!$D28&gt;0,$C34/12,'2. Operating Budget'!$B28*4.3+'2. Operating Budget'!$C28+'2. Operating Budget'!$E28*D$7)</f>
        <v>150.5</v>
      </c>
      <c r="E34" s="296">
        <f>IF('2. Operating Budget'!$D28&gt;0,$C34/12,'2. Operating Budget'!$B28*4.3+'2. Operating Budget'!$C28+'2. Operating Budget'!$E28*E$7)</f>
        <v>150.5</v>
      </c>
      <c r="F34" s="296">
        <f>IF('2. Operating Budget'!$D28&gt;0,$C34/12,'2. Operating Budget'!$B28*4.3+'2. Operating Budget'!$C28+'2. Operating Budget'!$E28*F$7)</f>
        <v>150.5</v>
      </c>
      <c r="G34" s="296">
        <f>IF('2. Operating Budget'!$D28&gt;0,$C34/12,'2. Operating Budget'!$B28*4.3+'2. Operating Budget'!$C28+'2. Operating Budget'!$E28*G$7)</f>
        <v>150.5</v>
      </c>
      <c r="H34" s="296">
        <f>IF('2. Operating Budget'!$D28&gt;0,$C34/12,'2. Operating Budget'!$B28*4.3+'2. Operating Budget'!$C28+'2. Operating Budget'!$E28*H$7)</f>
        <v>150.5</v>
      </c>
      <c r="I34" s="296">
        <f>IF('2. Operating Budget'!$D28&gt;0,$C34/12,'2. Operating Budget'!$B28*4.3+'2. Operating Budget'!$C28+'2. Operating Budget'!$E28*I$7)</f>
        <v>150.5</v>
      </c>
      <c r="J34" s="296">
        <f>IF('2. Operating Budget'!$D28&gt;0,$C34/12,'2. Operating Budget'!$B28*4.3+'2. Operating Budget'!$C28+'2. Operating Budget'!$E28*J$7)</f>
        <v>150.5</v>
      </c>
      <c r="K34" s="296">
        <f>IF('2. Operating Budget'!$D28&gt;0,$C34/12,'2. Operating Budget'!$B28*4.3+'2. Operating Budget'!$C28+'2. Operating Budget'!$E28*K$7)</f>
        <v>150.5</v>
      </c>
      <c r="L34" s="296">
        <f>IF('2. Operating Budget'!$D28&gt;0,$C34/12,'2. Operating Budget'!$B28*4.3+'2. Operating Budget'!$C28+'2. Operating Budget'!$E28*L$7)</f>
        <v>150.5</v>
      </c>
      <c r="M34" s="296">
        <f>IF('2. Operating Budget'!$D28&gt;0,$C34/12,'2. Operating Budget'!$B28*4.3+'2. Operating Budget'!$C28+'2. Operating Budget'!$E28*M$7)</f>
        <v>150.5</v>
      </c>
      <c r="N34" s="296">
        <f>IF('2. Operating Budget'!$D28&gt;0,$C34/12,'2. Operating Budget'!$B28*4.3+'2. Operating Budget'!$C28+'2. Operating Budget'!$E28*N$7)</f>
        <v>150.5</v>
      </c>
      <c r="O34" s="296">
        <f>IF('2. Operating Budget'!$D28&gt;0,$C34/12,'2. Operating Budget'!$B28*4.3+'2. Operating Budget'!$C28+'2. Operating Budget'!$E28*O$7)</f>
        <v>150.5</v>
      </c>
      <c r="P34" s="356">
        <f t="shared" si="21"/>
        <v>1806</v>
      </c>
      <c r="Q34" s="295">
        <f>IF('2. Operating Budget'!$D28&gt;0,$C34/12,'2. Operating Budget'!$B28*4.3+'2. Operating Budget'!$C28+'2. Operating Budget'!$E28*Q$7)</f>
        <v>150.5</v>
      </c>
      <c r="R34" s="296">
        <f>IF('2. Operating Budget'!$D28&gt;0,$C34/12,'2. Operating Budget'!$B28*4.3+'2. Operating Budget'!$C28+'2. Operating Budget'!$E28*R$7)</f>
        <v>150.5</v>
      </c>
      <c r="S34" s="296">
        <f>IF('2. Operating Budget'!$D28&gt;0,$C34/12,'2. Operating Budget'!$B28*4.3+'2. Operating Budget'!$C28+'2. Operating Budget'!$E28*S$7)</f>
        <v>150.5</v>
      </c>
      <c r="T34" s="296">
        <f>IF('2. Operating Budget'!$D28&gt;0,$C34/12,'2. Operating Budget'!$B28*4.3+'2. Operating Budget'!$C28+'2. Operating Budget'!$E28*T$7)</f>
        <v>150.5</v>
      </c>
      <c r="U34" s="296">
        <f>IF('2. Operating Budget'!$D28&gt;0,$C34/12,'2. Operating Budget'!$B28*4.3+'2. Operating Budget'!$C28+'2. Operating Budget'!$E28*U$7)</f>
        <v>150.5</v>
      </c>
      <c r="V34" s="296">
        <f>IF('2. Operating Budget'!$D28&gt;0,$C34/12,'2. Operating Budget'!$B28*4.3+'2. Operating Budget'!$C28+'2. Operating Budget'!$E28*V$7)</f>
        <v>150.5</v>
      </c>
      <c r="W34" s="296">
        <f>IF('2. Operating Budget'!$D28&gt;0,$C34/12,'2. Operating Budget'!$B28*4.3+'2. Operating Budget'!$C28+'2. Operating Budget'!$E28*W$7)</f>
        <v>150.5</v>
      </c>
      <c r="X34" s="296">
        <f>IF('2. Operating Budget'!$D28&gt;0,$C34/12,'2. Operating Budget'!$B28*4.3+'2. Operating Budget'!$C28+'2. Operating Budget'!$E28*X$7)</f>
        <v>150.5</v>
      </c>
      <c r="Y34" s="296">
        <f>IF('2. Operating Budget'!$D28&gt;0,$C34/12,'2. Operating Budget'!$B28*4.3+'2. Operating Budget'!$C28+'2. Operating Budget'!$E28*Y$7)</f>
        <v>150.5</v>
      </c>
      <c r="Z34" s="296">
        <f>IF('2. Operating Budget'!$D28&gt;0,$C34/12,'2. Operating Budget'!$B28*4.3+'2. Operating Budget'!$C28+'2. Operating Budget'!$E28*Z$7)</f>
        <v>150.5</v>
      </c>
      <c r="AA34" s="296">
        <f>IF('2. Operating Budget'!$D28&gt;0,$C34/12,'2. Operating Budget'!$B28*4.3+'2. Operating Budget'!$C28+'2. Operating Budget'!$E28*AA$7)</f>
        <v>150.5</v>
      </c>
      <c r="AB34" s="296">
        <f>IF('2. Operating Budget'!$D28&gt;0,$C34/12,'2. Operating Budget'!$B28*4.3+'2. Operating Budget'!$C28+'2. Operating Budget'!$E28*AB$7)</f>
        <v>150.5</v>
      </c>
      <c r="AC34" s="356">
        <f t="shared" si="20"/>
        <v>1806</v>
      </c>
      <c r="AD34" s="356">
        <f>IF('2. Operating Budget'!$E28&gt;0,'2. Operating Budget'!$E28*'8. P&amp;L and Cashflow'!AD$7,'2. Operating Budget'!$K28)</f>
        <v>1820</v>
      </c>
      <c r="AE34" s="356">
        <f>IF('2. Operating Budget'!$E28&gt;0,'2. Operating Budget'!$E28*'8. P&amp;L and Cashflow'!AE$7,'2. Operating Budget'!$K28)</f>
        <v>1820</v>
      </c>
      <c r="AF34" s="356">
        <f>IF('2. Operating Budget'!$E28&gt;0,'2. Operating Budget'!$E28*'8. P&amp;L and Cashflow'!AF$7,'2. Operating Budget'!$K28)</f>
        <v>1820</v>
      </c>
    </row>
    <row r="35" spans="2:32" ht="12.75" x14ac:dyDescent="0.2">
      <c r="B35" s="174" t="str">
        <f>IF('2. Operating Budget'!A29="","",'2. Operating Budget'!A29)</f>
        <v>Networking Events</v>
      </c>
      <c r="C35" s="267">
        <f>'2. Operating Budget'!K29</f>
        <v>1080</v>
      </c>
      <c r="D35" s="261">
        <f>IF('2. Operating Budget'!$D29&gt;0,$C35/12,'2. Operating Budget'!$B29*4.3+'2. Operating Budget'!$C29+'2. Operating Budget'!$E29*D$7)</f>
        <v>90</v>
      </c>
      <c r="E35" s="76">
        <f>IF('2. Operating Budget'!$D29&gt;0,$C35/12,'2. Operating Budget'!$B29*4.3+'2. Operating Budget'!$C29+'2. Operating Budget'!$E29*E$7)</f>
        <v>90</v>
      </c>
      <c r="F35" s="76">
        <f>IF('2. Operating Budget'!$D29&gt;0,$C35/12,'2. Operating Budget'!$B29*4.3+'2. Operating Budget'!$C29+'2. Operating Budget'!$E29*F$7)</f>
        <v>90</v>
      </c>
      <c r="G35" s="76">
        <f>IF('2. Operating Budget'!$D29&gt;0,$C35/12,'2. Operating Budget'!$B29*4.3+'2. Operating Budget'!$C29+'2. Operating Budget'!$E29*G$7)</f>
        <v>90</v>
      </c>
      <c r="H35" s="76">
        <f>IF('2. Operating Budget'!$D29&gt;0,$C35/12,'2. Operating Budget'!$B29*4.3+'2. Operating Budget'!$C29+'2. Operating Budget'!$E29*H$7)</f>
        <v>90</v>
      </c>
      <c r="I35" s="76">
        <f>IF('2. Operating Budget'!$D29&gt;0,$C35/12,'2. Operating Budget'!$B29*4.3+'2. Operating Budget'!$C29+'2. Operating Budget'!$E29*I$7)</f>
        <v>90</v>
      </c>
      <c r="J35" s="76">
        <f>IF('2. Operating Budget'!$D29&gt;0,$C35/12,'2. Operating Budget'!$B29*4.3+'2. Operating Budget'!$C29+'2. Operating Budget'!$E29*J$7)</f>
        <v>90</v>
      </c>
      <c r="K35" s="76">
        <f>IF('2. Operating Budget'!$D29&gt;0,$C35/12,'2. Operating Budget'!$B29*4.3+'2. Operating Budget'!$C29+'2. Operating Budget'!$E29*K$7)</f>
        <v>90</v>
      </c>
      <c r="L35" s="76">
        <f>IF('2. Operating Budget'!$D29&gt;0,$C35/12,'2. Operating Budget'!$B29*4.3+'2. Operating Budget'!$C29+'2. Operating Budget'!$E29*L$7)</f>
        <v>90</v>
      </c>
      <c r="M35" s="76">
        <f>IF('2. Operating Budget'!$D29&gt;0,$C35/12,'2. Operating Budget'!$B29*4.3+'2. Operating Budget'!$C29+'2. Operating Budget'!$E29*M$7)</f>
        <v>90</v>
      </c>
      <c r="N35" s="76">
        <f>IF('2. Operating Budget'!$D29&gt;0,$C35/12,'2. Operating Budget'!$B29*4.3+'2. Operating Budget'!$C29+'2. Operating Budget'!$E29*N$7)</f>
        <v>90</v>
      </c>
      <c r="O35" s="76">
        <f>IF('2. Operating Budget'!$D29&gt;0,$C35/12,'2. Operating Budget'!$B29*4.3+'2. Operating Budget'!$C29+'2. Operating Budget'!$E29*O$7)</f>
        <v>90</v>
      </c>
      <c r="P35" s="357">
        <f t="shared" si="21"/>
        <v>1080</v>
      </c>
      <c r="Q35" s="261">
        <f>IF('2. Operating Budget'!$D29&gt;0,$C35/12,'2. Operating Budget'!$B29*4.3+'2. Operating Budget'!$C29+'2. Operating Budget'!$E29*Q$7)</f>
        <v>90</v>
      </c>
      <c r="R35" s="76">
        <f>IF('2. Operating Budget'!$D29&gt;0,$C35/12,'2. Operating Budget'!$B29*4.3+'2. Operating Budget'!$C29+'2. Operating Budget'!$E29*R$7)</f>
        <v>90</v>
      </c>
      <c r="S35" s="76">
        <f>IF('2. Operating Budget'!$D29&gt;0,$C35/12,'2. Operating Budget'!$B29*4.3+'2. Operating Budget'!$C29+'2. Operating Budget'!$E29*S$7)</f>
        <v>90</v>
      </c>
      <c r="T35" s="76">
        <f>IF('2. Operating Budget'!$D29&gt;0,$C35/12,'2. Operating Budget'!$B29*4.3+'2. Operating Budget'!$C29+'2. Operating Budget'!$E29*T$7)</f>
        <v>90</v>
      </c>
      <c r="U35" s="76">
        <f>IF('2. Operating Budget'!$D29&gt;0,$C35/12,'2. Operating Budget'!$B29*4.3+'2. Operating Budget'!$C29+'2. Operating Budget'!$E29*U$7)</f>
        <v>90</v>
      </c>
      <c r="V35" s="76">
        <f>IF('2. Operating Budget'!$D29&gt;0,$C35/12,'2. Operating Budget'!$B29*4.3+'2. Operating Budget'!$C29+'2. Operating Budget'!$E29*V$7)</f>
        <v>90</v>
      </c>
      <c r="W35" s="76">
        <f>IF('2. Operating Budget'!$D29&gt;0,$C35/12,'2. Operating Budget'!$B29*4.3+'2. Operating Budget'!$C29+'2. Operating Budget'!$E29*W$7)</f>
        <v>90</v>
      </c>
      <c r="X35" s="76">
        <f>IF('2. Operating Budget'!$D29&gt;0,$C35/12,'2. Operating Budget'!$B29*4.3+'2. Operating Budget'!$C29+'2. Operating Budget'!$E29*X$7)</f>
        <v>90</v>
      </c>
      <c r="Y35" s="76">
        <f>IF('2. Operating Budget'!$D29&gt;0,$C35/12,'2. Operating Budget'!$B29*4.3+'2. Operating Budget'!$C29+'2. Operating Budget'!$E29*Y$7)</f>
        <v>90</v>
      </c>
      <c r="Z35" s="76">
        <f>IF('2. Operating Budget'!$D29&gt;0,$C35/12,'2. Operating Budget'!$B29*4.3+'2. Operating Budget'!$C29+'2. Operating Budget'!$E29*Z$7)</f>
        <v>90</v>
      </c>
      <c r="AA35" s="76">
        <f>IF('2. Operating Budget'!$D29&gt;0,$C35/12,'2. Operating Budget'!$B29*4.3+'2. Operating Budget'!$C29+'2. Operating Budget'!$E29*AA$7)</f>
        <v>90</v>
      </c>
      <c r="AB35" s="76">
        <f>IF('2. Operating Budget'!$D29&gt;0,$C35/12,'2. Operating Budget'!$B29*4.3+'2. Operating Budget'!$C29+'2. Operating Budget'!$E29*AB$7)</f>
        <v>90</v>
      </c>
      <c r="AC35" s="357">
        <f t="shared" si="20"/>
        <v>1080</v>
      </c>
      <c r="AD35" s="357">
        <f>IF('2. Operating Budget'!$E29&gt;0,'2. Operating Budget'!$E29*'8. P&amp;L and Cashflow'!AD$7,'2. Operating Budget'!$K29)</f>
        <v>1080</v>
      </c>
      <c r="AE35" s="357">
        <f>IF('2. Operating Budget'!$E29&gt;0,'2. Operating Budget'!$E29*'8. P&amp;L and Cashflow'!AE$7,'2. Operating Budget'!$K29)</f>
        <v>1080</v>
      </c>
      <c r="AF35" s="357">
        <f>IF('2. Operating Budget'!$E29&gt;0,'2. Operating Budget'!$E29*'8. P&amp;L and Cashflow'!AF$7,'2. Operating Budget'!$K29)</f>
        <v>1080</v>
      </c>
    </row>
    <row r="36" spans="2:32" ht="12.75" x14ac:dyDescent="0.2">
      <c r="B36" s="293" t="str">
        <f>IF('2. Operating Budget'!A30="","",'2. Operating Budget'!A30)</f>
        <v/>
      </c>
      <c r="C36" s="294">
        <f>'2. Operating Budget'!K30</f>
        <v>0</v>
      </c>
      <c r="D36" s="295">
        <f>IF('2. Operating Budget'!$D30&gt;0,$C36/12,'2. Operating Budget'!$B30*4.3+'2. Operating Budget'!$C30+'2. Operating Budget'!$E30*D$7)</f>
        <v>0</v>
      </c>
      <c r="E36" s="296">
        <f>IF('2. Operating Budget'!$D30&gt;0,$C36/12,'2. Operating Budget'!$B30*4.3+'2. Operating Budget'!$C30+'2. Operating Budget'!$E30*E$7)</f>
        <v>0</v>
      </c>
      <c r="F36" s="296">
        <f>IF('2. Operating Budget'!$D30&gt;0,$C36/12,'2. Operating Budget'!$B30*4.3+'2. Operating Budget'!$C30+'2. Operating Budget'!$E30*F$7)</f>
        <v>0</v>
      </c>
      <c r="G36" s="296">
        <f>IF('2. Operating Budget'!$D30&gt;0,$C36/12,'2. Operating Budget'!$B30*4.3+'2. Operating Budget'!$C30+'2. Operating Budget'!$E30*G$7)</f>
        <v>0</v>
      </c>
      <c r="H36" s="296">
        <f>IF('2. Operating Budget'!$D30&gt;0,$C36/12,'2. Operating Budget'!$B30*4.3+'2. Operating Budget'!$C30+'2. Operating Budget'!$E30*H$7)</f>
        <v>0</v>
      </c>
      <c r="I36" s="296">
        <f>IF('2. Operating Budget'!$D30&gt;0,$C36/12,'2. Operating Budget'!$B30*4.3+'2. Operating Budget'!$C30+'2. Operating Budget'!$E30*I$7)</f>
        <v>0</v>
      </c>
      <c r="J36" s="296">
        <f>IF('2. Operating Budget'!$D30&gt;0,$C36/12,'2. Operating Budget'!$B30*4.3+'2. Operating Budget'!$C30+'2. Operating Budget'!$E30*J$7)</f>
        <v>0</v>
      </c>
      <c r="K36" s="296">
        <f>IF('2. Operating Budget'!$D30&gt;0,$C36/12,'2. Operating Budget'!$B30*4.3+'2. Operating Budget'!$C30+'2. Operating Budget'!$E30*K$7)</f>
        <v>0</v>
      </c>
      <c r="L36" s="296">
        <f>IF('2. Operating Budget'!$D30&gt;0,$C36/12,'2. Operating Budget'!$B30*4.3+'2. Operating Budget'!$C30+'2. Operating Budget'!$E30*L$7)</f>
        <v>0</v>
      </c>
      <c r="M36" s="296">
        <f>IF('2. Operating Budget'!$D30&gt;0,$C36/12,'2. Operating Budget'!$B30*4.3+'2. Operating Budget'!$C30+'2. Operating Budget'!$E30*M$7)</f>
        <v>0</v>
      </c>
      <c r="N36" s="296">
        <f>IF('2. Operating Budget'!$D30&gt;0,$C36/12,'2. Operating Budget'!$B30*4.3+'2. Operating Budget'!$C30+'2. Operating Budget'!$E30*N$7)</f>
        <v>0</v>
      </c>
      <c r="O36" s="296">
        <f>IF('2. Operating Budget'!$D30&gt;0,$C36/12,'2. Operating Budget'!$B30*4.3+'2. Operating Budget'!$C30+'2. Operating Budget'!$E30*O$7)</f>
        <v>0</v>
      </c>
      <c r="P36" s="356">
        <f t="shared" si="21"/>
        <v>0</v>
      </c>
      <c r="Q36" s="295">
        <f>IF('2. Operating Budget'!$D30&gt;0,$C36/12,'2. Operating Budget'!$B30*4.3+'2. Operating Budget'!$C30+'2. Operating Budget'!$E30*Q$7)</f>
        <v>0</v>
      </c>
      <c r="R36" s="296">
        <f>IF('2. Operating Budget'!$D30&gt;0,$C36/12,'2. Operating Budget'!$B30*4.3+'2. Operating Budget'!$C30+'2. Operating Budget'!$E30*R$7)</f>
        <v>0</v>
      </c>
      <c r="S36" s="296">
        <f>IF('2. Operating Budget'!$D30&gt;0,$C36/12,'2. Operating Budget'!$B30*4.3+'2. Operating Budget'!$C30+'2. Operating Budget'!$E30*S$7)</f>
        <v>0</v>
      </c>
      <c r="T36" s="296">
        <f>IF('2. Operating Budget'!$D30&gt;0,$C36/12,'2. Operating Budget'!$B30*4.3+'2. Operating Budget'!$C30+'2. Operating Budget'!$E30*T$7)</f>
        <v>0</v>
      </c>
      <c r="U36" s="296">
        <f>IF('2. Operating Budget'!$D30&gt;0,$C36/12,'2. Operating Budget'!$B30*4.3+'2. Operating Budget'!$C30+'2. Operating Budget'!$E30*U$7)</f>
        <v>0</v>
      </c>
      <c r="V36" s="296">
        <f>IF('2. Operating Budget'!$D30&gt;0,$C36/12,'2. Operating Budget'!$B30*4.3+'2. Operating Budget'!$C30+'2. Operating Budget'!$E30*V$7)</f>
        <v>0</v>
      </c>
      <c r="W36" s="296">
        <f>IF('2. Operating Budget'!$D30&gt;0,$C36/12,'2. Operating Budget'!$B30*4.3+'2. Operating Budget'!$C30+'2. Operating Budget'!$E30*W$7)</f>
        <v>0</v>
      </c>
      <c r="X36" s="296">
        <f>IF('2. Operating Budget'!$D30&gt;0,$C36/12,'2. Operating Budget'!$B30*4.3+'2. Operating Budget'!$C30+'2. Operating Budget'!$E30*X$7)</f>
        <v>0</v>
      </c>
      <c r="Y36" s="296">
        <f>IF('2. Operating Budget'!$D30&gt;0,$C36/12,'2. Operating Budget'!$B30*4.3+'2. Operating Budget'!$C30+'2. Operating Budget'!$E30*Y$7)</f>
        <v>0</v>
      </c>
      <c r="Z36" s="296">
        <f>IF('2. Operating Budget'!$D30&gt;0,$C36/12,'2. Operating Budget'!$B30*4.3+'2. Operating Budget'!$C30+'2. Operating Budget'!$E30*Z$7)</f>
        <v>0</v>
      </c>
      <c r="AA36" s="296">
        <f>IF('2. Operating Budget'!$D30&gt;0,$C36/12,'2. Operating Budget'!$B30*4.3+'2. Operating Budget'!$C30+'2. Operating Budget'!$E30*AA$7)</f>
        <v>0</v>
      </c>
      <c r="AB36" s="296">
        <f>IF('2. Operating Budget'!$D30&gt;0,$C36/12,'2. Operating Budget'!$B30*4.3+'2. Operating Budget'!$C30+'2. Operating Budget'!$E30*AB$7)</f>
        <v>0</v>
      </c>
      <c r="AC36" s="356">
        <f t="shared" si="20"/>
        <v>0</v>
      </c>
      <c r="AD36" s="356">
        <f>IF('2. Operating Budget'!$E30&gt;0,'2. Operating Budget'!$E30*'8. P&amp;L and Cashflow'!AD$7,'2. Operating Budget'!$K30)</f>
        <v>0</v>
      </c>
      <c r="AE36" s="356">
        <f>IF('2. Operating Budget'!$E30&gt;0,'2. Operating Budget'!$E30*'8. P&amp;L and Cashflow'!AE$7,'2. Operating Budget'!$K30)</f>
        <v>0</v>
      </c>
      <c r="AF36" s="356">
        <f>IF('2. Operating Budget'!$E30&gt;0,'2. Operating Budget'!$E30*'8. P&amp;L and Cashflow'!AF$7,'2. Operating Budget'!$K30)</f>
        <v>0</v>
      </c>
    </row>
    <row r="37" spans="2:32" ht="12.75" x14ac:dyDescent="0.2">
      <c r="B37" s="174" t="str">
        <f>IF('2. Operating Budget'!A31="","",'2. Operating Budget'!A31)</f>
        <v/>
      </c>
      <c r="C37" s="267">
        <f>'2. Operating Budget'!K31</f>
        <v>0</v>
      </c>
      <c r="D37" s="261">
        <f>IF('2. Operating Budget'!$D31&gt;0,$C37/12,'2. Operating Budget'!$B31*4.3+'2. Operating Budget'!$C31+'2. Operating Budget'!$E31*D$7)</f>
        <v>0</v>
      </c>
      <c r="E37" s="76">
        <f>IF('2. Operating Budget'!$D31&gt;0,$C37/12,'2. Operating Budget'!$B31*4.3+'2. Operating Budget'!$C31+'2. Operating Budget'!$E31*E$7)</f>
        <v>0</v>
      </c>
      <c r="F37" s="76">
        <f>IF('2. Operating Budget'!$D31&gt;0,$C37/12,'2. Operating Budget'!$B31*4.3+'2. Operating Budget'!$C31+'2. Operating Budget'!$E31*F$7)</f>
        <v>0</v>
      </c>
      <c r="G37" s="76">
        <f>IF('2. Operating Budget'!$D31&gt;0,$C37/12,'2. Operating Budget'!$B31*4.3+'2. Operating Budget'!$C31+'2. Operating Budget'!$E31*G$7)</f>
        <v>0</v>
      </c>
      <c r="H37" s="76">
        <f>IF('2. Operating Budget'!$D31&gt;0,$C37/12,'2. Operating Budget'!$B31*4.3+'2. Operating Budget'!$C31+'2. Operating Budget'!$E31*H$7)</f>
        <v>0</v>
      </c>
      <c r="I37" s="76">
        <f>IF('2. Operating Budget'!$D31&gt;0,$C37/12,'2. Operating Budget'!$B31*4.3+'2. Operating Budget'!$C31+'2. Operating Budget'!$E31*I$7)</f>
        <v>0</v>
      </c>
      <c r="J37" s="76">
        <f>IF('2. Operating Budget'!$D31&gt;0,$C37/12,'2. Operating Budget'!$B31*4.3+'2. Operating Budget'!$C31+'2. Operating Budget'!$E31*J$7)</f>
        <v>0</v>
      </c>
      <c r="K37" s="76">
        <f>IF('2. Operating Budget'!$D31&gt;0,$C37/12,'2. Operating Budget'!$B31*4.3+'2. Operating Budget'!$C31+'2. Operating Budget'!$E31*K$7)</f>
        <v>0</v>
      </c>
      <c r="L37" s="76">
        <f>IF('2. Operating Budget'!$D31&gt;0,$C37/12,'2. Operating Budget'!$B31*4.3+'2. Operating Budget'!$C31+'2. Operating Budget'!$E31*L$7)</f>
        <v>0</v>
      </c>
      <c r="M37" s="76">
        <f>IF('2. Operating Budget'!$D31&gt;0,$C37/12,'2. Operating Budget'!$B31*4.3+'2. Operating Budget'!$C31+'2. Operating Budget'!$E31*M$7)</f>
        <v>0</v>
      </c>
      <c r="N37" s="76">
        <f>IF('2. Operating Budget'!$D31&gt;0,$C37/12,'2. Operating Budget'!$B31*4.3+'2. Operating Budget'!$C31+'2. Operating Budget'!$E31*N$7)</f>
        <v>0</v>
      </c>
      <c r="O37" s="76">
        <f>IF('2. Operating Budget'!$D31&gt;0,$C37/12,'2. Operating Budget'!$B31*4.3+'2. Operating Budget'!$C31+'2. Operating Budget'!$E31*O$7)</f>
        <v>0</v>
      </c>
      <c r="P37" s="357">
        <f t="shared" si="21"/>
        <v>0</v>
      </c>
      <c r="Q37" s="261">
        <f>IF('2. Operating Budget'!$D31&gt;0,$C37/12,'2. Operating Budget'!$B31*4.3+'2. Operating Budget'!$C31+'2. Operating Budget'!$E31*Q$7)</f>
        <v>0</v>
      </c>
      <c r="R37" s="76">
        <f>IF('2. Operating Budget'!$D31&gt;0,$C37/12,'2. Operating Budget'!$B31*4.3+'2. Operating Budget'!$C31+'2. Operating Budget'!$E31*R$7)</f>
        <v>0</v>
      </c>
      <c r="S37" s="76">
        <f>IF('2. Operating Budget'!$D31&gt;0,$C37/12,'2. Operating Budget'!$B31*4.3+'2. Operating Budget'!$C31+'2. Operating Budget'!$E31*S$7)</f>
        <v>0</v>
      </c>
      <c r="T37" s="76">
        <f>IF('2. Operating Budget'!$D31&gt;0,$C37/12,'2. Operating Budget'!$B31*4.3+'2. Operating Budget'!$C31+'2. Operating Budget'!$E31*T$7)</f>
        <v>0</v>
      </c>
      <c r="U37" s="76">
        <f>IF('2. Operating Budget'!$D31&gt;0,$C37/12,'2. Operating Budget'!$B31*4.3+'2. Operating Budget'!$C31+'2. Operating Budget'!$E31*U$7)</f>
        <v>0</v>
      </c>
      <c r="V37" s="76">
        <f>IF('2. Operating Budget'!$D31&gt;0,$C37/12,'2. Operating Budget'!$B31*4.3+'2. Operating Budget'!$C31+'2. Operating Budget'!$E31*V$7)</f>
        <v>0</v>
      </c>
      <c r="W37" s="76">
        <f>IF('2. Operating Budget'!$D31&gt;0,$C37/12,'2. Operating Budget'!$B31*4.3+'2. Operating Budget'!$C31+'2. Operating Budget'!$E31*W$7)</f>
        <v>0</v>
      </c>
      <c r="X37" s="76">
        <f>IF('2. Operating Budget'!$D31&gt;0,$C37/12,'2. Operating Budget'!$B31*4.3+'2. Operating Budget'!$C31+'2. Operating Budget'!$E31*X$7)</f>
        <v>0</v>
      </c>
      <c r="Y37" s="76">
        <f>IF('2. Operating Budget'!$D31&gt;0,$C37/12,'2. Operating Budget'!$B31*4.3+'2. Operating Budget'!$C31+'2. Operating Budget'!$E31*Y$7)</f>
        <v>0</v>
      </c>
      <c r="Z37" s="76">
        <f>IF('2. Operating Budget'!$D31&gt;0,$C37/12,'2. Operating Budget'!$B31*4.3+'2. Operating Budget'!$C31+'2. Operating Budget'!$E31*Z$7)</f>
        <v>0</v>
      </c>
      <c r="AA37" s="76">
        <f>IF('2. Operating Budget'!$D31&gt;0,$C37/12,'2. Operating Budget'!$B31*4.3+'2. Operating Budget'!$C31+'2. Operating Budget'!$E31*AA$7)</f>
        <v>0</v>
      </c>
      <c r="AB37" s="76">
        <f>IF('2. Operating Budget'!$D31&gt;0,$C37/12,'2. Operating Budget'!$B31*4.3+'2. Operating Budget'!$C31+'2. Operating Budget'!$E31*AB$7)</f>
        <v>0</v>
      </c>
      <c r="AC37" s="357">
        <f t="shared" si="20"/>
        <v>0</v>
      </c>
      <c r="AD37" s="357">
        <f>IF('2. Operating Budget'!$E31&gt;0,'2. Operating Budget'!$E31*'8. P&amp;L and Cashflow'!AD$7,'2. Operating Budget'!$K31)</f>
        <v>0</v>
      </c>
      <c r="AE37" s="357">
        <f>IF('2. Operating Budget'!$E31&gt;0,'2. Operating Budget'!$E31*'8. P&amp;L and Cashflow'!AE$7,'2. Operating Budget'!$K31)</f>
        <v>0</v>
      </c>
      <c r="AF37" s="357">
        <f>IF('2. Operating Budget'!$E31&gt;0,'2. Operating Budget'!$E31*'8. P&amp;L and Cashflow'!AF$7,'2. Operating Budget'!$K31)</f>
        <v>0</v>
      </c>
    </row>
    <row r="38" spans="2:32" ht="13.5" hidden="1" customHeight="1" x14ac:dyDescent="0.2">
      <c r="B38" s="293" t="str">
        <f>IF('2. Operating Budget'!A32="","",'2. Operating Budget'!A32)</f>
        <v>Professional Development</v>
      </c>
      <c r="C38" s="294">
        <f>'2. Operating Budget'!K32</f>
        <v>3500</v>
      </c>
      <c r="D38" s="295">
        <f>IF('2. Operating Budget'!$D32&gt;0,$C38/12,'2. Operating Budget'!$B32*4.3+'2. Operating Budget'!$C32+'2. Operating Budget'!$E32*D$7)</f>
        <v>291.66666666666669</v>
      </c>
      <c r="E38" s="296">
        <f>IF('2. Operating Budget'!$D32&gt;0,$C38/12,'2. Operating Budget'!$B32*4.3+'2. Operating Budget'!$C32+'2. Operating Budget'!$E32*E$7)</f>
        <v>291.66666666666669</v>
      </c>
      <c r="F38" s="296">
        <f>IF('2. Operating Budget'!$D32&gt;0,$C38/12,'2. Operating Budget'!$B32*4.3+'2. Operating Budget'!$C32+'2. Operating Budget'!$E32*F$7)</f>
        <v>291.66666666666669</v>
      </c>
      <c r="G38" s="296">
        <f>IF('2. Operating Budget'!$D32&gt;0,$C38/12,'2. Operating Budget'!$B32*4.3+'2. Operating Budget'!$C32+'2. Operating Budget'!$E32*G$7)</f>
        <v>291.66666666666669</v>
      </c>
      <c r="H38" s="296">
        <f>IF('2. Operating Budget'!$D32&gt;0,$C38/12,'2. Operating Budget'!$B32*4.3+'2. Operating Budget'!$C32+'2. Operating Budget'!$E32*H$7)</f>
        <v>291.66666666666669</v>
      </c>
      <c r="I38" s="296">
        <f>IF('2. Operating Budget'!$D32&gt;0,$C38/12,'2. Operating Budget'!$B32*4.3+'2. Operating Budget'!$C32+'2. Operating Budget'!$E32*I$7)</f>
        <v>291.66666666666669</v>
      </c>
      <c r="J38" s="296">
        <f>IF('2. Operating Budget'!$D32&gt;0,$C38/12,'2. Operating Budget'!$B32*4.3+'2. Operating Budget'!$C32+'2. Operating Budget'!$E32*J$7)</f>
        <v>291.66666666666669</v>
      </c>
      <c r="K38" s="296">
        <f>IF('2. Operating Budget'!$D32&gt;0,$C38/12,'2. Operating Budget'!$B32*4.3+'2. Operating Budget'!$C32+'2. Operating Budget'!$E32*K$7)</f>
        <v>291.66666666666669</v>
      </c>
      <c r="L38" s="296">
        <f>IF('2. Operating Budget'!$D32&gt;0,$C38/12,'2. Operating Budget'!$B32*4.3+'2. Operating Budget'!$C32+'2. Operating Budget'!$E32*L$7)</f>
        <v>291.66666666666669</v>
      </c>
      <c r="M38" s="296">
        <f>IF('2. Operating Budget'!$D32&gt;0,$C38/12,'2. Operating Budget'!$B32*4.3+'2. Operating Budget'!$C32+'2. Operating Budget'!$E32*M$7)</f>
        <v>291.66666666666669</v>
      </c>
      <c r="N38" s="296">
        <f>IF('2. Operating Budget'!$D32&gt;0,$C38/12,'2. Operating Budget'!$B32*4.3+'2. Operating Budget'!$C32+'2. Operating Budget'!$E32*N$7)</f>
        <v>291.66666666666669</v>
      </c>
      <c r="O38" s="296">
        <f>IF('2. Operating Budget'!$D32&gt;0,$C38/12,'2. Operating Budget'!$B32*4.3+'2. Operating Budget'!$C32+'2. Operating Budget'!$E32*O$7)</f>
        <v>291.66666666666669</v>
      </c>
      <c r="P38" s="356">
        <f t="shared" si="21"/>
        <v>3499.9999999999995</v>
      </c>
      <c r="Q38" s="295">
        <f>IF('2. Operating Budget'!$D32&gt;0,$C38/12,'2. Operating Budget'!$B32*4.3+'2. Operating Budget'!$C32+'2. Operating Budget'!$E32*Q$7)</f>
        <v>291.66666666666669</v>
      </c>
      <c r="R38" s="296">
        <f>IF('2. Operating Budget'!$D32&gt;0,$C38/12,'2. Operating Budget'!$B32*4.3+'2. Operating Budget'!$C32+'2. Operating Budget'!$E32*R$7)</f>
        <v>291.66666666666669</v>
      </c>
      <c r="S38" s="296">
        <f>IF('2. Operating Budget'!$D32&gt;0,$C38/12,'2. Operating Budget'!$B32*4.3+'2. Operating Budget'!$C32+'2. Operating Budget'!$E32*S$7)</f>
        <v>291.66666666666669</v>
      </c>
      <c r="T38" s="296">
        <f>IF('2. Operating Budget'!$D32&gt;0,$C38/12,'2. Operating Budget'!$B32*4.3+'2. Operating Budget'!$C32+'2. Operating Budget'!$E32*T$7)</f>
        <v>291.66666666666669</v>
      </c>
      <c r="U38" s="296">
        <f>IF('2. Operating Budget'!$D32&gt;0,$C38/12,'2. Operating Budget'!$B32*4.3+'2. Operating Budget'!$C32+'2. Operating Budget'!$E32*U$7)</f>
        <v>291.66666666666669</v>
      </c>
      <c r="V38" s="296">
        <f>IF('2. Operating Budget'!$D32&gt;0,$C38/12,'2. Operating Budget'!$B32*4.3+'2. Operating Budget'!$C32+'2. Operating Budget'!$E32*V$7)</f>
        <v>291.66666666666669</v>
      </c>
      <c r="W38" s="296">
        <f>IF('2. Operating Budget'!$D32&gt;0,$C38/12,'2. Operating Budget'!$B32*4.3+'2. Operating Budget'!$C32+'2. Operating Budget'!$E32*W$7)</f>
        <v>291.66666666666669</v>
      </c>
      <c r="X38" s="296">
        <f>IF('2. Operating Budget'!$D32&gt;0,$C38/12,'2. Operating Budget'!$B32*4.3+'2. Operating Budget'!$C32+'2. Operating Budget'!$E32*X$7)</f>
        <v>291.66666666666669</v>
      </c>
      <c r="Y38" s="296">
        <f>IF('2. Operating Budget'!$D32&gt;0,$C38/12,'2. Operating Budget'!$B32*4.3+'2. Operating Budget'!$C32+'2. Operating Budget'!$E32*Y$7)</f>
        <v>291.66666666666669</v>
      </c>
      <c r="Z38" s="296">
        <f>IF('2. Operating Budget'!$D32&gt;0,$C38/12,'2. Operating Budget'!$B32*4.3+'2. Operating Budget'!$C32+'2. Operating Budget'!$E32*Z$7)</f>
        <v>291.66666666666669</v>
      </c>
      <c r="AA38" s="296">
        <f>IF('2. Operating Budget'!$D32&gt;0,$C38/12,'2. Operating Budget'!$B32*4.3+'2. Operating Budget'!$C32+'2. Operating Budget'!$E32*AA$7)</f>
        <v>291.66666666666669</v>
      </c>
      <c r="AB38" s="296">
        <f>IF('2. Operating Budget'!$D32&gt;0,$C38/12,'2. Operating Budget'!$B32*4.3+'2. Operating Budget'!$C32+'2. Operating Budget'!$E32*AB$7)</f>
        <v>291.66666666666669</v>
      </c>
      <c r="AC38" s="356">
        <f t="shared" si="20"/>
        <v>3499.9999999999995</v>
      </c>
      <c r="AD38" s="356">
        <f>IF('2. Operating Budget'!$E32&gt;0,'2. Operating Budget'!$E32*'8. P&amp;L and Cashflow'!AD$7,'2. Operating Budget'!$K32)</f>
        <v>3500</v>
      </c>
      <c r="AE38" s="356">
        <f>IF('2. Operating Budget'!$E32&gt;0,'2. Operating Budget'!$E32*'8. P&amp;L and Cashflow'!AE$7,'2. Operating Budget'!$K32)</f>
        <v>3500</v>
      </c>
      <c r="AF38" s="356">
        <f>IF('2. Operating Budget'!$E32&gt;0,'2. Operating Budget'!$E32*'8. P&amp;L and Cashflow'!AF$7,'2. Operating Budget'!$K32)</f>
        <v>3500</v>
      </c>
    </row>
    <row r="39" spans="2:32" ht="12.75" hidden="1" x14ac:dyDescent="0.2">
      <c r="B39" s="174" t="str">
        <f>IF('2. Operating Budget'!A33="","",'2. Operating Budget'!A33)</f>
        <v>Accounting Services</v>
      </c>
      <c r="C39" s="267">
        <f>'2. Operating Budget'!K33</f>
        <v>3600</v>
      </c>
      <c r="D39" s="261">
        <f>IF('2. Operating Budget'!$D33&gt;0,$C39/12,'2. Operating Budget'!$B33*4.3+'2. Operating Budget'!$C33+'2. Operating Budget'!$E33*D$7)</f>
        <v>300</v>
      </c>
      <c r="E39" s="76">
        <f>IF('2. Operating Budget'!$D33&gt;0,$C39/12,'2. Operating Budget'!$B33*4.3+'2. Operating Budget'!$C33+'2. Operating Budget'!$E33*E$7)</f>
        <v>300</v>
      </c>
      <c r="F39" s="76">
        <f>IF('2. Operating Budget'!$D33&gt;0,$C39/12,'2. Operating Budget'!$B33*4.3+'2. Operating Budget'!$C33+'2. Operating Budget'!$E33*F$7)</f>
        <v>300</v>
      </c>
      <c r="G39" s="76">
        <f>IF('2. Operating Budget'!$D33&gt;0,$C39/12,'2. Operating Budget'!$B33*4.3+'2. Operating Budget'!$C33+'2. Operating Budget'!$E33*G$7)</f>
        <v>300</v>
      </c>
      <c r="H39" s="76">
        <f>IF('2. Operating Budget'!$D33&gt;0,$C39/12,'2. Operating Budget'!$B33*4.3+'2. Operating Budget'!$C33+'2. Operating Budget'!$E33*H$7)</f>
        <v>300</v>
      </c>
      <c r="I39" s="76">
        <f>IF('2. Operating Budget'!$D33&gt;0,$C39/12,'2. Operating Budget'!$B33*4.3+'2. Operating Budget'!$C33+'2. Operating Budget'!$E33*I$7)</f>
        <v>300</v>
      </c>
      <c r="J39" s="76">
        <f>IF('2. Operating Budget'!$D33&gt;0,$C39/12,'2. Operating Budget'!$B33*4.3+'2. Operating Budget'!$C33+'2. Operating Budget'!$E33*J$7)</f>
        <v>300</v>
      </c>
      <c r="K39" s="76">
        <f>IF('2. Operating Budget'!$D33&gt;0,$C39/12,'2. Operating Budget'!$B33*4.3+'2. Operating Budget'!$C33+'2. Operating Budget'!$E33*K$7)</f>
        <v>300</v>
      </c>
      <c r="L39" s="76">
        <f>IF('2. Operating Budget'!$D33&gt;0,$C39/12,'2. Operating Budget'!$B33*4.3+'2. Operating Budget'!$C33+'2. Operating Budget'!$E33*L$7)</f>
        <v>300</v>
      </c>
      <c r="M39" s="76">
        <f>IF('2. Operating Budget'!$D33&gt;0,$C39/12,'2. Operating Budget'!$B33*4.3+'2. Operating Budget'!$C33+'2. Operating Budget'!$E33*M$7)</f>
        <v>300</v>
      </c>
      <c r="N39" s="76">
        <f>IF('2. Operating Budget'!$D33&gt;0,$C39/12,'2. Operating Budget'!$B33*4.3+'2. Operating Budget'!$C33+'2. Operating Budget'!$E33*N$7)</f>
        <v>300</v>
      </c>
      <c r="O39" s="76">
        <f>IF('2. Operating Budget'!$D33&gt;0,$C39/12,'2. Operating Budget'!$B33*4.3+'2. Operating Budget'!$C33+'2. Operating Budget'!$E33*O$7)</f>
        <v>300</v>
      </c>
      <c r="P39" s="357">
        <f t="shared" si="21"/>
        <v>3600</v>
      </c>
      <c r="Q39" s="261">
        <f>IF('2. Operating Budget'!$D33&gt;0,$C39/12,'2. Operating Budget'!$B33*4.3+'2. Operating Budget'!$C33+'2. Operating Budget'!$E33*Q$7)</f>
        <v>300</v>
      </c>
      <c r="R39" s="76">
        <f>IF('2. Operating Budget'!$D33&gt;0,$C39/12,'2. Operating Budget'!$B33*4.3+'2. Operating Budget'!$C33+'2. Operating Budget'!$E33*R$7)</f>
        <v>300</v>
      </c>
      <c r="S39" s="76">
        <f>IF('2. Operating Budget'!$D33&gt;0,$C39/12,'2. Operating Budget'!$B33*4.3+'2. Operating Budget'!$C33+'2. Operating Budget'!$E33*S$7)</f>
        <v>300</v>
      </c>
      <c r="T39" s="76">
        <f>IF('2. Operating Budget'!$D33&gt;0,$C39/12,'2. Operating Budget'!$B33*4.3+'2. Operating Budget'!$C33+'2. Operating Budget'!$E33*T$7)</f>
        <v>300</v>
      </c>
      <c r="U39" s="76">
        <f>IF('2. Operating Budget'!$D33&gt;0,$C39/12,'2. Operating Budget'!$B33*4.3+'2. Operating Budget'!$C33+'2. Operating Budget'!$E33*U$7)</f>
        <v>300</v>
      </c>
      <c r="V39" s="76">
        <f>IF('2. Operating Budget'!$D33&gt;0,$C39/12,'2. Operating Budget'!$B33*4.3+'2. Operating Budget'!$C33+'2. Operating Budget'!$E33*V$7)</f>
        <v>300</v>
      </c>
      <c r="W39" s="76">
        <f>IF('2. Operating Budget'!$D33&gt;0,$C39/12,'2. Operating Budget'!$B33*4.3+'2. Operating Budget'!$C33+'2. Operating Budget'!$E33*W$7)</f>
        <v>300</v>
      </c>
      <c r="X39" s="76">
        <f>IF('2. Operating Budget'!$D33&gt;0,$C39/12,'2. Operating Budget'!$B33*4.3+'2. Operating Budget'!$C33+'2. Operating Budget'!$E33*X$7)</f>
        <v>300</v>
      </c>
      <c r="Y39" s="76">
        <f>IF('2. Operating Budget'!$D33&gt;0,$C39/12,'2. Operating Budget'!$B33*4.3+'2. Operating Budget'!$C33+'2. Operating Budget'!$E33*Y$7)</f>
        <v>300</v>
      </c>
      <c r="Z39" s="76">
        <f>IF('2. Operating Budget'!$D33&gt;0,$C39/12,'2. Operating Budget'!$B33*4.3+'2. Operating Budget'!$C33+'2. Operating Budget'!$E33*Z$7)</f>
        <v>300</v>
      </c>
      <c r="AA39" s="76">
        <f>IF('2. Operating Budget'!$D33&gt;0,$C39/12,'2. Operating Budget'!$B33*4.3+'2. Operating Budget'!$C33+'2. Operating Budget'!$E33*AA$7)</f>
        <v>300</v>
      </c>
      <c r="AB39" s="76">
        <f>IF('2. Operating Budget'!$D33&gt;0,$C39/12,'2. Operating Budget'!$B33*4.3+'2. Operating Budget'!$C33+'2. Operating Budget'!$E33*AB$7)</f>
        <v>300</v>
      </c>
      <c r="AC39" s="357">
        <f t="shared" si="20"/>
        <v>3600</v>
      </c>
      <c r="AD39" s="357">
        <f>IF('2. Operating Budget'!$E33&gt;0,'2. Operating Budget'!$E33*'8. P&amp;L and Cashflow'!AD$7,'2. Operating Budget'!$K33)</f>
        <v>3600</v>
      </c>
      <c r="AE39" s="357">
        <f>IF('2. Operating Budget'!$E33&gt;0,'2. Operating Budget'!$E33*'8. P&amp;L and Cashflow'!AE$7,'2. Operating Budget'!$K33)</f>
        <v>3600</v>
      </c>
      <c r="AF39" s="357">
        <f>IF('2. Operating Budget'!$E33&gt;0,'2. Operating Budget'!$E33*'8. P&amp;L and Cashflow'!AF$7,'2. Operating Budget'!$K33)</f>
        <v>3600</v>
      </c>
    </row>
    <row r="40" spans="2:32" ht="12.75" hidden="1" x14ac:dyDescent="0.2">
      <c r="B40" s="293" t="str">
        <f>IF('2. Operating Budget'!A34="","",'2. Operating Budget'!A34)</f>
        <v>Legal Services</v>
      </c>
      <c r="C40" s="294">
        <f>'2. Operating Budget'!K34</f>
        <v>450</v>
      </c>
      <c r="D40" s="295">
        <f>IF('2. Operating Budget'!$D34&gt;0,$C40/12,'2. Operating Budget'!$B34*4.3+'2. Operating Budget'!$C34+'2. Operating Budget'!$E34*D$7)</f>
        <v>37.5</v>
      </c>
      <c r="E40" s="296">
        <f>IF('2. Operating Budget'!$D34&gt;0,$C40/12,'2. Operating Budget'!$B34*4.3+'2. Operating Budget'!$C34+'2. Operating Budget'!$E34*E$7)</f>
        <v>37.5</v>
      </c>
      <c r="F40" s="296">
        <f>IF('2. Operating Budget'!$D34&gt;0,$C40/12,'2. Operating Budget'!$B34*4.3+'2. Operating Budget'!$C34+'2. Operating Budget'!$E34*F$7)</f>
        <v>37.5</v>
      </c>
      <c r="G40" s="296">
        <f>IF('2. Operating Budget'!$D34&gt;0,$C40/12,'2. Operating Budget'!$B34*4.3+'2. Operating Budget'!$C34+'2. Operating Budget'!$E34*G$7)</f>
        <v>37.5</v>
      </c>
      <c r="H40" s="296">
        <f>IF('2. Operating Budget'!$D34&gt;0,$C40/12,'2. Operating Budget'!$B34*4.3+'2. Operating Budget'!$C34+'2. Operating Budget'!$E34*H$7)</f>
        <v>37.5</v>
      </c>
      <c r="I40" s="296">
        <f>IF('2. Operating Budget'!$D34&gt;0,$C40/12,'2. Operating Budget'!$B34*4.3+'2. Operating Budget'!$C34+'2. Operating Budget'!$E34*I$7)</f>
        <v>37.5</v>
      </c>
      <c r="J40" s="296">
        <f>IF('2. Operating Budget'!$D34&gt;0,$C40/12,'2. Operating Budget'!$B34*4.3+'2. Operating Budget'!$C34+'2. Operating Budget'!$E34*J$7)</f>
        <v>37.5</v>
      </c>
      <c r="K40" s="296">
        <f>IF('2. Operating Budget'!$D34&gt;0,$C40/12,'2. Operating Budget'!$B34*4.3+'2. Operating Budget'!$C34+'2. Operating Budget'!$E34*K$7)</f>
        <v>37.5</v>
      </c>
      <c r="L40" s="296">
        <f>IF('2. Operating Budget'!$D34&gt;0,$C40/12,'2. Operating Budget'!$B34*4.3+'2. Operating Budget'!$C34+'2. Operating Budget'!$E34*L$7)</f>
        <v>37.5</v>
      </c>
      <c r="M40" s="296">
        <f>IF('2. Operating Budget'!$D34&gt;0,$C40/12,'2. Operating Budget'!$B34*4.3+'2. Operating Budget'!$C34+'2. Operating Budget'!$E34*M$7)</f>
        <v>37.5</v>
      </c>
      <c r="N40" s="296">
        <f>IF('2. Operating Budget'!$D34&gt;0,$C40/12,'2. Operating Budget'!$B34*4.3+'2. Operating Budget'!$C34+'2. Operating Budget'!$E34*N$7)</f>
        <v>37.5</v>
      </c>
      <c r="O40" s="296">
        <f>IF('2. Operating Budget'!$D34&gt;0,$C40/12,'2. Operating Budget'!$B34*4.3+'2. Operating Budget'!$C34+'2. Operating Budget'!$E34*O$7)</f>
        <v>37.5</v>
      </c>
      <c r="P40" s="356">
        <f t="shared" si="19"/>
        <v>450</v>
      </c>
      <c r="Q40" s="295">
        <f>IF('2. Operating Budget'!$D34&gt;0,$C40/12,'2. Operating Budget'!$B34*4.3+'2. Operating Budget'!$C34+'2. Operating Budget'!$E34*Q$7)</f>
        <v>37.5</v>
      </c>
      <c r="R40" s="296">
        <f>IF('2. Operating Budget'!$D34&gt;0,$C40/12,'2. Operating Budget'!$B34*4.3+'2. Operating Budget'!$C34+'2. Operating Budget'!$E34*R$7)</f>
        <v>37.5</v>
      </c>
      <c r="S40" s="296">
        <f>IF('2. Operating Budget'!$D34&gt;0,$C40/12,'2. Operating Budget'!$B34*4.3+'2. Operating Budget'!$C34+'2. Operating Budget'!$E34*S$7)</f>
        <v>37.5</v>
      </c>
      <c r="T40" s="296">
        <f>IF('2. Operating Budget'!$D34&gt;0,$C40/12,'2. Operating Budget'!$B34*4.3+'2. Operating Budget'!$C34+'2. Operating Budget'!$E34*T$7)</f>
        <v>37.5</v>
      </c>
      <c r="U40" s="296">
        <f>IF('2. Operating Budget'!$D34&gt;0,$C40/12,'2. Operating Budget'!$B34*4.3+'2. Operating Budget'!$C34+'2. Operating Budget'!$E34*U$7)</f>
        <v>37.5</v>
      </c>
      <c r="V40" s="296">
        <f>IF('2. Operating Budget'!$D34&gt;0,$C40/12,'2. Operating Budget'!$B34*4.3+'2. Operating Budget'!$C34+'2. Operating Budget'!$E34*V$7)</f>
        <v>37.5</v>
      </c>
      <c r="W40" s="296">
        <f>IF('2. Operating Budget'!$D34&gt;0,$C40/12,'2. Operating Budget'!$B34*4.3+'2. Operating Budget'!$C34+'2. Operating Budget'!$E34*W$7)</f>
        <v>37.5</v>
      </c>
      <c r="X40" s="296">
        <f>IF('2. Operating Budget'!$D34&gt;0,$C40/12,'2. Operating Budget'!$B34*4.3+'2. Operating Budget'!$C34+'2. Operating Budget'!$E34*X$7)</f>
        <v>37.5</v>
      </c>
      <c r="Y40" s="296">
        <f>IF('2. Operating Budget'!$D34&gt;0,$C40/12,'2. Operating Budget'!$B34*4.3+'2. Operating Budget'!$C34+'2. Operating Budget'!$E34*Y$7)</f>
        <v>37.5</v>
      </c>
      <c r="Z40" s="296">
        <f>IF('2. Operating Budget'!$D34&gt;0,$C40/12,'2. Operating Budget'!$B34*4.3+'2. Operating Budget'!$C34+'2. Operating Budget'!$E34*Z$7)</f>
        <v>37.5</v>
      </c>
      <c r="AA40" s="296">
        <f>IF('2. Operating Budget'!$D34&gt;0,$C40/12,'2. Operating Budget'!$B34*4.3+'2. Operating Budget'!$C34+'2. Operating Budget'!$E34*AA$7)</f>
        <v>37.5</v>
      </c>
      <c r="AB40" s="296">
        <f>IF('2. Operating Budget'!$D34&gt;0,$C40/12,'2. Operating Budget'!$B34*4.3+'2. Operating Budget'!$C34+'2. Operating Budget'!$E34*AB$7)</f>
        <v>37.5</v>
      </c>
      <c r="AC40" s="356">
        <f t="shared" si="20"/>
        <v>450</v>
      </c>
      <c r="AD40" s="356">
        <f>IF('2. Operating Budget'!$E34&gt;0,'2. Operating Budget'!$E34*'8. P&amp;L and Cashflow'!AD$7,'2. Operating Budget'!$K34)</f>
        <v>450</v>
      </c>
      <c r="AE40" s="356">
        <f>IF('2. Operating Budget'!$E34&gt;0,'2. Operating Budget'!$E34*'8. P&amp;L and Cashflow'!AE$7,'2. Operating Budget'!$K34)</f>
        <v>450</v>
      </c>
      <c r="AF40" s="356">
        <f>IF('2. Operating Budget'!$E34&gt;0,'2. Operating Budget'!$E34*'8. P&amp;L and Cashflow'!AF$7,'2. Operating Budget'!$K34)</f>
        <v>450</v>
      </c>
    </row>
    <row r="41" spans="2:32" ht="12.75" hidden="1" x14ac:dyDescent="0.2">
      <c r="B41" s="174" t="str">
        <f>IF('2. Operating Budget'!A35="","",'2. Operating Budget'!A35)</f>
        <v>Bad Debt</v>
      </c>
      <c r="C41" s="267">
        <f>'2. Operating Budget'!K35</f>
        <v>1282.25</v>
      </c>
      <c r="D41" s="261">
        <f>IF('2. Operating Budget'!$D35&gt;0,$C41/12,'2. Operating Budget'!$B35*4.3+'2. Operating Budget'!$C35+'2. Operating Budget'!$E35*D$7)</f>
        <v>55.75</v>
      </c>
      <c r="E41" s="76">
        <f>IF('2. Operating Budget'!$D35&gt;0,$C41/12,'2. Operating Budget'!$B35*4.3+'2. Operating Budget'!$C35+'2. Operating Budget'!$E35*E$7)</f>
        <v>111.5</v>
      </c>
      <c r="F41" s="76">
        <f>IF('2. Operating Budget'!$D35&gt;0,$C41/12,'2. Operating Budget'!$B35*4.3+'2. Operating Budget'!$C35+'2. Operating Budget'!$E35*F$7)</f>
        <v>111.5</v>
      </c>
      <c r="G41" s="76">
        <f>IF('2. Operating Budget'!$D35&gt;0,$C41/12,'2. Operating Budget'!$B35*4.3+'2. Operating Budget'!$C35+'2. Operating Budget'!$E35*G$7)</f>
        <v>111.5</v>
      </c>
      <c r="H41" s="76">
        <f>IF('2. Operating Budget'!$D35&gt;0,$C41/12,'2. Operating Budget'!$B35*4.3+'2. Operating Budget'!$C35+'2. Operating Budget'!$E35*H$7)</f>
        <v>111.5</v>
      </c>
      <c r="I41" s="76">
        <f>IF('2. Operating Budget'!$D35&gt;0,$C41/12,'2. Operating Budget'!$B35*4.3+'2. Operating Budget'!$C35+'2. Operating Budget'!$E35*I$7)</f>
        <v>111.5</v>
      </c>
      <c r="J41" s="76">
        <f>IF('2. Operating Budget'!$D35&gt;0,$C41/12,'2. Operating Budget'!$B35*4.3+'2. Operating Budget'!$C35+'2. Operating Budget'!$E35*J$7)</f>
        <v>111.5</v>
      </c>
      <c r="K41" s="76">
        <f>IF('2. Operating Budget'!$D35&gt;0,$C41/12,'2. Operating Budget'!$B35*4.3+'2. Operating Budget'!$C35+'2. Operating Budget'!$E35*K$7)</f>
        <v>111.5</v>
      </c>
      <c r="L41" s="76">
        <f>IF('2. Operating Budget'!$D35&gt;0,$C41/12,'2. Operating Budget'!$B35*4.3+'2. Operating Budget'!$C35+'2. Operating Budget'!$E35*L$7)</f>
        <v>111.5</v>
      </c>
      <c r="M41" s="76">
        <f>IF('2. Operating Budget'!$D35&gt;0,$C41/12,'2. Operating Budget'!$B35*4.3+'2. Operating Budget'!$C35+'2. Operating Budget'!$E35*M$7)</f>
        <v>111.5</v>
      </c>
      <c r="N41" s="76">
        <f>IF('2. Operating Budget'!$D35&gt;0,$C41/12,'2. Operating Budget'!$B35*4.3+'2. Operating Budget'!$C35+'2. Operating Budget'!$E35*N$7)</f>
        <v>111.5</v>
      </c>
      <c r="O41" s="76">
        <f>IF('2. Operating Budget'!$D35&gt;0,$C41/12,'2. Operating Budget'!$B35*4.3+'2. Operating Budget'!$C35+'2. Operating Budget'!$E35*O$7)</f>
        <v>111.5</v>
      </c>
      <c r="P41" s="357">
        <f t="shared" si="19"/>
        <v>1282.25</v>
      </c>
      <c r="Q41" s="261">
        <f>IF('2. Operating Budget'!$D35&gt;0,$C41/12,'2. Operating Budget'!$B35*4.3+'2. Operating Budget'!$C35+'2. Operating Budget'!$E35*Q$7)</f>
        <v>126.27500000000001</v>
      </c>
      <c r="R41" s="76">
        <f>IF('2. Operating Budget'!$D35&gt;0,$C41/12,'2. Operating Budget'!$B35*4.3+'2. Operating Budget'!$C35+'2. Operating Budget'!$E35*R$7)</f>
        <v>126.27500000000001</v>
      </c>
      <c r="S41" s="76">
        <f>IF('2. Operating Budget'!$D35&gt;0,$C41/12,'2. Operating Budget'!$B35*4.3+'2. Operating Budget'!$C35+'2. Operating Budget'!$E35*S$7)</f>
        <v>126.27500000000001</v>
      </c>
      <c r="T41" s="76">
        <f>IF('2. Operating Budget'!$D35&gt;0,$C41/12,'2. Operating Budget'!$B35*4.3+'2. Operating Budget'!$C35+'2. Operating Budget'!$E35*T$7)</f>
        <v>126.27500000000001</v>
      </c>
      <c r="U41" s="76">
        <f>IF('2. Operating Budget'!$D35&gt;0,$C41/12,'2. Operating Budget'!$B35*4.3+'2. Operating Budget'!$C35+'2. Operating Budget'!$E35*U$7)</f>
        <v>126.27500000000001</v>
      </c>
      <c r="V41" s="76">
        <f>IF('2. Operating Budget'!$D35&gt;0,$C41/12,'2. Operating Budget'!$B35*4.3+'2. Operating Budget'!$C35+'2. Operating Budget'!$E35*V$7)</f>
        <v>126.27500000000001</v>
      </c>
      <c r="W41" s="76">
        <f>IF('2. Operating Budget'!$D35&gt;0,$C41/12,'2. Operating Budget'!$B35*4.3+'2. Operating Budget'!$C35+'2. Operating Budget'!$E35*W$7)</f>
        <v>126.27500000000001</v>
      </c>
      <c r="X41" s="76">
        <f>IF('2. Operating Budget'!$D35&gt;0,$C41/12,'2. Operating Budget'!$B35*4.3+'2. Operating Budget'!$C35+'2. Operating Budget'!$E35*X$7)</f>
        <v>126.27500000000001</v>
      </c>
      <c r="Y41" s="76">
        <f>IF('2. Operating Budget'!$D35&gt;0,$C41/12,'2. Operating Budget'!$B35*4.3+'2. Operating Budget'!$C35+'2. Operating Budget'!$E35*Y$7)</f>
        <v>126.27500000000001</v>
      </c>
      <c r="Z41" s="76">
        <f>IF('2. Operating Budget'!$D35&gt;0,$C41/12,'2. Operating Budget'!$B35*4.3+'2. Operating Budget'!$C35+'2. Operating Budget'!$E35*Z$7)</f>
        <v>126.27500000000001</v>
      </c>
      <c r="AA41" s="76">
        <f>IF('2. Operating Budget'!$D35&gt;0,$C41/12,'2. Operating Budget'!$B35*4.3+'2. Operating Budget'!$C35+'2. Operating Budget'!$E35*AA$7)</f>
        <v>126.27500000000001</v>
      </c>
      <c r="AB41" s="76">
        <f>IF('2. Operating Budget'!$D35&gt;0,$C41/12,'2. Operating Budget'!$B35*4.3+'2. Operating Budget'!$C35+'2. Operating Budget'!$E35*AB$7)</f>
        <v>126.27500000000001</v>
      </c>
      <c r="AC41" s="357">
        <f t="shared" si="20"/>
        <v>1515.3000000000002</v>
      </c>
      <c r="AD41" s="357">
        <f>IF('2. Operating Budget'!$E35&gt;0,'2. Operating Budget'!$E35*'8. P&amp;L and Cashflow'!AD$7,'2. Operating Budget'!$K35)</f>
        <v>1716.855</v>
      </c>
      <c r="AE41" s="357">
        <f>IF('2. Operating Budget'!$E35&gt;0,'2. Operating Budget'!$E35*'8. P&amp;L and Cashflow'!AE$7,'2. Operating Budget'!$K35)</f>
        <v>1946.06925</v>
      </c>
      <c r="AF41" s="357">
        <f>IF('2. Operating Budget'!$E35&gt;0,'2. Operating Budget'!$E35*'8. P&amp;L and Cashflow'!AF$7,'2. Operating Budget'!$K35)</f>
        <v>2206.8342374999997</v>
      </c>
    </row>
    <row r="42" spans="2:32" ht="12.75" hidden="1" x14ac:dyDescent="0.2">
      <c r="B42" s="293" t="str">
        <f>IF('2. Operating Budget'!A36="","",'2. Operating Budget'!A36)</f>
        <v/>
      </c>
      <c r="C42" s="294">
        <f>'2. Operating Budget'!K36</f>
        <v>0</v>
      </c>
      <c r="D42" s="295">
        <f>IF('2. Operating Budget'!$D36&gt;0,$C42/12,'2. Operating Budget'!$B36*4.3+'2. Operating Budget'!$C36+'2. Operating Budget'!$E36*D$7)</f>
        <v>0</v>
      </c>
      <c r="E42" s="296">
        <f>IF('2. Operating Budget'!$D36&gt;0,$C42/12,'2. Operating Budget'!$B36*4.3+'2. Operating Budget'!$C36+'2. Operating Budget'!$E36*E$7)</f>
        <v>0</v>
      </c>
      <c r="F42" s="296">
        <f>IF('2. Operating Budget'!$D36&gt;0,$C42/12,'2. Operating Budget'!$B36*4.3+'2. Operating Budget'!$C36+'2. Operating Budget'!$E36*F$7)</f>
        <v>0</v>
      </c>
      <c r="G42" s="296">
        <f>IF('2. Operating Budget'!$D36&gt;0,$C42/12,'2. Operating Budget'!$B36*4.3+'2. Operating Budget'!$C36+'2. Operating Budget'!$E36*G$7)</f>
        <v>0</v>
      </c>
      <c r="H42" s="296">
        <f>IF('2. Operating Budget'!$D36&gt;0,$C42/12,'2. Operating Budget'!$B36*4.3+'2. Operating Budget'!$C36+'2. Operating Budget'!$E36*H$7)</f>
        <v>0</v>
      </c>
      <c r="I42" s="296">
        <f>IF('2. Operating Budget'!$D36&gt;0,$C42/12,'2. Operating Budget'!$B36*4.3+'2. Operating Budget'!$C36+'2. Operating Budget'!$E36*I$7)</f>
        <v>0</v>
      </c>
      <c r="J42" s="296">
        <f>IF('2. Operating Budget'!$D36&gt;0,$C42/12,'2. Operating Budget'!$B36*4.3+'2. Operating Budget'!$C36+'2. Operating Budget'!$E36*J$7)</f>
        <v>0</v>
      </c>
      <c r="K42" s="296">
        <f>IF('2. Operating Budget'!$D36&gt;0,$C42/12,'2. Operating Budget'!$B36*4.3+'2. Operating Budget'!$C36+'2. Operating Budget'!$E36*K$7)</f>
        <v>0</v>
      </c>
      <c r="L42" s="296">
        <f>IF('2. Operating Budget'!$D36&gt;0,$C42/12,'2. Operating Budget'!$B36*4.3+'2. Operating Budget'!$C36+'2. Operating Budget'!$E36*L$7)</f>
        <v>0</v>
      </c>
      <c r="M42" s="296">
        <f>IF('2. Operating Budget'!$D36&gt;0,$C42/12,'2. Operating Budget'!$B36*4.3+'2. Operating Budget'!$C36+'2. Operating Budget'!$E36*M$7)</f>
        <v>0</v>
      </c>
      <c r="N42" s="296">
        <f>IF('2. Operating Budget'!$D36&gt;0,$C42/12,'2. Operating Budget'!$B36*4.3+'2. Operating Budget'!$C36+'2. Operating Budget'!$E36*N$7)</f>
        <v>0</v>
      </c>
      <c r="O42" s="296">
        <f>IF('2. Operating Budget'!$D36&gt;0,$C42/12,'2. Operating Budget'!$B36*4.3+'2. Operating Budget'!$C36+'2. Operating Budget'!$E36*O$7)</f>
        <v>0</v>
      </c>
      <c r="P42" s="356">
        <f t="shared" si="19"/>
        <v>0</v>
      </c>
      <c r="Q42" s="295">
        <f>IF('2. Operating Budget'!$D36&gt;0,$C42/12,'2. Operating Budget'!$B36*4.3+'2. Operating Budget'!$C36+'2. Operating Budget'!$E36*Q$7)</f>
        <v>0</v>
      </c>
      <c r="R42" s="296">
        <f>IF('2. Operating Budget'!$D36&gt;0,$C42/12,'2. Operating Budget'!$B36*4.3+'2. Operating Budget'!$C36+'2. Operating Budget'!$E36*R$7)</f>
        <v>0</v>
      </c>
      <c r="S42" s="296">
        <f>IF('2. Operating Budget'!$D36&gt;0,$C42/12,'2. Operating Budget'!$B36*4.3+'2. Operating Budget'!$C36+'2. Operating Budget'!$E36*S$7)</f>
        <v>0</v>
      </c>
      <c r="T42" s="296">
        <f>IF('2. Operating Budget'!$D36&gt;0,$C42/12,'2. Operating Budget'!$B36*4.3+'2. Operating Budget'!$C36+'2. Operating Budget'!$E36*T$7)</f>
        <v>0</v>
      </c>
      <c r="U42" s="296">
        <f>IF('2. Operating Budget'!$D36&gt;0,$C42/12,'2. Operating Budget'!$B36*4.3+'2. Operating Budget'!$C36+'2. Operating Budget'!$E36*U$7)</f>
        <v>0</v>
      </c>
      <c r="V42" s="296">
        <f>IF('2. Operating Budget'!$D36&gt;0,$C42/12,'2. Operating Budget'!$B36*4.3+'2. Operating Budget'!$C36+'2. Operating Budget'!$E36*V$7)</f>
        <v>0</v>
      </c>
      <c r="W42" s="296">
        <f>IF('2. Operating Budget'!$D36&gt;0,$C42/12,'2. Operating Budget'!$B36*4.3+'2. Operating Budget'!$C36+'2. Operating Budget'!$E36*W$7)</f>
        <v>0</v>
      </c>
      <c r="X42" s="296">
        <f>IF('2. Operating Budget'!$D36&gt;0,$C42/12,'2. Operating Budget'!$B36*4.3+'2. Operating Budget'!$C36+'2. Operating Budget'!$E36*X$7)</f>
        <v>0</v>
      </c>
      <c r="Y42" s="296">
        <f>IF('2. Operating Budget'!$D36&gt;0,$C42/12,'2. Operating Budget'!$B36*4.3+'2. Operating Budget'!$C36+'2. Operating Budget'!$E36*Y$7)</f>
        <v>0</v>
      </c>
      <c r="Z42" s="296">
        <f>IF('2. Operating Budget'!$D36&gt;0,$C42/12,'2. Operating Budget'!$B36*4.3+'2. Operating Budget'!$C36+'2. Operating Budget'!$E36*Z$7)</f>
        <v>0</v>
      </c>
      <c r="AA42" s="296">
        <f>IF('2. Operating Budget'!$D36&gt;0,$C42/12,'2. Operating Budget'!$B36*4.3+'2. Operating Budget'!$C36+'2. Operating Budget'!$E36*AA$7)</f>
        <v>0</v>
      </c>
      <c r="AB42" s="296">
        <f>IF('2. Operating Budget'!$D36&gt;0,$C42/12,'2. Operating Budget'!$B36*4.3+'2. Operating Budget'!$C36+'2. Operating Budget'!$E36*AB$7)</f>
        <v>0</v>
      </c>
      <c r="AC42" s="356">
        <f t="shared" si="20"/>
        <v>0</v>
      </c>
      <c r="AD42" s="356">
        <f>IF('2. Operating Budget'!$E36&gt;0,'2. Operating Budget'!$E36*'8. P&amp;L and Cashflow'!AD$7,'2. Operating Budget'!$K36)</f>
        <v>0</v>
      </c>
      <c r="AE42" s="356">
        <f>IF('2. Operating Budget'!$E36&gt;0,'2. Operating Budget'!$E36*'8. P&amp;L and Cashflow'!AE$7,'2. Operating Budget'!$K36)</f>
        <v>0</v>
      </c>
      <c r="AF42" s="356">
        <f>IF('2. Operating Budget'!$E36&gt;0,'2. Operating Budget'!$E36*'8. P&amp;L and Cashflow'!AF$7,'2. Operating Budget'!$K36)</f>
        <v>0</v>
      </c>
    </row>
    <row r="43" spans="2:32" ht="12.75" hidden="1" x14ac:dyDescent="0.2">
      <c r="B43" s="174" t="str">
        <f>IF('2. Operating Budget'!A37="","",'2. Operating Budget'!A37)</f>
        <v>Banking Fees</v>
      </c>
      <c r="C43" s="267">
        <f>'2. Operating Budget'!K37</f>
        <v>85</v>
      </c>
      <c r="D43" s="261">
        <f>IF('2. Operating Budget'!$D37&gt;0,$C43/12,'2. Operating Budget'!$B37*4.3+'2. Operating Budget'!$C37+'2. Operating Budget'!$E37*D$7)</f>
        <v>7.083333333333333</v>
      </c>
      <c r="E43" s="76">
        <f>IF('2. Operating Budget'!$D37&gt;0,$C43/12,'2. Operating Budget'!$B37*4.3+'2. Operating Budget'!$C37+'2. Operating Budget'!$E37*E$7)</f>
        <v>7.083333333333333</v>
      </c>
      <c r="F43" s="76">
        <f>IF('2. Operating Budget'!$D37&gt;0,$C43/12,'2. Operating Budget'!$B37*4.3+'2. Operating Budget'!$C37+'2. Operating Budget'!$E37*F$7)</f>
        <v>7.083333333333333</v>
      </c>
      <c r="G43" s="76">
        <f>IF('2. Operating Budget'!$D37&gt;0,$C43/12,'2. Operating Budget'!$B37*4.3+'2. Operating Budget'!$C37+'2. Operating Budget'!$E37*G$7)</f>
        <v>7.083333333333333</v>
      </c>
      <c r="H43" s="76">
        <f>IF('2. Operating Budget'!$D37&gt;0,$C43/12,'2. Operating Budget'!$B37*4.3+'2. Operating Budget'!$C37+'2. Operating Budget'!$E37*H$7)</f>
        <v>7.083333333333333</v>
      </c>
      <c r="I43" s="76">
        <f>IF('2. Operating Budget'!$D37&gt;0,$C43/12,'2. Operating Budget'!$B37*4.3+'2. Operating Budget'!$C37+'2. Operating Budget'!$E37*I$7)</f>
        <v>7.083333333333333</v>
      </c>
      <c r="J43" s="76">
        <f>IF('2. Operating Budget'!$D37&gt;0,$C43/12,'2. Operating Budget'!$B37*4.3+'2. Operating Budget'!$C37+'2. Operating Budget'!$E37*J$7)</f>
        <v>7.083333333333333</v>
      </c>
      <c r="K43" s="76">
        <f>IF('2. Operating Budget'!$D37&gt;0,$C43/12,'2. Operating Budget'!$B37*4.3+'2. Operating Budget'!$C37+'2. Operating Budget'!$E37*K$7)</f>
        <v>7.083333333333333</v>
      </c>
      <c r="L43" s="76">
        <f>IF('2. Operating Budget'!$D37&gt;0,$C43/12,'2. Operating Budget'!$B37*4.3+'2. Operating Budget'!$C37+'2. Operating Budget'!$E37*L$7)</f>
        <v>7.083333333333333</v>
      </c>
      <c r="M43" s="76">
        <f>IF('2. Operating Budget'!$D37&gt;0,$C43/12,'2. Operating Budget'!$B37*4.3+'2. Operating Budget'!$C37+'2. Operating Budget'!$E37*M$7)</f>
        <v>7.083333333333333</v>
      </c>
      <c r="N43" s="76">
        <f>IF('2. Operating Budget'!$D37&gt;0,$C43/12,'2. Operating Budget'!$B37*4.3+'2. Operating Budget'!$C37+'2. Operating Budget'!$E37*N$7)</f>
        <v>7.083333333333333</v>
      </c>
      <c r="O43" s="76">
        <f>IF('2. Operating Budget'!$D37&gt;0,$C43/12,'2. Operating Budget'!$B37*4.3+'2. Operating Budget'!$C37+'2. Operating Budget'!$E37*O$7)</f>
        <v>7.083333333333333</v>
      </c>
      <c r="P43" s="357">
        <f t="shared" si="19"/>
        <v>85</v>
      </c>
      <c r="Q43" s="261">
        <f>IF('2. Operating Budget'!$D37&gt;0,$C43/12,'2. Operating Budget'!$B37*4.3+'2. Operating Budget'!$C37+'2. Operating Budget'!$E37*Q$7)</f>
        <v>7.083333333333333</v>
      </c>
      <c r="R43" s="76">
        <f>IF('2. Operating Budget'!$D37&gt;0,$C43/12,'2. Operating Budget'!$B37*4.3+'2. Operating Budget'!$C37+'2. Operating Budget'!$E37*R$7)</f>
        <v>7.083333333333333</v>
      </c>
      <c r="S43" s="76">
        <f>IF('2. Operating Budget'!$D37&gt;0,$C43/12,'2. Operating Budget'!$B37*4.3+'2. Operating Budget'!$C37+'2. Operating Budget'!$E37*S$7)</f>
        <v>7.083333333333333</v>
      </c>
      <c r="T43" s="76">
        <f>IF('2. Operating Budget'!$D37&gt;0,$C43/12,'2. Operating Budget'!$B37*4.3+'2. Operating Budget'!$C37+'2. Operating Budget'!$E37*T$7)</f>
        <v>7.083333333333333</v>
      </c>
      <c r="U43" s="76">
        <f>IF('2. Operating Budget'!$D37&gt;0,$C43/12,'2. Operating Budget'!$B37*4.3+'2. Operating Budget'!$C37+'2. Operating Budget'!$E37*U$7)</f>
        <v>7.083333333333333</v>
      </c>
      <c r="V43" s="76">
        <f>IF('2. Operating Budget'!$D37&gt;0,$C43/12,'2. Operating Budget'!$B37*4.3+'2. Operating Budget'!$C37+'2. Operating Budget'!$E37*V$7)</f>
        <v>7.083333333333333</v>
      </c>
      <c r="W43" s="76">
        <f>IF('2. Operating Budget'!$D37&gt;0,$C43/12,'2. Operating Budget'!$B37*4.3+'2. Operating Budget'!$C37+'2. Operating Budget'!$E37*W$7)</f>
        <v>7.083333333333333</v>
      </c>
      <c r="X43" s="76">
        <f>IF('2. Operating Budget'!$D37&gt;0,$C43/12,'2. Operating Budget'!$B37*4.3+'2. Operating Budget'!$C37+'2. Operating Budget'!$E37*X$7)</f>
        <v>7.083333333333333</v>
      </c>
      <c r="Y43" s="76">
        <f>IF('2. Operating Budget'!$D37&gt;0,$C43/12,'2. Operating Budget'!$B37*4.3+'2. Operating Budget'!$C37+'2. Operating Budget'!$E37*Y$7)</f>
        <v>7.083333333333333</v>
      </c>
      <c r="Z43" s="76">
        <f>IF('2. Operating Budget'!$D37&gt;0,$C43/12,'2. Operating Budget'!$B37*4.3+'2. Operating Budget'!$C37+'2. Operating Budget'!$E37*Z$7)</f>
        <v>7.083333333333333</v>
      </c>
      <c r="AA43" s="76">
        <f>IF('2. Operating Budget'!$D37&gt;0,$C43/12,'2. Operating Budget'!$B37*4.3+'2. Operating Budget'!$C37+'2. Operating Budget'!$E37*AA$7)</f>
        <v>7.083333333333333</v>
      </c>
      <c r="AB43" s="76">
        <f>IF('2. Operating Budget'!$D37&gt;0,$C43/12,'2. Operating Budget'!$B37*4.3+'2. Operating Budget'!$C37+'2. Operating Budget'!$E37*AB$7)</f>
        <v>7.083333333333333</v>
      </c>
      <c r="AC43" s="357">
        <f t="shared" si="20"/>
        <v>85</v>
      </c>
      <c r="AD43" s="357">
        <f>IF('2. Operating Budget'!$E37&gt;0,'2. Operating Budget'!$E37*'8. P&amp;L and Cashflow'!AD$7,'2. Operating Budget'!$K37)</f>
        <v>85</v>
      </c>
      <c r="AE43" s="357">
        <f>IF('2. Operating Budget'!$E37&gt;0,'2. Operating Budget'!$E37*'8. P&amp;L and Cashflow'!AE$7,'2. Operating Budget'!$K37)</f>
        <v>85</v>
      </c>
      <c r="AF43" s="357">
        <f>IF('2. Operating Budget'!$E37&gt;0,'2. Operating Budget'!$E37*'8. P&amp;L and Cashflow'!AF$7,'2. Operating Budget'!$K37)</f>
        <v>85</v>
      </c>
    </row>
    <row r="44" spans="2:32" ht="12.75" hidden="1" x14ac:dyDescent="0.2">
      <c r="B44" s="293" t="str">
        <f>IF('2. Operating Budget'!A38="","",'2. Operating Budget'!A38)</f>
        <v>Merchant Account Fees</v>
      </c>
      <c r="C44" s="294">
        <f>'2. Operating Budget'!K38</f>
        <v>8975.75</v>
      </c>
      <c r="D44" s="295">
        <f>IF('2. Operating Budget'!$D38&gt;0,$C44/12,'2. Operating Budget'!$B38*4.3+'2. Operating Budget'!$C38+'2. Operating Budget'!$E38*D$7)</f>
        <v>390.25000000000006</v>
      </c>
      <c r="E44" s="296">
        <f>IF('2. Operating Budget'!$D38&gt;0,$C44/12,'2. Operating Budget'!$B38*4.3+'2. Operating Budget'!$C38+'2. Operating Budget'!$E38*E$7)</f>
        <v>780.50000000000011</v>
      </c>
      <c r="F44" s="296">
        <f>IF('2. Operating Budget'!$D38&gt;0,$C44/12,'2. Operating Budget'!$B38*4.3+'2. Operating Budget'!$C38+'2. Operating Budget'!$E38*F$7)</f>
        <v>780.50000000000011</v>
      </c>
      <c r="G44" s="296">
        <f>IF('2. Operating Budget'!$D38&gt;0,$C44/12,'2. Operating Budget'!$B38*4.3+'2. Operating Budget'!$C38+'2. Operating Budget'!$E38*G$7)</f>
        <v>780.50000000000011</v>
      </c>
      <c r="H44" s="296">
        <f>IF('2. Operating Budget'!$D38&gt;0,$C44/12,'2. Operating Budget'!$B38*4.3+'2. Operating Budget'!$C38+'2. Operating Budget'!$E38*H$7)</f>
        <v>780.50000000000011</v>
      </c>
      <c r="I44" s="296">
        <f>IF('2. Operating Budget'!$D38&gt;0,$C44/12,'2. Operating Budget'!$B38*4.3+'2. Operating Budget'!$C38+'2. Operating Budget'!$E38*I$7)</f>
        <v>780.50000000000011</v>
      </c>
      <c r="J44" s="296">
        <f>IF('2. Operating Budget'!$D38&gt;0,$C44/12,'2. Operating Budget'!$B38*4.3+'2. Operating Budget'!$C38+'2. Operating Budget'!$E38*J$7)</f>
        <v>780.50000000000011</v>
      </c>
      <c r="K44" s="296">
        <f>IF('2. Operating Budget'!$D38&gt;0,$C44/12,'2. Operating Budget'!$B38*4.3+'2. Operating Budget'!$C38+'2. Operating Budget'!$E38*K$7)</f>
        <v>780.50000000000011</v>
      </c>
      <c r="L44" s="296">
        <f>IF('2. Operating Budget'!$D38&gt;0,$C44/12,'2. Operating Budget'!$B38*4.3+'2. Operating Budget'!$C38+'2. Operating Budget'!$E38*L$7)</f>
        <v>780.50000000000011</v>
      </c>
      <c r="M44" s="296">
        <f>IF('2. Operating Budget'!$D38&gt;0,$C44/12,'2. Operating Budget'!$B38*4.3+'2. Operating Budget'!$C38+'2. Operating Budget'!$E38*M$7)</f>
        <v>780.50000000000011</v>
      </c>
      <c r="N44" s="296">
        <f>IF('2. Operating Budget'!$D38&gt;0,$C44/12,'2. Operating Budget'!$B38*4.3+'2. Operating Budget'!$C38+'2. Operating Budget'!$E38*N$7)</f>
        <v>780.50000000000011</v>
      </c>
      <c r="O44" s="296">
        <f>IF('2. Operating Budget'!$D38&gt;0,$C44/12,'2. Operating Budget'!$B38*4.3+'2. Operating Budget'!$C38+'2. Operating Budget'!$E38*O$7)</f>
        <v>780.50000000000011</v>
      </c>
      <c r="P44" s="356">
        <f t="shared" si="19"/>
        <v>8975.7500000000018</v>
      </c>
      <c r="Q44" s="295">
        <f>IF('2. Operating Budget'!$D38&gt;0,$C44/12,'2. Operating Budget'!$B38*4.3+'2. Operating Budget'!$C38+'2. Operating Budget'!$E38*Q$7)</f>
        <v>883.92500000000007</v>
      </c>
      <c r="R44" s="296">
        <f>IF('2. Operating Budget'!$D38&gt;0,$C44/12,'2. Operating Budget'!$B38*4.3+'2. Operating Budget'!$C38+'2. Operating Budget'!$E38*R$7)</f>
        <v>883.92500000000007</v>
      </c>
      <c r="S44" s="296">
        <f>IF('2. Operating Budget'!$D38&gt;0,$C44/12,'2. Operating Budget'!$B38*4.3+'2. Operating Budget'!$C38+'2. Operating Budget'!$E38*S$7)</f>
        <v>883.92500000000007</v>
      </c>
      <c r="T44" s="296">
        <f>IF('2. Operating Budget'!$D38&gt;0,$C44/12,'2. Operating Budget'!$B38*4.3+'2. Operating Budget'!$C38+'2. Operating Budget'!$E38*T$7)</f>
        <v>883.92500000000007</v>
      </c>
      <c r="U44" s="296">
        <f>IF('2. Operating Budget'!$D38&gt;0,$C44/12,'2. Operating Budget'!$B38*4.3+'2. Operating Budget'!$C38+'2. Operating Budget'!$E38*U$7)</f>
        <v>883.92500000000007</v>
      </c>
      <c r="V44" s="296">
        <f>IF('2. Operating Budget'!$D38&gt;0,$C44/12,'2. Operating Budget'!$B38*4.3+'2. Operating Budget'!$C38+'2. Operating Budget'!$E38*V$7)</f>
        <v>883.92500000000007</v>
      </c>
      <c r="W44" s="296">
        <f>IF('2. Operating Budget'!$D38&gt;0,$C44/12,'2. Operating Budget'!$B38*4.3+'2. Operating Budget'!$C38+'2. Operating Budget'!$E38*W$7)</f>
        <v>883.92500000000007</v>
      </c>
      <c r="X44" s="296">
        <f>IF('2. Operating Budget'!$D38&gt;0,$C44/12,'2. Operating Budget'!$B38*4.3+'2. Operating Budget'!$C38+'2. Operating Budget'!$E38*X$7)</f>
        <v>883.92500000000007</v>
      </c>
      <c r="Y44" s="296">
        <f>IF('2. Operating Budget'!$D38&gt;0,$C44/12,'2. Operating Budget'!$B38*4.3+'2. Operating Budget'!$C38+'2. Operating Budget'!$E38*Y$7)</f>
        <v>883.92500000000007</v>
      </c>
      <c r="Z44" s="296">
        <f>IF('2. Operating Budget'!$D38&gt;0,$C44/12,'2. Operating Budget'!$B38*4.3+'2. Operating Budget'!$C38+'2. Operating Budget'!$E38*Z$7)</f>
        <v>883.92500000000007</v>
      </c>
      <c r="AA44" s="296">
        <f>IF('2. Operating Budget'!$D38&gt;0,$C44/12,'2. Operating Budget'!$B38*4.3+'2. Operating Budget'!$C38+'2. Operating Budget'!$E38*AA$7)</f>
        <v>883.92500000000007</v>
      </c>
      <c r="AB44" s="296">
        <f>IF('2. Operating Budget'!$D38&gt;0,$C44/12,'2. Operating Budget'!$B38*4.3+'2. Operating Budget'!$C38+'2. Operating Budget'!$E38*AB$7)</f>
        <v>883.92500000000007</v>
      </c>
      <c r="AC44" s="356">
        <f t="shared" si="20"/>
        <v>10607.099999999999</v>
      </c>
      <c r="AD44" s="356">
        <f>IF('2. Operating Budget'!$E38&gt;0,'2. Operating Budget'!$E38*'8. P&amp;L and Cashflow'!AD$7,'2. Operating Budget'!$K38)</f>
        <v>12017.985000000001</v>
      </c>
      <c r="AE44" s="356">
        <f>IF('2. Operating Budget'!$E38&gt;0,'2. Operating Budget'!$E38*'8. P&amp;L and Cashflow'!AE$7,'2. Operating Budget'!$K38)</f>
        <v>13622.48475</v>
      </c>
      <c r="AF44" s="356">
        <f>IF('2. Operating Budget'!$E38&gt;0,'2. Operating Budget'!$E38*'8. P&amp;L and Cashflow'!AF$7,'2. Operating Budget'!$K38)</f>
        <v>15447.8396625</v>
      </c>
    </row>
    <row r="45" spans="2:32" ht="12.75" hidden="1" x14ac:dyDescent="0.2">
      <c r="B45" s="174" t="str">
        <f>IF('2. Operating Budget'!A39="","",'2. Operating Budget'!A39)</f>
        <v/>
      </c>
      <c r="C45" s="267">
        <f>'2. Operating Budget'!K39</f>
        <v>0</v>
      </c>
      <c r="D45" s="261">
        <f>IF('2. Operating Budget'!$D39&gt;0,$C45/12,'2. Operating Budget'!$B39*4.3+'2. Operating Budget'!$C39+'2. Operating Budget'!$E39*D$7)</f>
        <v>0</v>
      </c>
      <c r="E45" s="76">
        <f>IF('2. Operating Budget'!$D39&gt;0,$C45/12,'2. Operating Budget'!$B39*4.3+'2. Operating Budget'!$C39+'2. Operating Budget'!$E39*E$7)</f>
        <v>0</v>
      </c>
      <c r="F45" s="76">
        <f>IF('2. Operating Budget'!$D39&gt;0,$C45/12,'2. Operating Budget'!$B39*4.3+'2. Operating Budget'!$C39+'2. Operating Budget'!$E39*F$7)</f>
        <v>0</v>
      </c>
      <c r="G45" s="76">
        <f>IF('2. Operating Budget'!$D39&gt;0,$C45/12,'2. Operating Budget'!$B39*4.3+'2. Operating Budget'!$C39+'2. Operating Budget'!$E39*G$7)</f>
        <v>0</v>
      </c>
      <c r="H45" s="76">
        <f>IF('2. Operating Budget'!$D39&gt;0,$C45/12,'2. Operating Budget'!$B39*4.3+'2. Operating Budget'!$C39+'2. Operating Budget'!$E39*H$7)</f>
        <v>0</v>
      </c>
      <c r="I45" s="76">
        <f>IF('2. Operating Budget'!$D39&gt;0,$C45/12,'2. Operating Budget'!$B39*4.3+'2. Operating Budget'!$C39+'2. Operating Budget'!$E39*I$7)</f>
        <v>0</v>
      </c>
      <c r="J45" s="76">
        <f>IF('2. Operating Budget'!$D39&gt;0,$C45/12,'2. Operating Budget'!$B39*4.3+'2. Operating Budget'!$C39+'2. Operating Budget'!$E39*J$7)</f>
        <v>0</v>
      </c>
      <c r="K45" s="76">
        <f>IF('2. Operating Budget'!$D39&gt;0,$C45/12,'2. Operating Budget'!$B39*4.3+'2. Operating Budget'!$C39+'2. Operating Budget'!$E39*K$7)</f>
        <v>0</v>
      </c>
      <c r="L45" s="76">
        <f>IF('2. Operating Budget'!$D39&gt;0,$C45/12,'2. Operating Budget'!$B39*4.3+'2. Operating Budget'!$C39+'2. Operating Budget'!$E39*L$7)</f>
        <v>0</v>
      </c>
      <c r="M45" s="76">
        <f>IF('2. Operating Budget'!$D39&gt;0,$C45/12,'2. Operating Budget'!$B39*4.3+'2. Operating Budget'!$C39+'2. Operating Budget'!$E39*M$7)</f>
        <v>0</v>
      </c>
      <c r="N45" s="76">
        <f>IF('2. Operating Budget'!$D39&gt;0,$C45/12,'2. Operating Budget'!$B39*4.3+'2. Operating Budget'!$C39+'2. Operating Budget'!$E39*N$7)</f>
        <v>0</v>
      </c>
      <c r="O45" s="76">
        <f>IF('2. Operating Budget'!$D39&gt;0,$C45/12,'2. Operating Budget'!$B39*4.3+'2. Operating Budget'!$C39+'2. Operating Budget'!$E39*O$7)</f>
        <v>0</v>
      </c>
      <c r="P45" s="357">
        <f t="shared" si="19"/>
        <v>0</v>
      </c>
      <c r="Q45" s="261">
        <f>IF('2. Operating Budget'!$D39&gt;0,$C45/12,'2. Operating Budget'!$B39*4.3+'2. Operating Budget'!$C39+'2. Operating Budget'!$E39*Q$7)</f>
        <v>0</v>
      </c>
      <c r="R45" s="76">
        <f>IF('2. Operating Budget'!$D39&gt;0,$C45/12,'2. Operating Budget'!$B39*4.3+'2. Operating Budget'!$C39+'2. Operating Budget'!$E39*R$7)</f>
        <v>0</v>
      </c>
      <c r="S45" s="76">
        <f>IF('2. Operating Budget'!$D39&gt;0,$C45/12,'2. Operating Budget'!$B39*4.3+'2. Operating Budget'!$C39+'2. Operating Budget'!$E39*S$7)</f>
        <v>0</v>
      </c>
      <c r="T45" s="76">
        <f>IF('2. Operating Budget'!$D39&gt;0,$C45/12,'2. Operating Budget'!$B39*4.3+'2. Operating Budget'!$C39+'2. Operating Budget'!$E39*T$7)</f>
        <v>0</v>
      </c>
      <c r="U45" s="76">
        <f>IF('2. Operating Budget'!$D39&gt;0,$C45/12,'2. Operating Budget'!$B39*4.3+'2. Operating Budget'!$C39+'2. Operating Budget'!$E39*U$7)</f>
        <v>0</v>
      </c>
      <c r="V45" s="76">
        <f>IF('2. Operating Budget'!$D39&gt;0,$C45/12,'2. Operating Budget'!$B39*4.3+'2. Operating Budget'!$C39+'2. Operating Budget'!$E39*V$7)</f>
        <v>0</v>
      </c>
      <c r="W45" s="76">
        <f>IF('2. Operating Budget'!$D39&gt;0,$C45/12,'2. Operating Budget'!$B39*4.3+'2. Operating Budget'!$C39+'2. Operating Budget'!$E39*W$7)</f>
        <v>0</v>
      </c>
      <c r="X45" s="76">
        <f>IF('2. Operating Budget'!$D39&gt;0,$C45/12,'2. Operating Budget'!$B39*4.3+'2. Operating Budget'!$C39+'2. Operating Budget'!$E39*X$7)</f>
        <v>0</v>
      </c>
      <c r="Y45" s="76">
        <f>IF('2. Operating Budget'!$D39&gt;0,$C45/12,'2. Operating Budget'!$B39*4.3+'2. Operating Budget'!$C39+'2. Operating Budget'!$E39*Y$7)</f>
        <v>0</v>
      </c>
      <c r="Z45" s="76">
        <f>IF('2. Operating Budget'!$D39&gt;0,$C45/12,'2. Operating Budget'!$B39*4.3+'2. Operating Budget'!$C39+'2. Operating Budget'!$E39*Z$7)</f>
        <v>0</v>
      </c>
      <c r="AA45" s="76">
        <f>IF('2. Operating Budget'!$D39&gt;0,$C45/12,'2. Operating Budget'!$B39*4.3+'2. Operating Budget'!$C39+'2. Operating Budget'!$E39*AA$7)</f>
        <v>0</v>
      </c>
      <c r="AB45" s="76">
        <f>IF('2. Operating Budget'!$D39&gt;0,$C45/12,'2. Operating Budget'!$B39*4.3+'2. Operating Budget'!$C39+'2. Operating Budget'!$E39*AB$7)</f>
        <v>0</v>
      </c>
      <c r="AC45" s="357">
        <f t="shared" si="20"/>
        <v>0</v>
      </c>
      <c r="AD45" s="357">
        <f>IF('2. Operating Budget'!$E39&gt;0,'2. Operating Budget'!$E39*'8. P&amp;L and Cashflow'!AD$7,'2. Operating Budget'!$K39)</f>
        <v>0</v>
      </c>
      <c r="AE45" s="357">
        <f>IF('2. Operating Budget'!$E39&gt;0,'2. Operating Budget'!$E39*'8. P&amp;L and Cashflow'!AE$7,'2. Operating Budget'!$K39)</f>
        <v>0</v>
      </c>
      <c r="AF45" s="357">
        <f>IF('2. Operating Budget'!$E39&gt;0,'2. Operating Budget'!$E39*'8. P&amp;L and Cashflow'!AF$7,'2. Operating Budget'!$K39)</f>
        <v>0</v>
      </c>
    </row>
    <row r="46" spans="2:32" ht="12.75" hidden="1" x14ac:dyDescent="0.2">
      <c r="B46" s="293" t="str">
        <f>IF('2. Operating Budget'!A40="","",'2. Operating Budget'!A40)</f>
        <v/>
      </c>
      <c r="C46" s="294">
        <f>'2. Operating Budget'!K40</f>
        <v>0</v>
      </c>
      <c r="D46" s="295">
        <f>IF('2. Operating Budget'!$D40&gt;0,$C46/12,'2. Operating Budget'!$B40*4.3+'2. Operating Budget'!$C40+'2. Operating Budget'!$E40*D$7)</f>
        <v>0</v>
      </c>
      <c r="E46" s="296">
        <f>IF('2. Operating Budget'!$D40&gt;0,$C46/12,'2. Operating Budget'!$B40*4.3+'2. Operating Budget'!$C40+'2. Operating Budget'!$E40*E$7)</f>
        <v>0</v>
      </c>
      <c r="F46" s="296">
        <f>IF('2. Operating Budget'!$D40&gt;0,$C46/12,'2. Operating Budget'!$B40*4.3+'2. Operating Budget'!$C40+'2. Operating Budget'!$E40*F$7)</f>
        <v>0</v>
      </c>
      <c r="G46" s="296">
        <f>IF('2. Operating Budget'!$D40&gt;0,$C46/12,'2. Operating Budget'!$B40*4.3+'2. Operating Budget'!$C40+'2. Operating Budget'!$E40*G$7)</f>
        <v>0</v>
      </c>
      <c r="H46" s="296">
        <f>IF('2. Operating Budget'!$D40&gt;0,$C46/12,'2. Operating Budget'!$B40*4.3+'2. Operating Budget'!$C40+'2. Operating Budget'!$E40*H$7)</f>
        <v>0</v>
      </c>
      <c r="I46" s="296">
        <f>IF('2. Operating Budget'!$D40&gt;0,$C46/12,'2. Operating Budget'!$B40*4.3+'2. Operating Budget'!$C40+'2. Operating Budget'!$E40*I$7)</f>
        <v>0</v>
      </c>
      <c r="J46" s="296">
        <f>IF('2. Operating Budget'!$D40&gt;0,$C46/12,'2. Operating Budget'!$B40*4.3+'2. Operating Budget'!$C40+'2. Operating Budget'!$E40*J$7)</f>
        <v>0</v>
      </c>
      <c r="K46" s="296">
        <f>IF('2. Operating Budget'!$D40&gt;0,$C46/12,'2. Operating Budget'!$B40*4.3+'2. Operating Budget'!$C40+'2. Operating Budget'!$E40*K$7)</f>
        <v>0</v>
      </c>
      <c r="L46" s="296">
        <f>IF('2. Operating Budget'!$D40&gt;0,$C46/12,'2. Operating Budget'!$B40*4.3+'2. Operating Budget'!$C40+'2. Operating Budget'!$E40*L$7)</f>
        <v>0</v>
      </c>
      <c r="M46" s="296">
        <f>IF('2. Operating Budget'!$D40&gt;0,$C46/12,'2. Operating Budget'!$B40*4.3+'2. Operating Budget'!$C40+'2. Operating Budget'!$E40*M$7)</f>
        <v>0</v>
      </c>
      <c r="N46" s="296">
        <f>IF('2. Operating Budget'!$D40&gt;0,$C46/12,'2. Operating Budget'!$B40*4.3+'2. Operating Budget'!$C40+'2. Operating Budget'!$E40*N$7)</f>
        <v>0</v>
      </c>
      <c r="O46" s="296">
        <f>IF('2. Operating Budget'!$D40&gt;0,$C46/12,'2. Operating Budget'!$B40*4.3+'2. Operating Budget'!$C40+'2. Operating Budget'!$E40*O$7)</f>
        <v>0</v>
      </c>
      <c r="P46" s="356">
        <f t="shared" si="19"/>
        <v>0</v>
      </c>
      <c r="Q46" s="295">
        <f>IF('2. Operating Budget'!$D40&gt;0,$C46/12,'2. Operating Budget'!$B40*4.3+'2. Operating Budget'!$C40+'2. Operating Budget'!$E40*Q$7)</f>
        <v>0</v>
      </c>
      <c r="R46" s="296">
        <f>IF('2. Operating Budget'!$D40&gt;0,$C46/12,'2. Operating Budget'!$B40*4.3+'2. Operating Budget'!$C40+'2. Operating Budget'!$E40*R$7)</f>
        <v>0</v>
      </c>
      <c r="S46" s="296">
        <f>IF('2. Operating Budget'!$D40&gt;0,$C46/12,'2. Operating Budget'!$B40*4.3+'2. Operating Budget'!$C40+'2. Operating Budget'!$E40*S$7)</f>
        <v>0</v>
      </c>
      <c r="T46" s="296">
        <f>IF('2. Operating Budget'!$D40&gt;0,$C46/12,'2. Operating Budget'!$B40*4.3+'2. Operating Budget'!$C40+'2. Operating Budget'!$E40*T$7)</f>
        <v>0</v>
      </c>
      <c r="U46" s="296">
        <f>IF('2. Operating Budget'!$D40&gt;0,$C46/12,'2. Operating Budget'!$B40*4.3+'2. Operating Budget'!$C40+'2. Operating Budget'!$E40*U$7)</f>
        <v>0</v>
      </c>
      <c r="V46" s="296">
        <f>IF('2. Operating Budget'!$D40&gt;0,$C46/12,'2. Operating Budget'!$B40*4.3+'2. Operating Budget'!$C40+'2. Operating Budget'!$E40*V$7)</f>
        <v>0</v>
      </c>
      <c r="W46" s="296">
        <f>IF('2. Operating Budget'!$D40&gt;0,$C46/12,'2. Operating Budget'!$B40*4.3+'2. Operating Budget'!$C40+'2. Operating Budget'!$E40*W$7)</f>
        <v>0</v>
      </c>
      <c r="X46" s="296">
        <f>IF('2. Operating Budget'!$D40&gt;0,$C46/12,'2. Operating Budget'!$B40*4.3+'2. Operating Budget'!$C40+'2. Operating Budget'!$E40*X$7)</f>
        <v>0</v>
      </c>
      <c r="Y46" s="296">
        <f>IF('2. Operating Budget'!$D40&gt;0,$C46/12,'2. Operating Budget'!$B40*4.3+'2. Operating Budget'!$C40+'2. Operating Budget'!$E40*Y$7)</f>
        <v>0</v>
      </c>
      <c r="Z46" s="296">
        <f>IF('2. Operating Budget'!$D40&gt;0,$C46/12,'2. Operating Budget'!$B40*4.3+'2. Operating Budget'!$C40+'2. Operating Budget'!$E40*Z$7)</f>
        <v>0</v>
      </c>
      <c r="AA46" s="296">
        <f>IF('2. Operating Budget'!$D40&gt;0,$C46/12,'2. Operating Budget'!$B40*4.3+'2. Operating Budget'!$C40+'2. Operating Budget'!$E40*AA$7)</f>
        <v>0</v>
      </c>
      <c r="AB46" s="296">
        <f>IF('2. Operating Budget'!$D40&gt;0,$C46/12,'2. Operating Budget'!$B40*4.3+'2. Operating Budget'!$C40+'2. Operating Budget'!$E40*AB$7)</f>
        <v>0</v>
      </c>
      <c r="AC46" s="356">
        <f t="shared" si="20"/>
        <v>0</v>
      </c>
      <c r="AD46" s="356">
        <f>IF('2. Operating Budget'!$E40&gt;0,'2. Operating Budget'!$E40*'8. P&amp;L and Cashflow'!AD$7,'2. Operating Budget'!$K40)</f>
        <v>0</v>
      </c>
      <c r="AE46" s="356">
        <f>IF('2. Operating Budget'!$E40&gt;0,'2. Operating Budget'!$E40*'8. P&amp;L and Cashflow'!AE$7,'2. Operating Budget'!$K40)</f>
        <v>0</v>
      </c>
      <c r="AF46" s="356">
        <f>IF('2. Operating Budget'!$E40&gt;0,'2. Operating Budget'!$E40*'8. P&amp;L and Cashflow'!AF$7,'2. Operating Budget'!$K40)</f>
        <v>0</v>
      </c>
    </row>
    <row r="47" spans="2:32" ht="12.75" hidden="1" x14ac:dyDescent="0.2">
      <c r="B47" s="174" t="str">
        <f>IF('2. Operating Budget'!A41="","",'2. Operating Budget'!A41)</f>
        <v/>
      </c>
      <c r="C47" s="267">
        <f>'2. Operating Budget'!K41</f>
        <v>0</v>
      </c>
      <c r="D47" s="261">
        <f>IF('2. Operating Budget'!$D41&gt;0,$C47/12,'2. Operating Budget'!$B41*4.3+'2. Operating Budget'!$C41+'2. Operating Budget'!$E41*D$7)</f>
        <v>0</v>
      </c>
      <c r="E47" s="76">
        <f>IF('2. Operating Budget'!$D41&gt;0,$C47/12,'2. Operating Budget'!$B41*4.3+'2. Operating Budget'!$C41+'2. Operating Budget'!$E41*E$7)</f>
        <v>0</v>
      </c>
      <c r="F47" s="76">
        <f>IF('2. Operating Budget'!$D41&gt;0,$C47/12,'2. Operating Budget'!$B41*4.3+'2. Operating Budget'!$C41+'2. Operating Budget'!$E41*F$7)</f>
        <v>0</v>
      </c>
      <c r="G47" s="76">
        <f>IF('2. Operating Budget'!$D41&gt;0,$C47/12,'2. Operating Budget'!$B41*4.3+'2. Operating Budget'!$C41+'2. Operating Budget'!$E41*G$7)</f>
        <v>0</v>
      </c>
      <c r="H47" s="76">
        <f>IF('2. Operating Budget'!$D41&gt;0,$C47/12,'2. Operating Budget'!$B41*4.3+'2. Operating Budget'!$C41+'2. Operating Budget'!$E41*H$7)</f>
        <v>0</v>
      </c>
      <c r="I47" s="76">
        <f>IF('2. Operating Budget'!$D41&gt;0,$C47/12,'2. Operating Budget'!$B41*4.3+'2. Operating Budget'!$C41+'2. Operating Budget'!$E41*I$7)</f>
        <v>0</v>
      </c>
      <c r="J47" s="76">
        <f>IF('2. Operating Budget'!$D41&gt;0,$C47/12,'2. Operating Budget'!$B41*4.3+'2. Operating Budget'!$C41+'2. Operating Budget'!$E41*J$7)</f>
        <v>0</v>
      </c>
      <c r="K47" s="76">
        <f>IF('2. Operating Budget'!$D41&gt;0,$C47/12,'2. Operating Budget'!$B41*4.3+'2. Operating Budget'!$C41+'2. Operating Budget'!$E41*K$7)</f>
        <v>0</v>
      </c>
      <c r="L47" s="76">
        <f>IF('2. Operating Budget'!$D41&gt;0,$C47/12,'2. Operating Budget'!$B41*4.3+'2. Operating Budget'!$C41+'2. Operating Budget'!$E41*L$7)</f>
        <v>0</v>
      </c>
      <c r="M47" s="76">
        <f>IF('2. Operating Budget'!$D41&gt;0,$C47/12,'2. Operating Budget'!$B41*4.3+'2. Operating Budget'!$C41+'2. Operating Budget'!$E41*M$7)</f>
        <v>0</v>
      </c>
      <c r="N47" s="76">
        <f>IF('2. Operating Budget'!$D41&gt;0,$C47/12,'2. Operating Budget'!$B41*4.3+'2. Operating Budget'!$C41+'2. Operating Budget'!$E41*N$7)</f>
        <v>0</v>
      </c>
      <c r="O47" s="76">
        <f>IF('2. Operating Budget'!$D41&gt;0,$C47/12,'2. Operating Budget'!$B41*4.3+'2. Operating Budget'!$C41+'2. Operating Budget'!$E41*O$7)</f>
        <v>0</v>
      </c>
      <c r="P47" s="357">
        <f t="shared" si="19"/>
        <v>0</v>
      </c>
      <c r="Q47" s="261">
        <f>IF('2. Operating Budget'!$D41&gt;0,$C47/12,'2. Operating Budget'!$B41*4.3+'2. Operating Budget'!$C41+'2. Operating Budget'!$E41*Q$7)</f>
        <v>0</v>
      </c>
      <c r="R47" s="76">
        <f>IF('2. Operating Budget'!$D41&gt;0,$C47/12,'2. Operating Budget'!$B41*4.3+'2. Operating Budget'!$C41+'2. Operating Budget'!$E41*R$7)</f>
        <v>0</v>
      </c>
      <c r="S47" s="76">
        <f>IF('2. Operating Budget'!$D41&gt;0,$C47/12,'2. Operating Budget'!$B41*4.3+'2. Operating Budget'!$C41+'2. Operating Budget'!$E41*S$7)</f>
        <v>0</v>
      </c>
      <c r="T47" s="76">
        <f>IF('2. Operating Budget'!$D41&gt;0,$C47/12,'2. Operating Budget'!$B41*4.3+'2. Operating Budget'!$C41+'2. Operating Budget'!$E41*T$7)</f>
        <v>0</v>
      </c>
      <c r="U47" s="76">
        <f>IF('2. Operating Budget'!$D41&gt;0,$C47/12,'2. Operating Budget'!$B41*4.3+'2. Operating Budget'!$C41+'2. Operating Budget'!$E41*U$7)</f>
        <v>0</v>
      </c>
      <c r="V47" s="76">
        <f>IF('2. Operating Budget'!$D41&gt;0,$C47/12,'2. Operating Budget'!$B41*4.3+'2. Operating Budget'!$C41+'2. Operating Budget'!$E41*V$7)</f>
        <v>0</v>
      </c>
      <c r="W47" s="76">
        <f>IF('2. Operating Budget'!$D41&gt;0,$C47/12,'2. Operating Budget'!$B41*4.3+'2. Operating Budget'!$C41+'2. Operating Budget'!$E41*W$7)</f>
        <v>0</v>
      </c>
      <c r="X47" s="76">
        <f>IF('2. Operating Budget'!$D41&gt;0,$C47/12,'2. Operating Budget'!$B41*4.3+'2. Operating Budget'!$C41+'2. Operating Budget'!$E41*X$7)</f>
        <v>0</v>
      </c>
      <c r="Y47" s="76">
        <f>IF('2. Operating Budget'!$D41&gt;0,$C47/12,'2. Operating Budget'!$B41*4.3+'2. Operating Budget'!$C41+'2. Operating Budget'!$E41*Y$7)</f>
        <v>0</v>
      </c>
      <c r="Z47" s="76">
        <f>IF('2. Operating Budget'!$D41&gt;0,$C47/12,'2. Operating Budget'!$B41*4.3+'2. Operating Budget'!$C41+'2. Operating Budget'!$E41*Z$7)</f>
        <v>0</v>
      </c>
      <c r="AA47" s="76">
        <f>IF('2. Operating Budget'!$D41&gt;0,$C47/12,'2. Operating Budget'!$B41*4.3+'2. Operating Budget'!$C41+'2. Operating Budget'!$E41*AA$7)</f>
        <v>0</v>
      </c>
      <c r="AB47" s="76">
        <f>IF('2. Operating Budget'!$D41&gt;0,$C47/12,'2. Operating Budget'!$B41*4.3+'2. Operating Budget'!$C41+'2. Operating Budget'!$E41*AB$7)</f>
        <v>0</v>
      </c>
      <c r="AC47" s="357">
        <f t="shared" si="20"/>
        <v>0</v>
      </c>
      <c r="AD47" s="357">
        <f>IF('2. Operating Budget'!$E41&gt;0,'2. Operating Budget'!$E41*'8. P&amp;L and Cashflow'!AD$7,'2. Operating Budget'!$K41)</f>
        <v>0</v>
      </c>
      <c r="AE47" s="357">
        <f>IF('2. Operating Budget'!$E41&gt;0,'2. Operating Budget'!$E41*'8. P&amp;L and Cashflow'!AE$7,'2. Operating Budget'!$K41)</f>
        <v>0</v>
      </c>
      <c r="AF47" s="357">
        <f>IF('2. Operating Budget'!$E41&gt;0,'2. Operating Budget'!$E41*'8. P&amp;L and Cashflow'!AF$7,'2. Operating Budget'!$K41)</f>
        <v>0</v>
      </c>
    </row>
    <row r="48" spans="2:32" ht="12.75" hidden="1" x14ac:dyDescent="0.2">
      <c r="B48" s="293" t="str">
        <f>IF('2. Operating Budget'!A42="","",'2. Operating Budget'!A42)</f>
        <v/>
      </c>
      <c r="C48" s="294">
        <f>'2. Operating Budget'!K42</f>
        <v>0</v>
      </c>
      <c r="D48" s="295">
        <f>IF('2. Operating Budget'!$D42&gt;0,$C48/12,'2. Operating Budget'!$B42*4.3+'2. Operating Budget'!$C42+'2. Operating Budget'!$E42*D$7)</f>
        <v>0</v>
      </c>
      <c r="E48" s="296">
        <f>IF('2. Operating Budget'!$D42&gt;0,$C48/12,'2. Operating Budget'!$B42*4.3+'2. Operating Budget'!$C42+'2. Operating Budget'!$E42*E$7)</f>
        <v>0</v>
      </c>
      <c r="F48" s="296">
        <f>IF('2. Operating Budget'!$D42&gt;0,$C48/12,'2. Operating Budget'!$B42*4.3+'2. Operating Budget'!$C42+'2. Operating Budget'!$E42*F$7)</f>
        <v>0</v>
      </c>
      <c r="G48" s="296">
        <f>IF('2. Operating Budget'!$D42&gt;0,$C48/12,'2. Operating Budget'!$B42*4.3+'2. Operating Budget'!$C42+'2. Operating Budget'!$E42*G$7)</f>
        <v>0</v>
      </c>
      <c r="H48" s="296">
        <f>IF('2. Operating Budget'!$D42&gt;0,$C48/12,'2. Operating Budget'!$B42*4.3+'2. Operating Budget'!$C42+'2. Operating Budget'!$E42*H$7)</f>
        <v>0</v>
      </c>
      <c r="I48" s="296">
        <f>IF('2. Operating Budget'!$D42&gt;0,$C48/12,'2. Operating Budget'!$B42*4.3+'2. Operating Budget'!$C42+'2. Operating Budget'!$E42*I$7)</f>
        <v>0</v>
      </c>
      <c r="J48" s="296">
        <f>IF('2. Operating Budget'!$D42&gt;0,$C48/12,'2. Operating Budget'!$B42*4.3+'2. Operating Budget'!$C42+'2. Operating Budget'!$E42*J$7)</f>
        <v>0</v>
      </c>
      <c r="K48" s="296">
        <f>IF('2. Operating Budget'!$D42&gt;0,$C48/12,'2. Operating Budget'!$B42*4.3+'2. Operating Budget'!$C42+'2. Operating Budget'!$E42*K$7)</f>
        <v>0</v>
      </c>
      <c r="L48" s="296">
        <f>IF('2. Operating Budget'!$D42&gt;0,$C48/12,'2. Operating Budget'!$B42*4.3+'2. Operating Budget'!$C42+'2. Operating Budget'!$E42*L$7)</f>
        <v>0</v>
      </c>
      <c r="M48" s="296">
        <f>IF('2. Operating Budget'!$D42&gt;0,$C48/12,'2. Operating Budget'!$B42*4.3+'2. Operating Budget'!$C42+'2. Operating Budget'!$E42*M$7)</f>
        <v>0</v>
      </c>
      <c r="N48" s="296">
        <f>IF('2. Operating Budget'!$D42&gt;0,$C48/12,'2. Operating Budget'!$B42*4.3+'2. Operating Budget'!$C42+'2. Operating Budget'!$E42*N$7)</f>
        <v>0</v>
      </c>
      <c r="O48" s="296">
        <f>IF('2. Operating Budget'!$D42&gt;0,$C48/12,'2. Operating Budget'!$B42*4.3+'2. Operating Budget'!$C42+'2. Operating Budget'!$E42*O$7)</f>
        <v>0</v>
      </c>
      <c r="P48" s="356">
        <f t="shared" si="19"/>
        <v>0</v>
      </c>
      <c r="Q48" s="295">
        <f>IF('2. Operating Budget'!$D42&gt;0,$C48/12,'2. Operating Budget'!$B42*4.3+'2. Operating Budget'!$C42+'2. Operating Budget'!$E42*Q$7)</f>
        <v>0</v>
      </c>
      <c r="R48" s="296">
        <f>IF('2. Operating Budget'!$D42&gt;0,$C48/12,'2. Operating Budget'!$B42*4.3+'2. Operating Budget'!$C42+'2. Operating Budget'!$E42*R$7)</f>
        <v>0</v>
      </c>
      <c r="S48" s="296">
        <f>IF('2. Operating Budget'!$D42&gt;0,$C48/12,'2. Operating Budget'!$B42*4.3+'2. Operating Budget'!$C42+'2. Operating Budget'!$E42*S$7)</f>
        <v>0</v>
      </c>
      <c r="T48" s="296">
        <f>IF('2. Operating Budget'!$D42&gt;0,$C48/12,'2. Operating Budget'!$B42*4.3+'2. Operating Budget'!$C42+'2. Operating Budget'!$E42*T$7)</f>
        <v>0</v>
      </c>
      <c r="U48" s="296">
        <f>IF('2. Operating Budget'!$D42&gt;0,$C48/12,'2. Operating Budget'!$B42*4.3+'2. Operating Budget'!$C42+'2. Operating Budget'!$E42*U$7)</f>
        <v>0</v>
      </c>
      <c r="V48" s="296">
        <f>IF('2. Operating Budget'!$D42&gt;0,$C48/12,'2. Operating Budget'!$B42*4.3+'2. Operating Budget'!$C42+'2. Operating Budget'!$E42*V$7)</f>
        <v>0</v>
      </c>
      <c r="W48" s="296">
        <f>IF('2. Operating Budget'!$D42&gt;0,$C48/12,'2. Operating Budget'!$B42*4.3+'2. Operating Budget'!$C42+'2. Operating Budget'!$E42*W$7)</f>
        <v>0</v>
      </c>
      <c r="X48" s="296">
        <f>IF('2. Operating Budget'!$D42&gt;0,$C48/12,'2. Operating Budget'!$B42*4.3+'2. Operating Budget'!$C42+'2. Operating Budget'!$E42*X$7)</f>
        <v>0</v>
      </c>
      <c r="Y48" s="296">
        <f>IF('2. Operating Budget'!$D42&gt;0,$C48/12,'2. Operating Budget'!$B42*4.3+'2. Operating Budget'!$C42+'2. Operating Budget'!$E42*Y$7)</f>
        <v>0</v>
      </c>
      <c r="Z48" s="296">
        <f>IF('2. Operating Budget'!$D42&gt;0,$C48/12,'2. Operating Budget'!$B42*4.3+'2. Operating Budget'!$C42+'2. Operating Budget'!$E42*Z$7)</f>
        <v>0</v>
      </c>
      <c r="AA48" s="296">
        <f>IF('2. Operating Budget'!$D42&gt;0,$C48/12,'2. Operating Budget'!$B42*4.3+'2. Operating Budget'!$C42+'2. Operating Budget'!$E42*AA$7)</f>
        <v>0</v>
      </c>
      <c r="AB48" s="296">
        <f>IF('2. Operating Budget'!$D42&gt;0,$C48/12,'2. Operating Budget'!$B42*4.3+'2. Operating Budget'!$C42+'2. Operating Budget'!$E42*AB$7)</f>
        <v>0</v>
      </c>
      <c r="AC48" s="356">
        <f t="shared" si="20"/>
        <v>0</v>
      </c>
      <c r="AD48" s="356">
        <f>IF('2. Operating Budget'!$E42&gt;0,'2. Operating Budget'!$E42*'8. P&amp;L and Cashflow'!AD$7,'2. Operating Budget'!$K42)</f>
        <v>0</v>
      </c>
      <c r="AE48" s="356">
        <f>IF('2. Operating Budget'!$E42&gt;0,'2. Operating Budget'!$E42*'8. P&amp;L and Cashflow'!AE$7,'2. Operating Budget'!$K42)</f>
        <v>0</v>
      </c>
      <c r="AF48" s="356">
        <f>IF('2. Operating Budget'!$E42&gt;0,'2. Operating Budget'!$E42*'8. P&amp;L and Cashflow'!AF$7,'2. Operating Budget'!$K42)</f>
        <v>0</v>
      </c>
    </row>
    <row r="49" spans="1:32" ht="12.75" hidden="1" x14ac:dyDescent="0.2">
      <c r="B49" s="174" t="str">
        <f>IF('2. Operating Budget'!A43="","",'2. Operating Budget'!A43)</f>
        <v/>
      </c>
      <c r="C49" s="267">
        <f>'2. Operating Budget'!K43</f>
        <v>0</v>
      </c>
      <c r="D49" s="261">
        <f>IF('2. Operating Budget'!$D43&gt;0,$C49/12,'2. Operating Budget'!$B43*4.3+'2. Operating Budget'!$C43+'2. Operating Budget'!$E43*D$7)</f>
        <v>0</v>
      </c>
      <c r="E49" s="76">
        <f>IF('2. Operating Budget'!$D43&gt;0,$C49/12,'2. Operating Budget'!$B43*4.3+'2. Operating Budget'!$C43+'2. Operating Budget'!$E43*E$7)</f>
        <v>0</v>
      </c>
      <c r="F49" s="76">
        <f>IF('2. Operating Budget'!$D43&gt;0,$C49/12,'2. Operating Budget'!$B43*4.3+'2. Operating Budget'!$C43+'2. Operating Budget'!$E43*F$7)</f>
        <v>0</v>
      </c>
      <c r="G49" s="76">
        <f>IF('2. Operating Budget'!$D43&gt;0,$C49/12,'2. Operating Budget'!$B43*4.3+'2. Operating Budget'!$C43+'2. Operating Budget'!$E43*G$7)</f>
        <v>0</v>
      </c>
      <c r="H49" s="76">
        <f>IF('2. Operating Budget'!$D43&gt;0,$C49/12,'2. Operating Budget'!$B43*4.3+'2. Operating Budget'!$C43+'2. Operating Budget'!$E43*H$7)</f>
        <v>0</v>
      </c>
      <c r="I49" s="76">
        <f>IF('2. Operating Budget'!$D43&gt;0,$C49/12,'2. Operating Budget'!$B43*4.3+'2. Operating Budget'!$C43+'2. Operating Budget'!$E43*I$7)</f>
        <v>0</v>
      </c>
      <c r="J49" s="76">
        <f>IF('2. Operating Budget'!$D43&gt;0,$C49/12,'2. Operating Budget'!$B43*4.3+'2. Operating Budget'!$C43+'2. Operating Budget'!$E43*J$7)</f>
        <v>0</v>
      </c>
      <c r="K49" s="76">
        <f>IF('2. Operating Budget'!$D43&gt;0,$C49/12,'2. Operating Budget'!$B43*4.3+'2. Operating Budget'!$C43+'2. Operating Budget'!$E43*K$7)</f>
        <v>0</v>
      </c>
      <c r="L49" s="76">
        <f>IF('2. Operating Budget'!$D43&gt;0,$C49/12,'2. Operating Budget'!$B43*4.3+'2. Operating Budget'!$C43+'2. Operating Budget'!$E43*L$7)</f>
        <v>0</v>
      </c>
      <c r="M49" s="76">
        <f>IF('2. Operating Budget'!$D43&gt;0,$C49/12,'2. Operating Budget'!$B43*4.3+'2. Operating Budget'!$C43+'2. Operating Budget'!$E43*M$7)</f>
        <v>0</v>
      </c>
      <c r="N49" s="76">
        <f>IF('2. Operating Budget'!$D43&gt;0,$C49/12,'2. Operating Budget'!$B43*4.3+'2. Operating Budget'!$C43+'2. Operating Budget'!$E43*N$7)</f>
        <v>0</v>
      </c>
      <c r="O49" s="76">
        <f>IF('2. Operating Budget'!$D43&gt;0,$C49/12,'2. Operating Budget'!$B43*4.3+'2. Operating Budget'!$C43+'2. Operating Budget'!$E43*O$7)</f>
        <v>0</v>
      </c>
      <c r="P49" s="357">
        <f t="shared" si="19"/>
        <v>0</v>
      </c>
      <c r="Q49" s="261">
        <f>IF('2. Operating Budget'!$D43&gt;0,$C49/12,'2. Operating Budget'!$B43*4.3+'2. Operating Budget'!$C43+'2. Operating Budget'!$E43*Q$7)</f>
        <v>0</v>
      </c>
      <c r="R49" s="76">
        <f>IF('2. Operating Budget'!$D43&gt;0,$C49/12,'2. Operating Budget'!$B43*4.3+'2. Operating Budget'!$C43+'2. Operating Budget'!$E43*R$7)</f>
        <v>0</v>
      </c>
      <c r="S49" s="76">
        <f>IF('2. Operating Budget'!$D43&gt;0,$C49/12,'2. Operating Budget'!$B43*4.3+'2. Operating Budget'!$C43+'2. Operating Budget'!$E43*S$7)</f>
        <v>0</v>
      </c>
      <c r="T49" s="76">
        <f>IF('2. Operating Budget'!$D43&gt;0,$C49/12,'2. Operating Budget'!$B43*4.3+'2. Operating Budget'!$C43+'2. Operating Budget'!$E43*T$7)</f>
        <v>0</v>
      </c>
      <c r="U49" s="76">
        <f>IF('2. Operating Budget'!$D43&gt;0,$C49/12,'2. Operating Budget'!$B43*4.3+'2. Operating Budget'!$C43+'2. Operating Budget'!$E43*U$7)</f>
        <v>0</v>
      </c>
      <c r="V49" s="76">
        <f>IF('2. Operating Budget'!$D43&gt;0,$C49/12,'2. Operating Budget'!$B43*4.3+'2. Operating Budget'!$C43+'2. Operating Budget'!$E43*V$7)</f>
        <v>0</v>
      </c>
      <c r="W49" s="76">
        <f>IF('2. Operating Budget'!$D43&gt;0,$C49/12,'2. Operating Budget'!$B43*4.3+'2. Operating Budget'!$C43+'2. Operating Budget'!$E43*W$7)</f>
        <v>0</v>
      </c>
      <c r="X49" s="76">
        <f>IF('2. Operating Budget'!$D43&gt;0,$C49/12,'2. Operating Budget'!$B43*4.3+'2. Operating Budget'!$C43+'2. Operating Budget'!$E43*X$7)</f>
        <v>0</v>
      </c>
      <c r="Y49" s="76">
        <f>IF('2. Operating Budget'!$D43&gt;0,$C49/12,'2. Operating Budget'!$B43*4.3+'2. Operating Budget'!$C43+'2. Operating Budget'!$E43*Y$7)</f>
        <v>0</v>
      </c>
      <c r="Z49" s="76">
        <f>IF('2. Operating Budget'!$D43&gt;0,$C49/12,'2. Operating Budget'!$B43*4.3+'2. Operating Budget'!$C43+'2. Operating Budget'!$E43*Z$7)</f>
        <v>0</v>
      </c>
      <c r="AA49" s="76">
        <f>IF('2. Operating Budget'!$D43&gt;0,$C49/12,'2. Operating Budget'!$B43*4.3+'2. Operating Budget'!$C43+'2. Operating Budget'!$E43*AA$7)</f>
        <v>0</v>
      </c>
      <c r="AB49" s="76">
        <f>IF('2. Operating Budget'!$D43&gt;0,$C49/12,'2. Operating Budget'!$B43*4.3+'2. Operating Budget'!$C43+'2. Operating Budget'!$E43*AB$7)</f>
        <v>0</v>
      </c>
      <c r="AC49" s="357">
        <f t="shared" si="20"/>
        <v>0</v>
      </c>
      <c r="AD49" s="357">
        <f>IF('2. Operating Budget'!$E43&gt;0,'2. Operating Budget'!$E43*'8. P&amp;L and Cashflow'!AD$7,'2. Operating Budget'!$K43)</f>
        <v>0</v>
      </c>
      <c r="AE49" s="357">
        <f>IF('2. Operating Budget'!$E43&gt;0,'2. Operating Budget'!$E43*'8. P&amp;L and Cashflow'!AE$7,'2. Operating Budget'!$K43)</f>
        <v>0</v>
      </c>
      <c r="AF49" s="357">
        <f>IF('2. Operating Budget'!$E43&gt;0,'2. Operating Budget'!$E43*'8. P&amp;L and Cashflow'!AF$7,'2. Operating Budget'!$K43)</f>
        <v>0</v>
      </c>
    </row>
    <row r="50" spans="1:32" ht="12.75" hidden="1" x14ac:dyDescent="0.2">
      <c r="B50" s="293" t="str">
        <f>IF('2. Operating Budget'!A44="","",'2. Operating Budget'!A44)</f>
        <v>Other</v>
      </c>
      <c r="C50" s="294">
        <f>'2. Operating Budget'!K44</f>
        <v>7693.5</v>
      </c>
      <c r="D50" s="295">
        <f>IF('2. Operating Budget'!$D44&gt;0,$C50/12,'2. Operating Budget'!$B44*4.3+'2. Operating Budget'!$C44+'2. Operating Budget'!$E44*D$7)</f>
        <v>334.5</v>
      </c>
      <c r="E50" s="296">
        <f>IF('2. Operating Budget'!$D44&gt;0,$C50/12,'2. Operating Budget'!$B44*4.3+'2. Operating Budget'!$C44+'2. Operating Budget'!$E44*E$7)</f>
        <v>669</v>
      </c>
      <c r="F50" s="296">
        <f>IF('2. Operating Budget'!$D44&gt;0,$C50/12,'2. Operating Budget'!$B44*4.3+'2. Operating Budget'!$C44+'2. Operating Budget'!$E44*F$7)</f>
        <v>669</v>
      </c>
      <c r="G50" s="296">
        <f>IF('2. Operating Budget'!$D44&gt;0,$C50/12,'2. Operating Budget'!$B44*4.3+'2. Operating Budget'!$C44+'2. Operating Budget'!$E44*G$7)</f>
        <v>669</v>
      </c>
      <c r="H50" s="296">
        <f>IF('2. Operating Budget'!$D44&gt;0,$C50/12,'2. Operating Budget'!$B44*4.3+'2. Operating Budget'!$C44+'2. Operating Budget'!$E44*H$7)</f>
        <v>669</v>
      </c>
      <c r="I50" s="296">
        <f>IF('2. Operating Budget'!$D44&gt;0,$C50/12,'2. Operating Budget'!$B44*4.3+'2. Operating Budget'!$C44+'2. Operating Budget'!$E44*I$7)</f>
        <v>669</v>
      </c>
      <c r="J50" s="296">
        <f>IF('2. Operating Budget'!$D44&gt;0,$C50/12,'2. Operating Budget'!$B44*4.3+'2. Operating Budget'!$C44+'2. Operating Budget'!$E44*J$7)</f>
        <v>669</v>
      </c>
      <c r="K50" s="296">
        <f>IF('2. Operating Budget'!$D44&gt;0,$C50/12,'2. Operating Budget'!$B44*4.3+'2. Operating Budget'!$C44+'2. Operating Budget'!$E44*K$7)</f>
        <v>669</v>
      </c>
      <c r="L50" s="296">
        <f>IF('2. Operating Budget'!$D44&gt;0,$C50/12,'2. Operating Budget'!$B44*4.3+'2. Operating Budget'!$C44+'2. Operating Budget'!$E44*L$7)</f>
        <v>669</v>
      </c>
      <c r="M50" s="296">
        <f>IF('2. Operating Budget'!$D44&gt;0,$C50/12,'2. Operating Budget'!$B44*4.3+'2. Operating Budget'!$C44+'2. Operating Budget'!$E44*M$7)</f>
        <v>669</v>
      </c>
      <c r="N50" s="296">
        <f>IF('2. Operating Budget'!$D44&gt;0,$C50/12,'2. Operating Budget'!$B44*4.3+'2. Operating Budget'!$C44+'2. Operating Budget'!$E44*N$7)</f>
        <v>669</v>
      </c>
      <c r="O50" s="296">
        <f>IF('2. Operating Budget'!$D44&gt;0,$C50/12,'2. Operating Budget'!$B44*4.3+'2. Operating Budget'!$C44+'2. Operating Budget'!$E44*O$7)</f>
        <v>669</v>
      </c>
      <c r="P50" s="356">
        <f t="shared" si="19"/>
        <v>7693.5</v>
      </c>
      <c r="Q50" s="295">
        <f>IF('2. Operating Budget'!$D44&gt;0,$C50/12,'2. Operating Budget'!$B44*4.3+'2. Operating Budget'!$C44+'2. Operating Budget'!$E44*Q$7)</f>
        <v>757.65</v>
      </c>
      <c r="R50" s="296">
        <f>IF('2. Operating Budget'!$D44&gt;0,$C50/12,'2. Operating Budget'!$B44*4.3+'2. Operating Budget'!$C44+'2. Operating Budget'!$E44*R$7)</f>
        <v>757.65</v>
      </c>
      <c r="S50" s="296">
        <f>IF('2. Operating Budget'!$D44&gt;0,$C50/12,'2. Operating Budget'!$B44*4.3+'2. Operating Budget'!$C44+'2. Operating Budget'!$E44*S$7)</f>
        <v>757.65</v>
      </c>
      <c r="T50" s="296">
        <f>IF('2. Operating Budget'!$D44&gt;0,$C50/12,'2. Operating Budget'!$B44*4.3+'2. Operating Budget'!$C44+'2. Operating Budget'!$E44*T$7)</f>
        <v>757.65</v>
      </c>
      <c r="U50" s="296">
        <f>IF('2. Operating Budget'!$D44&gt;0,$C50/12,'2. Operating Budget'!$B44*4.3+'2. Operating Budget'!$C44+'2. Operating Budget'!$E44*U$7)</f>
        <v>757.65</v>
      </c>
      <c r="V50" s="296">
        <f>IF('2. Operating Budget'!$D44&gt;0,$C50/12,'2. Operating Budget'!$B44*4.3+'2. Operating Budget'!$C44+'2. Operating Budget'!$E44*V$7)</f>
        <v>757.65</v>
      </c>
      <c r="W50" s="296">
        <f>IF('2. Operating Budget'!$D44&gt;0,$C50/12,'2. Operating Budget'!$B44*4.3+'2. Operating Budget'!$C44+'2. Operating Budget'!$E44*W$7)</f>
        <v>757.65</v>
      </c>
      <c r="X50" s="296">
        <f>IF('2. Operating Budget'!$D44&gt;0,$C50/12,'2. Operating Budget'!$B44*4.3+'2. Operating Budget'!$C44+'2. Operating Budget'!$E44*X$7)</f>
        <v>757.65</v>
      </c>
      <c r="Y50" s="296">
        <f>IF('2. Operating Budget'!$D44&gt;0,$C50/12,'2. Operating Budget'!$B44*4.3+'2. Operating Budget'!$C44+'2. Operating Budget'!$E44*Y$7)</f>
        <v>757.65</v>
      </c>
      <c r="Z50" s="296">
        <f>IF('2. Operating Budget'!$D44&gt;0,$C50/12,'2. Operating Budget'!$B44*4.3+'2. Operating Budget'!$C44+'2. Operating Budget'!$E44*Z$7)</f>
        <v>757.65</v>
      </c>
      <c r="AA50" s="296">
        <f>IF('2. Operating Budget'!$D44&gt;0,$C50/12,'2. Operating Budget'!$B44*4.3+'2. Operating Budget'!$C44+'2. Operating Budget'!$E44*AA$7)</f>
        <v>757.65</v>
      </c>
      <c r="AB50" s="296">
        <f>IF('2. Operating Budget'!$D44&gt;0,$C50/12,'2. Operating Budget'!$B44*4.3+'2. Operating Budget'!$C44+'2. Operating Budget'!$E44*AB$7)</f>
        <v>757.65</v>
      </c>
      <c r="AC50" s="356">
        <f t="shared" si="20"/>
        <v>9091.7999999999975</v>
      </c>
      <c r="AD50" s="356">
        <f>IF('2. Operating Budget'!$E44&gt;0,'2. Operating Budget'!$E44*'8. P&amp;L and Cashflow'!AD$7,'2. Operating Budget'!$K44)</f>
        <v>10301.129999999999</v>
      </c>
      <c r="AE50" s="356">
        <f>IF('2. Operating Budget'!$E44&gt;0,'2. Operating Budget'!$E44*'8. P&amp;L and Cashflow'!AE$7,'2. Operating Budget'!$K44)</f>
        <v>11676.415499999999</v>
      </c>
      <c r="AF50" s="356">
        <f>IF('2. Operating Budget'!$E44&gt;0,'2. Operating Budget'!$E44*'8. P&amp;L and Cashflow'!AF$7,'2. Operating Budget'!$K44)</f>
        <v>13241.005424999999</v>
      </c>
    </row>
    <row r="51" spans="1:32" ht="13.5" thickBot="1" x14ac:dyDescent="0.25">
      <c r="B51" s="169" t="s">
        <v>4</v>
      </c>
      <c r="C51" s="268">
        <f>'4. Equipment &amp; Vehicle Costs'!B85+'5. Facility Costs'!A65</f>
        <v>1389.6857142857143</v>
      </c>
      <c r="D51" s="263">
        <f>C51/12</f>
        <v>115.80714285714286</v>
      </c>
      <c r="E51" s="86">
        <f t="shared" si="16"/>
        <v>115.80714285714286</v>
      </c>
      <c r="F51" s="86">
        <f t="shared" si="16"/>
        <v>115.80714285714286</v>
      </c>
      <c r="G51" s="86">
        <f t="shared" ref="G51:O51" si="22">F51</f>
        <v>115.80714285714286</v>
      </c>
      <c r="H51" s="86">
        <f t="shared" si="22"/>
        <v>115.80714285714286</v>
      </c>
      <c r="I51" s="86">
        <f t="shared" si="22"/>
        <v>115.80714285714286</v>
      </c>
      <c r="J51" s="86">
        <f t="shared" si="22"/>
        <v>115.80714285714286</v>
      </c>
      <c r="K51" s="86">
        <f t="shared" si="22"/>
        <v>115.80714285714286</v>
      </c>
      <c r="L51" s="86">
        <f t="shared" si="22"/>
        <v>115.80714285714286</v>
      </c>
      <c r="M51" s="86">
        <f t="shared" si="22"/>
        <v>115.80714285714286</v>
      </c>
      <c r="N51" s="86">
        <f t="shared" si="22"/>
        <v>115.80714285714286</v>
      </c>
      <c r="O51" s="86">
        <f t="shared" si="22"/>
        <v>115.80714285714286</v>
      </c>
      <c r="P51" s="358">
        <f t="shared" si="13"/>
        <v>1389.6857142857145</v>
      </c>
      <c r="Q51" s="263">
        <f>P51/12</f>
        <v>115.80714285714288</v>
      </c>
      <c r="R51" s="86">
        <f t="shared" ref="R51:AB51" si="23">Q51</f>
        <v>115.80714285714288</v>
      </c>
      <c r="S51" s="86">
        <f t="shared" si="23"/>
        <v>115.80714285714288</v>
      </c>
      <c r="T51" s="86">
        <f t="shared" si="23"/>
        <v>115.80714285714288</v>
      </c>
      <c r="U51" s="86">
        <f t="shared" si="23"/>
        <v>115.80714285714288</v>
      </c>
      <c r="V51" s="86">
        <f t="shared" si="23"/>
        <v>115.80714285714288</v>
      </c>
      <c r="W51" s="86">
        <f t="shared" si="23"/>
        <v>115.80714285714288</v>
      </c>
      <c r="X51" s="86">
        <f t="shared" si="23"/>
        <v>115.80714285714288</v>
      </c>
      <c r="Y51" s="86">
        <f t="shared" si="23"/>
        <v>115.80714285714288</v>
      </c>
      <c r="Z51" s="86">
        <f t="shared" si="23"/>
        <v>115.80714285714288</v>
      </c>
      <c r="AA51" s="86">
        <f t="shared" si="23"/>
        <v>115.80714285714288</v>
      </c>
      <c r="AB51" s="86">
        <f t="shared" si="23"/>
        <v>115.80714285714288</v>
      </c>
      <c r="AC51" s="358">
        <f t="shared" ref="AC51" si="24">SUM(Q51:AB51)</f>
        <v>1389.685714285715</v>
      </c>
      <c r="AD51" s="358">
        <f>AC51</f>
        <v>1389.685714285715</v>
      </c>
      <c r="AE51" s="358">
        <f>AD51</f>
        <v>1389.685714285715</v>
      </c>
      <c r="AF51" s="358">
        <f>AE51</f>
        <v>1389.685714285715</v>
      </c>
    </row>
    <row r="52" spans="1:32" ht="12.75" x14ac:dyDescent="0.2">
      <c r="B52" s="87"/>
      <c r="C52" s="269"/>
      <c r="D52" s="175"/>
      <c r="E52" s="6"/>
      <c r="F52" s="6"/>
      <c r="G52" s="6"/>
      <c r="H52" s="6"/>
      <c r="I52" s="6"/>
      <c r="J52" s="6"/>
      <c r="K52" s="6"/>
      <c r="L52" s="6"/>
      <c r="M52" s="6"/>
      <c r="N52" s="6"/>
      <c r="O52" s="6"/>
      <c r="P52" s="355">
        <f t="shared" si="13"/>
        <v>0</v>
      </c>
      <c r="Q52" s="175"/>
      <c r="R52" s="6"/>
      <c r="S52" s="6"/>
      <c r="T52" s="6"/>
      <c r="U52" s="6"/>
      <c r="V52" s="6"/>
      <c r="W52" s="6"/>
      <c r="X52" s="6"/>
      <c r="Y52" s="6"/>
      <c r="Z52" s="6"/>
      <c r="AA52" s="6"/>
      <c r="AB52" s="6"/>
      <c r="AC52" s="355"/>
      <c r="AD52" s="355"/>
      <c r="AE52" s="355"/>
      <c r="AF52" s="355"/>
    </row>
    <row r="53" spans="1:32" ht="13.5" thickBot="1" x14ac:dyDescent="0.25">
      <c r="B53" s="292" t="s">
        <v>97</v>
      </c>
      <c r="C53" s="270">
        <f>SUM(D53:O53)</f>
        <v>198420.16946428569</v>
      </c>
      <c r="D53" s="264">
        <f t="shared" ref="D53:O53" si="25">SUM(D13:D51)</f>
        <v>11654.566205357141</v>
      </c>
      <c r="E53" s="173">
        <f t="shared" si="25"/>
        <v>16978.69120535714</v>
      </c>
      <c r="F53" s="173">
        <f t="shared" si="25"/>
        <v>16978.69120535714</v>
      </c>
      <c r="G53" s="173">
        <f t="shared" si="25"/>
        <v>16978.69120535714</v>
      </c>
      <c r="H53" s="173">
        <f t="shared" si="25"/>
        <v>16978.69120535714</v>
      </c>
      <c r="I53" s="173">
        <f t="shared" si="25"/>
        <v>16978.69120535714</v>
      </c>
      <c r="J53" s="173">
        <f t="shared" si="25"/>
        <v>16978.69120535714</v>
      </c>
      <c r="K53" s="173">
        <f t="shared" si="25"/>
        <v>16978.69120535714</v>
      </c>
      <c r="L53" s="173">
        <f t="shared" si="25"/>
        <v>16978.69120535714</v>
      </c>
      <c r="M53" s="173">
        <f t="shared" si="25"/>
        <v>16978.69120535714</v>
      </c>
      <c r="N53" s="173">
        <f t="shared" si="25"/>
        <v>16978.69120535714</v>
      </c>
      <c r="O53" s="173">
        <f t="shared" si="25"/>
        <v>16978.69120535714</v>
      </c>
      <c r="P53" s="359">
        <f>SUM(D53:O53)</f>
        <v>198420.16946428569</v>
      </c>
      <c r="Q53" s="264">
        <f t="shared" ref="Q53:AF53" si="26">SUM(Q13:Q51)</f>
        <v>18419.126267857137</v>
      </c>
      <c r="R53" s="173">
        <f t="shared" si="26"/>
        <v>18419.126267857137</v>
      </c>
      <c r="S53" s="173">
        <f t="shared" si="26"/>
        <v>18419.126267857137</v>
      </c>
      <c r="T53" s="173">
        <f t="shared" si="26"/>
        <v>18419.126267857137</v>
      </c>
      <c r="U53" s="173">
        <f t="shared" si="26"/>
        <v>18419.126267857137</v>
      </c>
      <c r="V53" s="173">
        <f t="shared" si="26"/>
        <v>18419.126267857137</v>
      </c>
      <c r="W53" s="173">
        <f t="shared" si="26"/>
        <v>18419.126267857137</v>
      </c>
      <c r="X53" s="173">
        <f t="shared" si="26"/>
        <v>18419.126267857137</v>
      </c>
      <c r="Y53" s="173">
        <f t="shared" si="26"/>
        <v>18419.126267857137</v>
      </c>
      <c r="Z53" s="173">
        <f t="shared" si="26"/>
        <v>18419.126267857137</v>
      </c>
      <c r="AA53" s="173">
        <f t="shared" si="26"/>
        <v>18419.126267857137</v>
      </c>
      <c r="AB53" s="173">
        <f t="shared" si="26"/>
        <v>18419.126267857137</v>
      </c>
      <c r="AC53" s="359">
        <f>SUM(Q53:AB53)</f>
        <v>221029.5152142857</v>
      </c>
      <c r="AD53" s="359">
        <f t="shared" si="26"/>
        <v>239113.37353928573</v>
      </c>
      <c r="AE53" s="359">
        <f t="shared" si="26"/>
        <v>261350.59400303572</v>
      </c>
      <c r="AF53" s="359">
        <f t="shared" si="26"/>
        <v>286648.70926534821</v>
      </c>
    </row>
    <row r="54" spans="1:32" ht="13.5" hidden="1" thickBot="1" x14ac:dyDescent="0.25">
      <c r="B54" s="172"/>
      <c r="P54" s="342"/>
      <c r="AC54" s="342"/>
      <c r="AD54" s="342"/>
      <c r="AE54" s="342"/>
      <c r="AF54" s="342"/>
    </row>
    <row r="55" spans="1:32" ht="13.5" hidden="1" thickBot="1" x14ac:dyDescent="0.25">
      <c r="B55" s="62"/>
      <c r="C55" s="273"/>
      <c r="D55" s="112">
        <f>IF(D56-D57&lt;0,0,D56-D57)</f>
        <v>0</v>
      </c>
      <c r="E55" s="112">
        <f t="shared" ref="E55:O55" si="27">IF(E56-E57&lt;0,0,E56-E57)</f>
        <v>491.31062626797848</v>
      </c>
      <c r="F55" s="112">
        <f t="shared" si="27"/>
        <v>494.32838240372962</v>
      </c>
      <c r="G55" s="112">
        <f t="shared" si="27"/>
        <v>497.3621479103353</v>
      </c>
      <c r="H55" s="112">
        <f t="shared" si="27"/>
        <v>500.41200810185342</v>
      </c>
      <c r="I55" s="112">
        <f t="shared" si="27"/>
        <v>503.47804874861231</v>
      </c>
      <c r="J55" s="112">
        <f t="shared" si="27"/>
        <v>506.56035607965794</v>
      </c>
      <c r="K55" s="112">
        <f t="shared" si="27"/>
        <v>509.65901678521396</v>
      </c>
      <c r="L55" s="112">
        <f t="shared" si="27"/>
        <v>512.77411801915537</v>
      </c>
      <c r="M55" s="112">
        <f t="shared" si="27"/>
        <v>515.90574740149532</v>
      </c>
      <c r="N55" s="112">
        <f t="shared" si="27"/>
        <v>519.05399302088483</v>
      </c>
      <c r="O55" s="112">
        <f t="shared" si="27"/>
        <v>522.21894343712711</v>
      </c>
      <c r="P55" s="360">
        <f>SUM(D55:O55)</f>
        <v>5573.0633881760441</v>
      </c>
      <c r="Q55" s="112">
        <f>IF(Q56-Q57&lt;0,0,Q56-Q57)</f>
        <v>1419.4156251837078</v>
      </c>
      <c r="R55" s="112">
        <f t="shared" ref="R55:AB55" si="28">IF(R56-R57&lt;0,0,R56-R57)</f>
        <v>1422.6142527703207</v>
      </c>
      <c r="S55" s="112">
        <f t="shared" si="28"/>
        <v>1425.8298536854452</v>
      </c>
      <c r="T55" s="112">
        <f t="shared" si="28"/>
        <v>1429.0625183988982</v>
      </c>
      <c r="U55" s="112">
        <f t="shared" si="28"/>
        <v>1432.3123378644211</v>
      </c>
      <c r="V55" s="112">
        <f t="shared" si="28"/>
        <v>1435.5794035222746</v>
      </c>
      <c r="W55" s="112">
        <f t="shared" si="28"/>
        <v>1438.8638073018483</v>
      </c>
      <c r="X55" s="112">
        <f t="shared" si="28"/>
        <v>1442.1656416242856</v>
      </c>
      <c r="Y55" s="112">
        <f t="shared" si="28"/>
        <v>1445.4849994051201</v>
      </c>
      <c r="Z55" s="112">
        <f t="shared" si="28"/>
        <v>1448.8219740569282</v>
      </c>
      <c r="AA55" s="112">
        <f t="shared" si="28"/>
        <v>1452.1766594919961</v>
      </c>
      <c r="AB55" s="112">
        <f t="shared" si="28"/>
        <v>1455.5491501249994</v>
      </c>
      <c r="AC55" s="360">
        <f>SUM(Q55:AB55)</f>
        <v>17247.876223430245</v>
      </c>
      <c r="AD55" s="360"/>
      <c r="AE55" s="360"/>
      <c r="AF55" s="360"/>
    </row>
    <row r="56" spans="1:32" ht="15" customHeight="1" x14ac:dyDescent="0.2">
      <c r="B56" s="35" t="s">
        <v>64</v>
      </c>
      <c r="C56" s="274">
        <f t="shared" ref="C56:AF56" si="29">C9-C53</f>
        <v>4175.3305357143108</v>
      </c>
      <c r="D56" s="271">
        <f t="shared" si="29"/>
        <v>-2846.0662053571414</v>
      </c>
      <c r="E56" s="33">
        <f t="shared" si="29"/>
        <v>638.30879464286045</v>
      </c>
      <c r="F56" s="33">
        <f t="shared" si="29"/>
        <v>638.30879464286045</v>
      </c>
      <c r="G56" s="33">
        <f t="shared" si="29"/>
        <v>638.30879464286045</v>
      </c>
      <c r="H56" s="33">
        <f t="shared" si="29"/>
        <v>638.30879464286045</v>
      </c>
      <c r="I56" s="33">
        <f t="shared" si="29"/>
        <v>638.30879464286045</v>
      </c>
      <c r="J56" s="33">
        <f t="shared" si="29"/>
        <v>638.30879464286045</v>
      </c>
      <c r="K56" s="33">
        <f t="shared" si="29"/>
        <v>638.30879464286045</v>
      </c>
      <c r="L56" s="33">
        <f t="shared" si="29"/>
        <v>638.30879464286045</v>
      </c>
      <c r="M56" s="33">
        <f t="shared" si="29"/>
        <v>638.30879464286045</v>
      </c>
      <c r="N56" s="33">
        <f t="shared" si="29"/>
        <v>638.30879464286045</v>
      </c>
      <c r="O56" s="33">
        <f t="shared" si="29"/>
        <v>638.30879464286045</v>
      </c>
      <c r="P56" s="361">
        <f t="shared" si="29"/>
        <v>4175.3305357143108</v>
      </c>
      <c r="Q56" s="271">
        <f t="shared" si="29"/>
        <v>1532.3237321428642</v>
      </c>
      <c r="R56" s="33">
        <f t="shared" si="29"/>
        <v>1532.3237321428642</v>
      </c>
      <c r="S56" s="33">
        <f t="shared" si="29"/>
        <v>1532.3237321428642</v>
      </c>
      <c r="T56" s="33">
        <f t="shared" si="29"/>
        <v>1532.3237321428642</v>
      </c>
      <c r="U56" s="33">
        <f t="shared" si="29"/>
        <v>1532.3237321428642</v>
      </c>
      <c r="V56" s="33">
        <f t="shared" si="29"/>
        <v>1532.3237321428642</v>
      </c>
      <c r="W56" s="33">
        <f t="shared" si="29"/>
        <v>1532.3237321428642</v>
      </c>
      <c r="X56" s="33">
        <f t="shared" si="29"/>
        <v>1532.3237321428642</v>
      </c>
      <c r="Y56" s="33">
        <f t="shared" si="29"/>
        <v>1532.3237321428642</v>
      </c>
      <c r="Z56" s="33">
        <f t="shared" si="29"/>
        <v>1532.3237321428642</v>
      </c>
      <c r="AA56" s="33">
        <f t="shared" si="29"/>
        <v>1532.3237321428642</v>
      </c>
      <c r="AB56" s="33">
        <f t="shared" si="29"/>
        <v>1532.3237321428642</v>
      </c>
      <c r="AC56" s="361">
        <f t="shared" si="29"/>
        <v>18387.884785714297</v>
      </c>
      <c r="AD56" s="361">
        <f t="shared" si="29"/>
        <v>32149.716460714291</v>
      </c>
      <c r="AE56" s="361">
        <f t="shared" si="29"/>
        <v>46128.347496964241</v>
      </c>
      <c r="AF56" s="361">
        <f t="shared" si="29"/>
        <v>62031.100259651779</v>
      </c>
    </row>
    <row r="57" spans="1:32" ht="12.75" x14ac:dyDescent="0.2">
      <c r="B57" s="35" t="s">
        <v>3</v>
      </c>
      <c r="C57" s="275">
        <f>P57</f>
        <v>1598.3333528954211</v>
      </c>
      <c r="D57" s="262">
        <f>'12. Loan Detail'!D28</f>
        <v>150</v>
      </c>
      <c r="E57" s="5">
        <f>'12. Loan Detail'!E28</f>
        <v>146.99816837488194</v>
      </c>
      <c r="F57" s="5">
        <f>'12. Loan Detail'!F28</f>
        <v>143.98041223913083</v>
      </c>
      <c r="G57" s="5">
        <f>'12. Loan Detail'!G28</f>
        <v>140.94664673252515</v>
      </c>
      <c r="H57" s="5">
        <f>'12. Loan Detail'!H28</f>
        <v>137.89678654100706</v>
      </c>
      <c r="I57" s="5">
        <f>'12. Loan Detail'!I28</f>
        <v>134.83074589424814</v>
      </c>
      <c r="J57" s="5">
        <f>'12. Loan Detail'!J28</f>
        <v>131.74843856320251</v>
      </c>
      <c r="K57" s="5">
        <f>'12. Loan Detail'!K28</f>
        <v>128.64977785764648</v>
      </c>
      <c r="L57" s="5">
        <f>'12. Loan Detail'!L28</f>
        <v>125.53467662370504</v>
      </c>
      <c r="M57" s="5">
        <f>'12. Loan Detail'!M28</f>
        <v>122.40304724136516</v>
      </c>
      <c r="N57" s="5">
        <f>'12. Loan Detail'!N28</f>
        <v>119.25480162197559</v>
      </c>
      <c r="O57" s="5">
        <f>'12. Loan Detail'!O28</f>
        <v>116.08985120573331</v>
      </c>
      <c r="P57" s="362">
        <f>'12. Loan Detail'!P28</f>
        <v>1598.3333528954211</v>
      </c>
      <c r="Q57" s="262">
        <f>'12. Loan Detail'!Q28</f>
        <v>112.90810695915638</v>
      </c>
      <c r="R57" s="5">
        <f>'12. Loan Detail'!R28</f>
        <v>109.7094793725434</v>
      </c>
      <c r="S57" s="5">
        <f>'12. Loan Detail'!S28</f>
        <v>106.49387845741899</v>
      </c>
      <c r="T57" s="5">
        <f>'12. Loan Detail'!T28</f>
        <v>103.2612137439659</v>
      </c>
      <c r="U57" s="5">
        <f>'12. Loan Detail'!U28</f>
        <v>100.01139427844299</v>
      </c>
      <c r="V57" s="5">
        <f>'12. Loan Detail'!V28</f>
        <v>96.744328620589613</v>
      </c>
      <c r="W57" s="5">
        <f>'12. Loan Detail'!W28</f>
        <v>93.459924841015777</v>
      </c>
      <c r="X57" s="5">
        <f>'12. Loan Detail'!X28</f>
        <v>90.158090518578575</v>
      </c>
      <c r="Y57" s="5">
        <f>'12. Loan Detail'!Y28</f>
        <v>86.838732737744166</v>
      </c>
      <c r="Z57" s="5">
        <f>'12. Loan Detail'!Z28</f>
        <v>83.501758085935904</v>
      </c>
      <c r="AA57" s="5">
        <f>'12. Loan Detail'!AA28</f>
        <v>80.147072650867955</v>
      </c>
      <c r="AB57" s="5">
        <f>'12. Loan Detail'!AB28</f>
        <v>76.774582017864773</v>
      </c>
      <c r="AC57" s="362">
        <f>'12. Loan Detail'!AC28</f>
        <v>1140.0085622841243</v>
      </c>
      <c r="AD57" s="362">
        <f>'12. Loan Detail'!AP28</f>
        <v>651.62851868389987</v>
      </c>
      <c r="AE57" s="362">
        <f>'12. Loan Detail'!BC28</f>
        <v>354.35880422790223</v>
      </c>
      <c r="AF57" s="362">
        <f>'12. Loan Detail'!BP28</f>
        <v>307.37031647008354</v>
      </c>
    </row>
    <row r="58" spans="1:32" ht="13.5" thickBot="1" x14ac:dyDescent="0.25">
      <c r="B58" s="278" t="s">
        <v>105</v>
      </c>
      <c r="C58" s="276">
        <f>'0. Basic Info'!D22</f>
        <v>0.15</v>
      </c>
      <c r="D58" s="263">
        <f>IF($C56&lt;0,0,IF(D56-D57&lt;0,0,((D56-D57)/$P55*$P58)))</f>
        <v>0</v>
      </c>
      <c r="E58" s="8">
        <f t="shared" ref="E58:O58" si="30">IF($C56&lt;0,0,IF(E56-E57&lt;0,0,((E56-E57)/$P55*$P58)))</f>
        <v>34.077472610515301</v>
      </c>
      <c r="F58" s="8">
        <f t="shared" si="30"/>
        <v>34.286785205364779</v>
      </c>
      <c r="G58" s="8">
        <f t="shared" si="30"/>
        <v>34.497208215637094</v>
      </c>
      <c r="H58" s="8">
        <f t="shared" si="30"/>
        <v>34.708747558744385</v>
      </c>
      <c r="I58" s="8">
        <f t="shared" si="30"/>
        <v>34.92140918374588</v>
      </c>
      <c r="J58" s="8">
        <f t="shared" si="30"/>
        <v>35.135199071517626</v>
      </c>
      <c r="K58" s="8">
        <f t="shared" si="30"/>
        <v>35.350123234923103</v>
      </c>
      <c r="L58" s="8">
        <f t="shared" si="30"/>
        <v>35.5661877189848</v>
      </c>
      <c r="M58" s="8">
        <f t="shared" si="30"/>
        <v>35.783398601056724</v>
      </c>
      <c r="N58" s="8">
        <f t="shared" si="30"/>
        <v>36.001761990997736</v>
      </c>
      <c r="O58" s="8">
        <f t="shared" si="30"/>
        <v>36.221284031346016</v>
      </c>
      <c r="P58" s="363">
        <f>IF(P56-P57&lt;0,0,(P56-P57)*C58)</f>
        <v>386.54957742283347</v>
      </c>
      <c r="Q58" s="263">
        <f>IF($C56&lt;0,0,IF(Q56-Q57&lt;0,0,((Q56-Q57)/$P55*$P58)))</f>
        <v>98.451151886449253</v>
      </c>
      <c r="R58" s="8">
        <f t="shared" ref="R58:AB58" si="31">IF($C56&lt;0,0,IF(R56-R57&lt;0,0,((R56-R57)/$P55*$P58)))</f>
        <v>98.673009786820799</v>
      </c>
      <c r="S58" s="8">
        <f t="shared" si="31"/>
        <v>98.896044963047032</v>
      </c>
      <c r="T58" s="8">
        <f t="shared" si="31"/>
        <v>99.120263690145336</v>
      </c>
      <c r="U58" s="8">
        <f t="shared" si="31"/>
        <v>99.345672276698224</v>
      </c>
      <c r="V58" s="8">
        <f t="shared" si="31"/>
        <v>99.572277065033333</v>
      </c>
      <c r="W58" s="8">
        <f t="shared" si="31"/>
        <v>99.800084431404557</v>
      </c>
      <c r="X58" s="8">
        <f t="shared" si="31"/>
        <v>100.02910078617387</v>
      </c>
      <c r="Y58" s="8">
        <f t="shared" si="31"/>
        <v>100.25933257399437</v>
      </c>
      <c r="Z58" s="8">
        <f t="shared" si="31"/>
        <v>100.49078627399423</v>
      </c>
      <c r="AA58" s="8">
        <f t="shared" si="31"/>
        <v>100.72346839996166</v>
      </c>
      <c r="AB58" s="8">
        <f t="shared" si="31"/>
        <v>100.95738550053073</v>
      </c>
      <c r="AC58" s="363">
        <f>IF(AC56-AC57&lt;0,0,(AC56-AC57)*$C58)</f>
        <v>2587.1814335145259</v>
      </c>
      <c r="AD58" s="363">
        <f t="shared" ref="AD58:AF58" si="32">IF(AD56-AD57&lt;0,0,(AD56-AD57)*$C58)</f>
        <v>4724.7131913045587</v>
      </c>
      <c r="AE58" s="363">
        <f t="shared" si="32"/>
        <v>6866.0983039104512</v>
      </c>
      <c r="AF58" s="363">
        <f t="shared" si="32"/>
        <v>9258.5594914772537</v>
      </c>
    </row>
    <row r="59" spans="1:32" ht="12.75" x14ac:dyDescent="0.2">
      <c r="B59" s="171"/>
      <c r="C59" s="269"/>
      <c r="D59" s="175"/>
      <c r="E59" s="6"/>
      <c r="F59" s="6"/>
      <c r="G59" s="6"/>
      <c r="H59" s="6"/>
      <c r="I59" s="6"/>
      <c r="J59" s="6"/>
      <c r="K59" s="6"/>
      <c r="L59" s="6"/>
      <c r="M59" s="6"/>
      <c r="N59" s="6"/>
      <c r="O59" s="6"/>
      <c r="P59" s="364"/>
      <c r="Q59" s="175"/>
      <c r="R59" s="6"/>
      <c r="S59" s="6"/>
      <c r="T59" s="6"/>
      <c r="U59" s="6"/>
      <c r="V59" s="6"/>
      <c r="W59" s="6"/>
      <c r="X59" s="6"/>
      <c r="Y59" s="6"/>
      <c r="Z59" s="6"/>
      <c r="AA59" s="6"/>
      <c r="AB59" s="6"/>
      <c r="AC59" s="364"/>
      <c r="AD59" s="364"/>
      <c r="AE59" s="364"/>
      <c r="AF59" s="364"/>
    </row>
    <row r="60" spans="1:32" ht="13.5" thickBot="1" x14ac:dyDescent="0.25">
      <c r="B60" s="170" t="s">
        <v>5</v>
      </c>
      <c r="C60" s="277">
        <f>P60</f>
        <v>2190.4476053960566</v>
      </c>
      <c r="D60" s="272">
        <f>D56-D57-D58</f>
        <v>-2996.0662053571414</v>
      </c>
      <c r="E60" s="126">
        <f t="shared" ref="E60:P60" si="33">E56-E57-E58</f>
        <v>457.23315365746316</v>
      </c>
      <c r="F60" s="126">
        <f t="shared" si="33"/>
        <v>460.04159719836485</v>
      </c>
      <c r="G60" s="126">
        <f t="shared" si="33"/>
        <v>462.86493969469819</v>
      </c>
      <c r="H60" s="126">
        <f t="shared" si="33"/>
        <v>465.70326054310902</v>
      </c>
      <c r="I60" s="126">
        <f t="shared" si="33"/>
        <v>468.55663956486643</v>
      </c>
      <c r="J60" s="126">
        <f t="shared" si="33"/>
        <v>471.42515700814033</v>
      </c>
      <c r="K60" s="126">
        <f t="shared" si="33"/>
        <v>474.30889355029086</v>
      </c>
      <c r="L60" s="126">
        <f t="shared" si="33"/>
        <v>477.20793030017057</v>
      </c>
      <c r="M60" s="126">
        <f t="shared" si="33"/>
        <v>480.1223488004386</v>
      </c>
      <c r="N60" s="126">
        <f t="shared" si="33"/>
        <v>483.05223102988708</v>
      </c>
      <c r="O60" s="126">
        <f t="shared" si="33"/>
        <v>485.99765940578106</v>
      </c>
      <c r="P60" s="365">
        <f t="shared" si="33"/>
        <v>2190.4476053960566</v>
      </c>
      <c r="Q60" s="272">
        <f>Q56-Q57-Q58</f>
        <v>1320.9644732972586</v>
      </c>
      <c r="R60" s="126">
        <f t="shared" ref="R60:AF60" si="34">R56-R57-R58</f>
        <v>1323.9412429834999</v>
      </c>
      <c r="S60" s="126">
        <f t="shared" si="34"/>
        <v>1326.9338087223982</v>
      </c>
      <c r="T60" s="126">
        <f t="shared" si="34"/>
        <v>1329.9422547087529</v>
      </c>
      <c r="U60" s="126">
        <f t="shared" si="34"/>
        <v>1332.9666655877229</v>
      </c>
      <c r="V60" s="126">
        <f t="shared" si="34"/>
        <v>1336.0071264572412</v>
      </c>
      <c r="W60" s="126">
        <f t="shared" si="34"/>
        <v>1339.0637228704438</v>
      </c>
      <c r="X60" s="126">
        <f t="shared" si="34"/>
        <v>1342.1365408381118</v>
      </c>
      <c r="Y60" s="126">
        <f t="shared" si="34"/>
        <v>1345.2256668311256</v>
      </c>
      <c r="Z60" s="126">
        <f t="shared" si="34"/>
        <v>1348.331187782934</v>
      </c>
      <c r="AA60" s="126">
        <f t="shared" si="34"/>
        <v>1351.4531910920346</v>
      </c>
      <c r="AB60" s="126">
        <f t="shared" si="34"/>
        <v>1354.5917646244686</v>
      </c>
      <c r="AC60" s="365">
        <f t="shared" si="34"/>
        <v>14660.694789915646</v>
      </c>
      <c r="AD60" s="365">
        <f t="shared" si="34"/>
        <v>26773.37475072583</v>
      </c>
      <c r="AE60" s="365">
        <f t="shared" si="34"/>
        <v>38907.890388825886</v>
      </c>
      <c r="AF60" s="365">
        <f t="shared" si="34"/>
        <v>52465.170451704442</v>
      </c>
    </row>
    <row r="61" spans="1:32" ht="9.6" customHeight="1" x14ac:dyDescent="0.2">
      <c r="A61" s="111"/>
      <c r="B61" s="111"/>
      <c r="C61" s="178"/>
      <c r="D61" s="111"/>
      <c r="E61" s="111"/>
      <c r="F61" s="111"/>
      <c r="G61" s="111"/>
      <c r="H61" s="111"/>
      <c r="I61" s="111"/>
      <c r="J61" s="111"/>
      <c r="K61" s="111"/>
      <c r="L61" s="111"/>
      <c r="M61" s="111"/>
      <c r="N61" s="111"/>
      <c r="O61" s="111"/>
      <c r="P61" s="366"/>
      <c r="Q61" s="111"/>
      <c r="R61" s="111"/>
      <c r="S61" s="111"/>
      <c r="T61" s="111"/>
      <c r="U61" s="111"/>
      <c r="V61" s="111"/>
      <c r="W61" s="111"/>
      <c r="X61" s="111"/>
      <c r="Y61" s="111"/>
      <c r="Z61" s="111"/>
      <c r="AA61" s="111"/>
      <c r="AB61" s="111"/>
      <c r="AC61" s="366"/>
      <c r="AD61" s="366"/>
      <c r="AE61" s="366"/>
      <c r="AF61" s="366"/>
    </row>
    <row r="62" spans="1:32" ht="12.75" x14ac:dyDescent="0.2">
      <c r="B62" s="9" t="s">
        <v>247</v>
      </c>
      <c r="P62" s="342"/>
      <c r="AC62" s="342"/>
      <c r="AD62" s="342"/>
      <c r="AE62" s="342"/>
      <c r="AF62" s="342"/>
    </row>
    <row r="63" spans="1:32" ht="12.75" x14ac:dyDescent="0.2">
      <c r="B63" s="56">
        <f>'7. Funding Plan'!C18</f>
        <v>0</v>
      </c>
      <c r="P63" s="342"/>
      <c r="AC63" s="342"/>
      <c r="AD63" s="342"/>
      <c r="AE63" s="342"/>
      <c r="AF63" s="342"/>
    </row>
    <row r="64" spans="1:32" ht="12.75" x14ac:dyDescent="0.2">
      <c r="A64" s="9"/>
      <c r="B64" s="132" t="s">
        <v>102</v>
      </c>
      <c r="C64" s="131">
        <f>'7. Funding Plan'!C27</f>
        <v>40750</v>
      </c>
      <c r="D64" s="280">
        <f t="shared" ref="D64:AF64" si="35">D6</f>
        <v>43466</v>
      </c>
      <c r="E64" s="280">
        <f t="shared" si="35"/>
        <v>43497</v>
      </c>
      <c r="F64" s="280">
        <f t="shared" si="35"/>
        <v>43528</v>
      </c>
      <c r="G64" s="280">
        <f t="shared" si="35"/>
        <v>43559</v>
      </c>
      <c r="H64" s="280">
        <f t="shared" si="35"/>
        <v>43590</v>
      </c>
      <c r="I64" s="280">
        <f t="shared" si="35"/>
        <v>43621</v>
      </c>
      <c r="J64" s="280">
        <f t="shared" si="35"/>
        <v>43652</v>
      </c>
      <c r="K64" s="280">
        <f t="shared" si="35"/>
        <v>43683</v>
      </c>
      <c r="L64" s="280">
        <f t="shared" si="35"/>
        <v>43714</v>
      </c>
      <c r="M64" s="280">
        <f t="shared" si="35"/>
        <v>43745</v>
      </c>
      <c r="N64" s="280">
        <f t="shared" si="35"/>
        <v>43776</v>
      </c>
      <c r="O64" s="280">
        <f t="shared" si="35"/>
        <v>43807</v>
      </c>
      <c r="P64" s="368">
        <f t="shared" si="35"/>
        <v>2019</v>
      </c>
      <c r="Q64" s="367">
        <f t="shared" si="35"/>
        <v>43831</v>
      </c>
      <c r="R64" s="280">
        <f t="shared" si="35"/>
        <v>43862</v>
      </c>
      <c r="S64" s="280">
        <f t="shared" si="35"/>
        <v>43891</v>
      </c>
      <c r="T64" s="280">
        <f t="shared" si="35"/>
        <v>43922</v>
      </c>
      <c r="U64" s="280">
        <f t="shared" si="35"/>
        <v>43952</v>
      </c>
      <c r="V64" s="280">
        <f t="shared" si="35"/>
        <v>43983</v>
      </c>
      <c r="W64" s="280">
        <f t="shared" si="35"/>
        <v>44013</v>
      </c>
      <c r="X64" s="280">
        <f t="shared" si="35"/>
        <v>44044</v>
      </c>
      <c r="Y64" s="280">
        <f t="shared" si="35"/>
        <v>44075</v>
      </c>
      <c r="Z64" s="280">
        <f t="shared" si="35"/>
        <v>44105</v>
      </c>
      <c r="AA64" s="280">
        <f t="shared" si="35"/>
        <v>44136</v>
      </c>
      <c r="AB64" s="280">
        <f t="shared" si="35"/>
        <v>44166</v>
      </c>
      <c r="AC64" s="368">
        <f t="shared" si="35"/>
        <v>2020</v>
      </c>
      <c r="AD64" s="368">
        <f t="shared" si="35"/>
        <v>2021</v>
      </c>
      <c r="AE64" s="368">
        <f t="shared" si="35"/>
        <v>2022</v>
      </c>
      <c r="AF64" s="368">
        <f t="shared" si="35"/>
        <v>2023</v>
      </c>
    </row>
    <row r="65" spans="1:32" ht="13.5" thickBot="1" x14ac:dyDescent="0.25">
      <c r="A65" s="115"/>
      <c r="B65" s="597" t="s">
        <v>114</v>
      </c>
      <c r="C65" s="598"/>
      <c r="D65" s="115">
        <f>'7. Funding Plan'!E27</f>
        <v>40750</v>
      </c>
      <c r="E65" s="115">
        <f>D79</f>
        <v>73050.695364730724</v>
      </c>
      <c r="F65" s="115">
        <f t="shared" ref="F65:O65" si="36">E79</f>
        <v>73051.688256850946</v>
      </c>
      <c r="G65" s="115">
        <f t="shared" si="36"/>
        <v>73052.47183637631</v>
      </c>
      <c r="H65" s="115">
        <f t="shared" si="36"/>
        <v>73053.044992891402</v>
      </c>
      <c r="I65" s="115">
        <f t="shared" si="36"/>
        <v>73053.406610063394</v>
      </c>
      <c r="J65" s="115">
        <f t="shared" si="36"/>
        <v>73053.555565610382</v>
      </c>
      <c r="K65" s="115">
        <f t="shared" si="36"/>
        <v>73053.490731269601</v>
      </c>
      <c r="L65" s="115">
        <f t="shared" si="36"/>
        <v>73053.210972765417</v>
      </c>
      <c r="M65" s="115">
        <f t="shared" si="36"/>
        <v>73052.71514977717</v>
      </c>
      <c r="N65" s="115">
        <f t="shared" si="36"/>
        <v>73052.002115906842</v>
      </c>
      <c r="O65" s="115">
        <f t="shared" si="36"/>
        <v>73051.070718646573</v>
      </c>
      <c r="P65" s="369">
        <f>D65</f>
        <v>40750</v>
      </c>
      <c r="Q65" s="115">
        <f>O79</f>
        <v>73049.919799345953</v>
      </c>
      <c r="R65" s="115">
        <f>Q79</f>
        <v>73880.553949690235</v>
      </c>
      <c r="S65" s="115">
        <f t="shared" ref="S65:AB65" si="37">R79</f>
        <v>74710.966242134149</v>
      </c>
      <c r="T65" s="115">
        <f t="shared" si="37"/>
        <v>75541.155499401837</v>
      </c>
      <c r="U65" s="115">
        <f t="shared" si="37"/>
        <v>76371.120537942421</v>
      </c>
      <c r="V65" s="115">
        <f t="shared" si="37"/>
        <v>77200.860167896462</v>
      </c>
      <c r="W65" s="115">
        <f t="shared" si="37"/>
        <v>78030.373193062158</v>
      </c>
      <c r="X65" s="115">
        <f t="shared" si="37"/>
        <v>78859.658410861492</v>
      </c>
      <c r="Y65" s="115">
        <f t="shared" si="37"/>
        <v>79688.714612306052</v>
      </c>
      <c r="Z65" s="115">
        <f t="shared" si="37"/>
        <v>80517.540581962792</v>
      </c>
      <c r="AA65" s="115">
        <f t="shared" si="37"/>
        <v>81346.135097919527</v>
      </c>
      <c r="AB65" s="115">
        <f t="shared" si="37"/>
        <v>82174.496931750298</v>
      </c>
      <c r="AC65" s="369">
        <f>P79</f>
        <v>73049.919799345953</v>
      </c>
      <c r="AD65" s="370">
        <f>AC79</f>
        <v>83002.62484848054</v>
      </c>
      <c r="AE65" s="370">
        <f t="shared" ref="AE65:AF65" si="38">AD79</f>
        <v>103188.76695894473</v>
      </c>
      <c r="AF65" s="370">
        <f t="shared" si="38"/>
        <v>142567.91568341534</v>
      </c>
    </row>
    <row r="66" spans="1:32" ht="13.15" customHeight="1" x14ac:dyDescent="0.2">
      <c r="A66" s="730" t="s">
        <v>116</v>
      </c>
      <c r="B66" s="599" t="s">
        <v>75</v>
      </c>
      <c r="C66" s="119"/>
      <c r="D66" s="89">
        <f t="shared" ref="D66:AF66" si="39">D60+D51</f>
        <v>-2880.2590624999984</v>
      </c>
      <c r="E66" s="89">
        <f t="shared" si="39"/>
        <v>573.04029651460598</v>
      </c>
      <c r="F66" s="89">
        <f t="shared" si="39"/>
        <v>575.84874005550773</v>
      </c>
      <c r="G66" s="89">
        <f t="shared" si="39"/>
        <v>578.67208255184107</v>
      </c>
      <c r="H66" s="89">
        <f t="shared" si="39"/>
        <v>581.5104034002519</v>
      </c>
      <c r="I66" s="89">
        <f t="shared" si="39"/>
        <v>584.36378242200931</v>
      </c>
      <c r="J66" s="89">
        <f t="shared" si="39"/>
        <v>587.23229986528315</v>
      </c>
      <c r="K66" s="89">
        <f t="shared" si="39"/>
        <v>590.11603640743374</v>
      </c>
      <c r="L66" s="89">
        <f t="shared" si="39"/>
        <v>593.0150731573134</v>
      </c>
      <c r="M66" s="89">
        <f t="shared" si="39"/>
        <v>595.92949165758148</v>
      </c>
      <c r="N66" s="89">
        <f t="shared" si="39"/>
        <v>598.85937388702996</v>
      </c>
      <c r="O66" s="89">
        <f t="shared" si="39"/>
        <v>601.80480226292389</v>
      </c>
      <c r="P66" s="372">
        <f>SUM(D66:O66)</f>
        <v>3580.1333196817832</v>
      </c>
      <c r="Q66" s="371">
        <f t="shared" si="39"/>
        <v>1436.7716161544015</v>
      </c>
      <c r="R66" s="89">
        <f t="shared" si="39"/>
        <v>1439.7483858406429</v>
      </c>
      <c r="S66" s="89">
        <f t="shared" si="39"/>
        <v>1442.7409515795412</v>
      </c>
      <c r="T66" s="89">
        <f t="shared" si="39"/>
        <v>1445.7493975658958</v>
      </c>
      <c r="U66" s="89">
        <f t="shared" si="39"/>
        <v>1448.7738084448658</v>
      </c>
      <c r="V66" s="89">
        <f t="shared" si="39"/>
        <v>1451.8142693143841</v>
      </c>
      <c r="W66" s="89">
        <f t="shared" si="39"/>
        <v>1454.8708657275868</v>
      </c>
      <c r="X66" s="89">
        <f t="shared" si="39"/>
        <v>1457.9436836952548</v>
      </c>
      <c r="Y66" s="89">
        <f t="shared" si="39"/>
        <v>1461.0328096882686</v>
      </c>
      <c r="Z66" s="89">
        <f t="shared" si="39"/>
        <v>1464.1383306400769</v>
      </c>
      <c r="AA66" s="89">
        <f t="shared" si="39"/>
        <v>1467.2603339491775</v>
      </c>
      <c r="AB66" s="89">
        <f t="shared" si="39"/>
        <v>1470.3989074816116</v>
      </c>
      <c r="AC66" s="372">
        <f>SUM(Q66:AB66)</f>
        <v>17441.243360081709</v>
      </c>
      <c r="AD66" s="373">
        <f t="shared" si="39"/>
        <v>28163.060465011546</v>
      </c>
      <c r="AE66" s="374">
        <f t="shared" si="39"/>
        <v>40297.576103111598</v>
      </c>
      <c r="AF66" s="372">
        <f t="shared" si="39"/>
        <v>53854.856165990153</v>
      </c>
    </row>
    <row r="67" spans="1:32" ht="12.75" x14ac:dyDescent="0.2">
      <c r="A67" s="731"/>
      <c r="B67" s="600" t="s">
        <v>76</v>
      </c>
      <c r="C67" s="120"/>
      <c r="D67" s="595">
        <f>'7. Funding Plan'!C15+'7. Funding Plan'!C14</f>
        <v>10750</v>
      </c>
      <c r="E67" s="118"/>
      <c r="F67" s="118">
        <v>0</v>
      </c>
      <c r="G67" s="118">
        <v>0</v>
      </c>
      <c r="H67" s="118">
        <v>0</v>
      </c>
      <c r="I67" s="118">
        <v>0</v>
      </c>
      <c r="J67" s="118">
        <v>0</v>
      </c>
      <c r="K67" s="118">
        <v>0</v>
      </c>
      <c r="L67" s="118">
        <v>0</v>
      </c>
      <c r="M67" s="118">
        <v>0</v>
      </c>
      <c r="N67" s="118">
        <v>0</v>
      </c>
      <c r="O67" s="118">
        <v>0</v>
      </c>
      <c r="P67" s="372">
        <f t="shared" ref="P67:P77" si="40">SUM(D67:O67)</f>
        <v>10750</v>
      </c>
      <c r="Q67" s="375">
        <v>0</v>
      </c>
      <c r="R67" s="118">
        <v>0</v>
      </c>
      <c r="S67" s="118">
        <v>0</v>
      </c>
      <c r="T67" s="118">
        <v>0</v>
      </c>
      <c r="U67" s="118">
        <v>0</v>
      </c>
      <c r="V67" s="118">
        <v>0</v>
      </c>
      <c r="W67" s="118">
        <v>0</v>
      </c>
      <c r="X67" s="118">
        <v>0</v>
      </c>
      <c r="Y67" s="118">
        <v>0</v>
      </c>
      <c r="Z67" s="118">
        <v>0</v>
      </c>
      <c r="AA67" s="118">
        <v>0</v>
      </c>
      <c r="AB67" s="118">
        <v>0</v>
      </c>
      <c r="AC67" s="372">
        <f t="shared" ref="AC67:AC77" si="41">SUM(Q67:AB67)</f>
        <v>0</v>
      </c>
      <c r="AD67" s="376">
        <v>0</v>
      </c>
      <c r="AE67" s="375">
        <v>0</v>
      </c>
      <c r="AF67" s="377">
        <v>0</v>
      </c>
    </row>
    <row r="68" spans="1:32" ht="12.75" x14ac:dyDescent="0.2">
      <c r="A68" s="731"/>
      <c r="B68" s="600" t="s">
        <v>77</v>
      </c>
      <c r="C68" s="120"/>
      <c r="D68" s="595">
        <f>'7. Funding Plan'!C17</f>
        <v>0</v>
      </c>
      <c r="E68" s="118">
        <v>0</v>
      </c>
      <c r="F68" s="118">
        <v>0</v>
      </c>
      <c r="G68" s="118">
        <v>0</v>
      </c>
      <c r="H68" s="118">
        <v>0</v>
      </c>
      <c r="I68" s="118">
        <v>0</v>
      </c>
      <c r="J68" s="118">
        <v>0</v>
      </c>
      <c r="K68" s="118">
        <v>0</v>
      </c>
      <c r="L68" s="118">
        <v>0</v>
      </c>
      <c r="M68" s="118">
        <v>0</v>
      </c>
      <c r="N68" s="118">
        <v>0</v>
      </c>
      <c r="O68" s="118"/>
      <c r="P68" s="372">
        <f t="shared" si="40"/>
        <v>0</v>
      </c>
      <c r="Q68" s="375">
        <v>0</v>
      </c>
      <c r="R68" s="118">
        <v>0</v>
      </c>
      <c r="S68" s="118">
        <v>0</v>
      </c>
      <c r="T68" s="118">
        <v>0</v>
      </c>
      <c r="U68" s="118">
        <v>0</v>
      </c>
      <c r="V68" s="118">
        <v>0</v>
      </c>
      <c r="W68" s="118">
        <v>0</v>
      </c>
      <c r="X68" s="118">
        <v>0</v>
      </c>
      <c r="Y68" s="118">
        <v>0</v>
      </c>
      <c r="Z68" s="118">
        <v>0</v>
      </c>
      <c r="AA68" s="118">
        <v>0</v>
      </c>
      <c r="AB68" s="118"/>
      <c r="AC68" s="372">
        <f t="shared" si="41"/>
        <v>0</v>
      </c>
      <c r="AD68" s="376">
        <v>0</v>
      </c>
      <c r="AE68" s="375">
        <v>0</v>
      </c>
      <c r="AF68" s="377">
        <v>0</v>
      </c>
    </row>
    <row r="69" spans="1:32" ht="12.75" x14ac:dyDescent="0.2">
      <c r="A69" s="731"/>
      <c r="B69" s="601" t="s">
        <v>299</v>
      </c>
      <c r="C69" s="588"/>
      <c r="D69" s="589">
        <f>'7. Funding Plan'!C22+'7. Funding Plan'!C23</f>
        <v>30000</v>
      </c>
      <c r="E69" s="582"/>
      <c r="F69" s="582"/>
      <c r="G69" s="582"/>
      <c r="H69" s="582"/>
      <c r="I69" s="582"/>
      <c r="J69" s="582"/>
      <c r="K69" s="582"/>
      <c r="L69" s="582"/>
      <c r="M69" s="582"/>
      <c r="N69" s="582"/>
      <c r="O69" s="582"/>
      <c r="P69" s="583"/>
      <c r="Q69" s="584"/>
      <c r="R69" s="582"/>
      <c r="S69" s="582"/>
      <c r="T69" s="582"/>
      <c r="U69" s="582"/>
      <c r="V69" s="582"/>
      <c r="W69" s="582"/>
      <c r="X69" s="582"/>
      <c r="Y69" s="582"/>
      <c r="Z69" s="582"/>
      <c r="AA69" s="582"/>
      <c r="AB69" s="582"/>
      <c r="AC69" s="583"/>
      <c r="AD69" s="585"/>
      <c r="AE69" s="586"/>
      <c r="AF69" s="587"/>
    </row>
    <row r="70" spans="1:32" ht="13.5" thickBot="1" x14ac:dyDescent="0.25">
      <c r="A70" s="731"/>
      <c r="B70" s="602" t="s">
        <v>73</v>
      </c>
      <c r="C70" s="124"/>
      <c r="D70" s="596">
        <f>'7. Funding Plan'!C9</f>
        <v>2500</v>
      </c>
      <c r="E70" s="125">
        <v>0</v>
      </c>
      <c r="F70" s="125">
        <v>0</v>
      </c>
      <c r="G70" s="125">
        <v>0</v>
      </c>
      <c r="H70" s="125">
        <v>0</v>
      </c>
      <c r="I70" s="125">
        <v>0</v>
      </c>
      <c r="J70" s="125">
        <v>0</v>
      </c>
      <c r="K70" s="125">
        <v>0</v>
      </c>
      <c r="L70" s="125">
        <v>0</v>
      </c>
      <c r="M70" s="125">
        <v>0</v>
      </c>
      <c r="N70" s="125">
        <v>0</v>
      </c>
      <c r="O70" s="125">
        <v>0</v>
      </c>
      <c r="P70" s="365">
        <f t="shared" si="40"/>
        <v>2500</v>
      </c>
      <c r="Q70" s="378"/>
      <c r="R70" s="125"/>
      <c r="S70" s="125"/>
      <c r="T70" s="125">
        <v>0</v>
      </c>
      <c r="U70" s="125">
        <v>0</v>
      </c>
      <c r="V70" s="125">
        <v>0</v>
      </c>
      <c r="W70" s="125">
        <v>0</v>
      </c>
      <c r="X70" s="125">
        <v>0</v>
      </c>
      <c r="Y70" s="125">
        <v>0</v>
      </c>
      <c r="Z70" s="125">
        <v>0</v>
      </c>
      <c r="AA70" s="125">
        <v>0</v>
      </c>
      <c r="AB70" s="125">
        <v>0</v>
      </c>
      <c r="AC70" s="365">
        <f t="shared" si="41"/>
        <v>0</v>
      </c>
      <c r="AD70" s="379">
        <v>0</v>
      </c>
      <c r="AE70" s="379">
        <v>0</v>
      </c>
      <c r="AF70" s="379">
        <v>0</v>
      </c>
    </row>
    <row r="71" spans="1:32" ht="12.75" x14ac:dyDescent="0.2">
      <c r="A71" s="731"/>
      <c r="B71" s="603" t="s">
        <v>100</v>
      </c>
      <c r="C71" s="122"/>
      <c r="D71" s="123">
        <f>SUM(D66:D70)</f>
        <v>40369.740937499999</v>
      </c>
      <c r="E71" s="123">
        <f t="shared" ref="E71:P71" si="42">SUM(E66:E70)</f>
        <v>573.04029651460598</v>
      </c>
      <c r="F71" s="123">
        <f t="shared" si="42"/>
        <v>575.84874005550773</v>
      </c>
      <c r="G71" s="123">
        <f t="shared" si="42"/>
        <v>578.67208255184107</v>
      </c>
      <c r="H71" s="123">
        <f t="shared" si="42"/>
        <v>581.5104034002519</v>
      </c>
      <c r="I71" s="123">
        <f t="shared" si="42"/>
        <v>584.36378242200931</v>
      </c>
      <c r="J71" s="123">
        <f t="shared" si="42"/>
        <v>587.23229986528315</v>
      </c>
      <c r="K71" s="123">
        <f t="shared" si="42"/>
        <v>590.11603640743374</v>
      </c>
      <c r="L71" s="123">
        <f t="shared" si="42"/>
        <v>593.0150731573134</v>
      </c>
      <c r="M71" s="123">
        <f t="shared" si="42"/>
        <v>595.92949165758148</v>
      </c>
      <c r="N71" s="123">
        <f t="shared" si="42"/>
        <v>598.85937388702996</v>
      </c>
      <c r="O71" s="123">
        <f t="shared" si="42"/>
        <v>601.80480226292389</v>
      </c>
      <c r="P71" s="381">
        <f t="shared" si="42"/>
        <v>16830.133319681783</v>
      </c>
      <c r="Q71" s="380">
        <f>SUM(Q66:Q70)</f>
        <v>1436.7716161544015</v>
      </c>
      <c r="R71" s="123">
        <f t="shared" ref="R71:AF71" si="43">SUM(R66:R70)</f>
        <v>1439.7483858406429</v>
      </c>
      <c r="S71" s="123">
        <f t="shared" si="43"/>
        <v>1442.7409515795412</v>
      </c>
      <c r="T71" s="123">
        <f t="shared" si="43"/>
        <v>1445.7493975658958</v>
      </c>
      <c r="U71" s="123">
        <f t="shared" si="43"/>
        <v>1448.7738084448658</v>
      </c>
      <c r="V71" s="123">
        <f t="shared" si="43"/>
        <v>1451.8142693143841</v>
      </c>
      <c r="W71" s="123">
        <f t="shared" si="43"/>
        <v>1454.8708657275868</v>
      </c>
      <c r="X71" s="123">
        <f t="shared" si="43"/>
        <v>1457.9436836952548</v>
      </c>
      <c r="Y71" s="123">
        <f t="shared" si="43"/>
        <v>1461.0328096882686</v>
      </c>
      <c r="Z71" s="123">
        <f t="shared" si="43"/>
        <v>1464.1383306400769</v>
      </c>
      <c r="AA71" s="123">
        <f t="shared" si="43"/>
        <v>1467.2603339491775</v>
      </c>
      <c r="AB71" s="123">
        <f t="shared" si="43"/>
        <v>1470.3989074816116</v>
      </c>
      <c r="AC71" s="381">
        <f t="shared" si="43"/>
        <v>17441.243360081709</v>
      </c>
      <c r="AD71" s="381">
        <f t="shared" si="43"/>
        <v>28163.060465011546</v>
      </c>
      <c r="AE71" s="381">
        <f t="shared" si="43"/>
        <v>40297.576103111598</v>
      </c>
      <c r="AF71" s="381">
        <f t="shared" si="43"/>
        <v>53854.856165990153</v>
      </c>
    </row>
    <row r="72" spans="1:32" ht="13.15" customHeight="1" x14ac:dyDescent="0.2">
      <c r="A72" s="732" t="s">
        <v>115</v>
      </c>
      <c r="B72" s="590" t="s">
        <v>78</v>
      </c>
      <c r="C72" s="604"/>
      <c r="D72" s="121">
        <v>0</v>
      </c>
      <c r="E72" s="121">
        <v>0</v>
      </c>
      <c r="F72" s="121">
        <v>0</v>
      </c>
      <c r="G72" s="121">
        <v>0</v>
      </c>
      <c r="H72" s="121">
        <v>0</v>
      </c>
      <c r="I72" s="121">
        <v>0</v>
      </c>
      <c r="J72" s="121">
        <v>0</v>
      </c>
      <c r="K72" s="121">
        <v>0</v>
      </c>
      <c r="L72" s="121">
        <v>0</v>
      </c>
      <c r="M72" s="121">
        <v>0</v>
      </c>
      <c r="N72" s="121">
        <v>0</v>
      </c>
      <c r="O72" s="121">
        <v>0</v>
      </c>
      <c r="P72" s="383">
        <f t="shared" si="40"/>
        <v>0</v>
      </c>
      <c r="Q72" s="382">
        <v>0</v>
      </c>
      <c r="R72" s="121">
        <v>0</v>
      </c>
      <c r="S72" s="121">
        <v>0</v>
      </c>
      <c r="T72" s="121">
        <v>0</v>
      </c>
      <c r="U72" s="121">
        <v>0</v>
      </c>
      <c r="V72" s="121">
        <v>0</v>
      </c>
      <c r="W72" s="121">
        <v>0</v>
      </c>
      <c r="X72" s="121">
        <v>0</v>
      </c>
      <c r="Y72" s="121">
        <v>0</v>
      </c>
      <c r="Z72" s="121">
        <v>0</v>
      </c>
      <c r="AA72" s="121">
        <v>0</v>
      </c>
      <c r="AB72" s="121">
        <v>0</v>
      </c>
      <c r="AC72" s="383">
        <f t="shared" si="41"/>
        <v>0</v>
      </c>
      <c r="AD72" s="384">
        <v>0</v>
      </c>
      <c r="AE72" s="384">
        <v>0</v>
      </c>
      <c r="AF72" s="384">
        <v>0</v>
      </c>
    </row>
    <row r="73" spans="1:32" ht="13.15" customHeight="1" x14ac:dyDescent="0.2">
      <c r="A73" s="733"/>
      <c r="B73" s="593" t="s">
        <v>300</v>
      </c>
      <c r="C73" s="605"/>
      <c r="D73" s="594">
        <f>'7. Funding Plan'!E28</f>
        <v>5000</v>
      </c>
      <c r="E73" s="594">
        <v>0</v>
      </c>
      <c r="F73" s="594">
        <v>0</v>
      </c>
      <c r="G73" s="594">
        <v>0</v>
      </c>
      <c r="H73" s="594">
        <v>0</v>
      </c>
      <c r="I73" s="594">
        <v>0</v>
      </c>
      <c r="J73" s="594">
        <v>0</v>
      </c>
      <c r="K73" s="594">
        <v>0</v>
      </c>
      <c r="L73" s="594">
        <v>0</v>
      </c>
      <c r="M73" s="594">
        <v>0</v>
      </c>
      <c r="N73" s="594">
        <v>0</v>
      </c>
      <c r="O73" s="594">
        <v>0</v>
      </c>
      <c r="P73" s="383">
        <f t="shared" si="40"/>
        <v>5000</v>
      </c>
      <c r="Q73" s="121">
        <v>0</v>
      </c>
      <c r="R73" s="121">
        <v>0</v>
      </c>
      <c r="S73" s="121">
        <v>0</v>
      </c>
      <c r="T73" s="121">
        <v>0</v>
      </c>
      <c r="U73" s="121">
        <v>0</v>
      </c>
      <c r="V73" s="121">
        <v>0</v>
      </c>
      <c r="W73" s="121">
        <v>0</v>
      </c>
      <c r="X73" s="121">
        <v>0</v>
      </c>
      <c r="Y73" s="121">
        <v>0</v>
      </c>
      <c r="Z73" s="121">
        <v>0</v>
      </c>
      <c r="AA73" s="121">
        <v>0</v>
      </c>
      <c r="AB73" s="121">
        <v>0</v>
      </c>
      <c r="AC73" s="383">
        <f t="shared" si="41"/>
        <v>0</v>
      </c>
      <c r="AD73" s="384"/>
      <c r="AE73" s="384"/>
      <c r="AF73" s="384"/>
    </row>
    <row r="74" spans="1:32" ht="12.75" x14ac:dyDescent="0.2">
      <c r="A74" s="733"/>
      <c r="B74" s="590" t="s">
        <v>79</v>
      </c>
      <c r="C74" s="604"/>
      <c r="D74" s="121">
        <v>0</v>
      </c>
      <c r="E74" s="121">
        <v>0</v>
      </c>
      <c r="F74" s="121">
        <v>0</v>
      </c>
      <c r="G74" s="121">
        <v>0</v>
      </c>
      <c r="H74" s="121">
        <v>0</v>
      </c>
      <c r="I74" s="121">
        <v>0</v>
      </c>
      <c r="J74" s="121">
        <v>0</v>
      </c>
      <c r="K74" s="121">
        <v>0</v>
      </c>
      <c r="L74" s="121">
        <v>0</v>
      </c>
      <c r="M74" s="121">
        <v>0</v>
      </c>
      <c r="N74" s="121">
        <v>0</v>
      </c>
      <c r="O74" s="121">
        <v>0</v>
      </c>
      <c r="P74" s="383">
        <f t="shared" si="40"/>
        <v>0</v>
      </c>
      <c r="Q74" s="382">
        <v>0</v>
      </c>
      <c r="R74" s="121">
        <v>0</v>
      </c>
      <c r="S74" s="121">
        <v>0</v>
      </c>
      <c r="T74" s="121">
        <v>0</v>
      </c>
      <c r="U74" s="121">
        <v>0</v>
      </c>
      <c r="V74" s="121">
        <v>0</v>
      </c>
      <c r="W74" s="121">
        <v>0</v>
      </c>
      <c r="X74" s="121">
        <v>0</v>
      </c>
      <c r="Y74" s="121">
        <v>0</v>
      </c>
      <c r="Z74" s="121">
        <v>0</v>
      </c>
      <c r="AA74" s="121">
        <v>0</v>
      </c>
      <c r="AB74" s="121">
        <v>0</v>
      </c>
      <c r="AC74" s="383">
        <f t="shared" si="41"/>
        <v>0</v>
      </c>
      <c r="AD74" s="384">
        <v>0</v>
      </c>
      <c r="AE74" s="384">
        <v>0</v>
      </c>
      <c r="AF74" s="384"/>
    </row>
    <row r="75" spans="1:32" ht="12.75" x14ac:dyDescent="0.2">
      <c r="A75" s="733"/>
      <c r="B75" s="590" t="s">
        <v>189</v>
      </c>
      <c r="C75" s="606">
        <f>+'7. Funding Plan'!C18+P70-P75</f>
        <v>0</v>
      </c>
      <c r="D75" s="658">
        <f>D70</f>
        <v>2500</v>
      </c>
      <c r="E75" s="121">
        <v>0</v>
      </c>
      <c r="F75" s="121">
        <v>0</v>
      </c>
      <c r="G75" s="121">
        <v>0</v>
      </c>
      <c r="H75" s="121">
        <v>0</v>
      </c>
      <c r="I75" s="121">
        <v>0</v>
      </c>
      <c r="J75" s="121">
        <v>0</v>
      </c>
      <c r="K75" s="121">
        <v>0</v>
      </c>
      <c r="L75" s="121">
        <v>0</v>
      </c>
      <c r="M75" s="121">
        <v>0</v>
      </c>
      <c r="N75" s="121">
        <v>0</v>
      </c>
      <c r="O75" s="121">
        <v>0</v>
      </c>
      <c r="P75" s="383">
        <f t="shared" si="40"/>
        <v>2500</v>
      </c>
      <c r="Q75" s="382">
        <v>0</v>
      </c>
      <c r="R75" s="121">
        <v>0</v>
      </c>
      <c r="S75" s="121">
        <v>0</v>
      </c>
      <c r="T75" s="121">
        <v>0</v>
      </c>
      <c r="U75" s="121">
        <v>0</v>
      </c>
      <c r="V75" s="121">
        <v>0</v>
      </c>
      <c r="W75" s="121">
        <v>0</v>
      </c>
      <c r="X75" s="121">
        <v>0</v>
      </c>
      <c r="Y75" s="121"/>
      <c r="Z75" s="121">
        <v>0</v>
      </c>
      <c r="AA75" s="121">
        <v>0</v>
      </c>
      <c r="AB75" s="121">
        <v>0</v>
      </c>
      <c r="AC75" s="383">
        <f t="shared" si="41"/>
        <v>0</v>
      </c>
      <c r="AD75" s="384">
        <v>0</v>
      </c>
      <c r="AE75" s="384">
        <v>0</v>
      </c>
      <c r="AF75" s="384">
        <v>0</v>
      </c>
    </row>
    <row r="76" spans="1:32" ht="13.5" thickBot="1" x14ac:dyDescent="0.25">
      <c r="A76" s="733"/>
      <c r="B76" s="591" t="s">
        <v>117</v>
      </c>
      <c r="C76" s="607"/>
      <c r="D76" s="128">
        <f>'12. Loan Detail'!D29-'12. Loan Detail'!D23</f>
        <v>569.04557276927108</v>
      </c>
      <c r="E76" s="128">
        <f>'12. Loan Detail'!E29-'12. Loan Detail'!E23</f>
        <v>572.04740439438899</v>
      </c>
      <c r="F76" s="128">
        <f>'12. Loan Detail'!F29-'12. Loan Detail'!F23</f>
        <v>575.06516053014013</v>
      </c>
      <c r="G76" s="128">
        <f>'12. Loan Detail'!G29-'12. Loan Detail'!G23</f>
        <v>578.09892603674575</v>
      </c>
      <c r="H76" s="128">
        <f>'12. Loan Detail'!H29-'12. Loan Detail'!H23</f>
        <v>581.14878622826393</v>
      </c>
      <c r="I76" s="128">
        <f>'12. Loan Detail'!I29-'12. Loan Detail'!I23</f>
        <v>584.21482687502282</v>
      </c>
      <c r="J76" s="128">
        <f>'12. Loan Detail'!J29-'12. Loan Detail'!J23</f>
        <v>587.29713420606845</v>
      </c>
      <c r="K76" s="128">
        <f>'12. Loan Detail'!K29-'12. Loan Detail'!K23</f>
        <v>590.39579491162453</v>
      </c>
      <c r="L76" s="128">
        <f>'12. Loan Detail'!L29-'12. Loan Detail'!L23</f>
        <v>593.51089614556599</v>
      </c>
      <c r="M76" s="128">
        <f>'12. Loan Detail'!M29-'12. Loan Detail'!M23</f>
        <v>596.64252552790572</v>
      </c>
      <c r="N76" s="128">
        <f>'12. Loan Detail'!N29-'12. Loan Detail'!N23</f>
        <v>599.79077114729535</v>
      </c>
      <c r="O76" s="128">
        <f>'12. Loan Detail'!O29-'12. Loan Detail'!O23</f>
        <v>602.95572156353762</v>
      </c>
      <c r="P76" s="386">
        <f t="shared" si="40"/>
        <v>7030.2135203358312</v>
      </c>
      <c r="Q76" s="385">
        <f>'12. Loan Detail'!Q29-'12. Loan Detail'!Q23</f>
        <v>606.13746581011458</v>
      </c>
      <c r="R76" s="128">
        <f>'12. Loan Detail'!R29-'12. Loan Detail'!R23</f>
        <v>609.33609339672751</v>
      </c>
      <c r="S76" s="128">
        <f>'12. Loan Detail'!S29-'12. Loan Detail'!S23</f>
        <v>612.55169431185197</v>
      </c>
      <c r="T76" s="128">
        <f>'12. Loan Detail'!T29-'12. Loan Detail'!T23</f>
        <v>615.78435902530498</v>
      </c>
      <c r="U76" s="128">
        <f>'12. Loan Detail'!U29-'12. Loan Detail'!U23</f>
        <v>619.03417849082803</v>
      </c>
      <c r="V76" s="128">
        <f>'12. Loan Detail'!V29-'12. Loan Detail'!V23</f>
        <v>622.30124414868135</v>
      </c>
      <c r="W76" s="128">
        <f>'12. Loan Detail'!W29-'12. Loan Detail'!W23</f>
        <v>625.58564792825518</v>
      </c>
      <c r="X76" s="128">
        <f>'12. Loan Detail'!X29-'12. Loan Detail'!X23</f>
        <v>628.8874822506923</v>
      </c>
      <c r="Y76" s="128">
        <f>'12. Loan Detail'!Y29-'12. Loan Detail'!Y23</f>
        <v>632.20684003152678</v>
      </c>
      <c r="Z76" s="128">
        <f>'12. Loan Detail'!Z29-'12. Loan Detail'!Z23</f>
        <v>635.54381468333509</v>
      </c>
      <c r="AA76" s="128">
        <f>'12. Loan Detail'!AA29-'12. Loan Detail'!AA23</f>
        <v>638.89850011840304</v>
      </c>
      <c r="AB76" s="128">
        <f>'12. Loan Detail'!AB29-'12. Loan Detail'!AB23</f>
        <v>642.2709907514062</v>
      </c>
      <c r="AC76" s="386">
        <f t="shared" si="41"/>
        <v>7488.5383109471268</v>
      </c>
      <c r="AD76" s="386">
        <f>'12. Loan Detail'!AP29-'12. Loan Detail'!AP23</f>
        <v>7976.9183545473516</v>
      </c>
      <c r="AE76" s="386">
        <f>'12. Loan Detail'!BC29-'12. Loan Detail'!BC23</f>
        <v>918.42737864100059</v>
      </c>
      <c r="AF76" s="386">
        <f>'12. Loan Detail'!BB29-'12. Loan Detail'!BP23</f>
        <v>78.298013368669586</v>
      </c>
    </row>
    <row r="77" spans="1:32" ht="13.5" thickBot="1" x14ac:dyDescent="0.25">
      <c r="A77" s="734"/>
      <c r="B77" s="592" t="s">
        <v>101</v>
      </c>
      <c r="C77" s="592"/>
      <c r="D77" s="127">
        <f>SUM(D72:D76)</f>
        <v>8069.0455727692715</v>
      </c>
      <c r="E77" s="127">
        <f>SUM(E72:E76)</f>
        <v>572.04740439438899</v>
      </c>
      <c r="F77" s="127">
        <f>SUM(F72:F76)</f>
        <v>575.06516053014013</v>
      </c>
      <c r="G77" s="127">
        <f>SUM(G72:G76)</f>
        <v>578.09892603674575</v>
      </c>
      <c r="H77" s="127">
        <f t="shared" ref="H77:O77" si="44">SUM(H72:H76)</f>
        <v>581.14878622826393</v>
      </c>
      <c r="I77" s="127">
        <f t="shared" si="44"/>
        <v>584.21482687502282</v>
      </c>
      <c r="J77" s="127">
        <f t="shared" si="44"/>
        <v>587.29713420606845</v>
      </c>
      <c r="K77" s="127">
        <f t="shared" si="44"/>
        <v>590.39579491162453</v>
      </c>
      <c r="L77" s="127">
        <f t="shared" si="44"/>
        <v>593.51089614556599</v>
      </c>
      <c r="M77" s="127">
        <f t="shared" si="44"/>
        <v>596.64252552790572</v>
      </c>
      <c r="N77" s="127">
        <f t="shared" si="44"/>
        <v>599.79077114729535</v>
      </c>
      <c r="O77" s="127">
        <f t="shared" si="44"/>
        <v>602.95572156353762</v>
      </c>
      <c r="P77" s="388">
        <f t="shared" si="40"/>
        <v>14530.213520335832</v>
      </c>
      <c r="Q77" s="387">
        <f t="shared" ref="Q77:AF77" si="45">SUM(Q72:Q76)</f>
        <v>606.13746581011458</v>
      </c>
      <c r="R77" s="127">
        <f t="shared" si="45"/>
        <v>609.33609339672751</v>
      </c>
      <c r="S77" s="127">
        <f t="shared" si="45"/>
        <v>612.55169431185197</v>
      </c>
      <c r="T77" s="127">
        <f t="shared" si="45"/>
        <v>615.78435902530498</v>
      </c>
      <c r="U77" s="127">
        <f t="shared" si="45"/>
        <v>619.03417849082803</v>
      </c>
      <c r="V77" s="127">
        <f t="shared" si="45"/>
        <v>622.30124414868135</v>
      </c>
      <c r="W77" s="127">
        <f t="shared" si="45"/>
        <v>625.58564792825518</v>
      </c>
      <c r="X77" s="127">
        <f t="shared" si="45"/>
        <v>628.8874822506923</v>
      </c>
      <c r="Y77" s="127">
        <f t="shared" si="45"/>
        <v>632.20684003152678</v>
      </c>
      <c r="Z77" s="127">
        <f t="shared" si="45"/>
        <v>635.54381468333509</v>
      </c>
      <c r="AA77" s="127">
        <f t="shared" si="45"/>
        <v>638.89850011840304</v>
      </c>
      <c r="AB77" s="127">
        <f t="shared" si="45"/>
        <v>642.2709907514062</v>
      </c>
      <c r="AC77" s="388">
        <f t="shared" si="41"/>
        <v>7488.5383109471268</v>
      </c>
      <c r="AD77" s="388">
        <f t="shared" si="45"/>
        <v>7976.9183545473516</v>
      </c>
      <c r="AE77" s="388">
        <f t="shared" si="45"/>
        <v>918.42737864100059</v>
      </c>
      <c r="AF77" s="388">
        <f t="shared" si="45"/>
        <v>78.298013368669586</v>
      </c>
    </row>
    <row r="78" spans="1:32" ht="12" customHeight="1" thickBot="1" x14ac:dyDescent="0.25">
      <c r="B78" s="608" t="s">
        <v>72</v>
      </c>
      <c r="C78" s="129"/>
      <c r="D78" s="130">
        <f t="shared" ref="D78:AF78" si="46">D71-D77</f>
        <v>32300.695364730727</v>
      </c>
      <c r="E78" s="130">
        <f t="shared" si="46"/>
        <v>0.99289212021699313</v>
      </c>
      <c r="F78" s="130">
        <f t="shared" si="46"/>
        <v>0.78357952536759967</v>
      </c>
      <c r="G78" s="130">
        <f t="shared" si="46"/>
        <v>0.57315651509532017</v>
      </c>
      <c r="H78" s="130">
        <f t="shared" si="46"/>
        <v>0.36161717198797305</v>
      </c>
      <c r="I78" s="130">
        <f t="shared" si="46"/>
        <v>0.14895554698648539</v>
      </c>
      <c r="J78" s="130">
        <f t="shared" si="46"/>
        <v>-6.4834340785296263E-2</v>
      </c>
      <c r="K78" s="130">
        <f t="shared" si="46"/>
        <v>-0.27975850419079507</v>
      </c>
      <c r="L78" s="130">
        <f t="shared" si="46"/>
        <v>-0.49582298825259841</v>
      </c>
      <c r="M78" s="130">
        <f t="shared" si="46"/>
        <v>-0.71303387032423871</v>
      </c>
      <c r="N78" s="130">
        <f t="shared" si="46"/>
        <v>-0.93139726026538483</v>
      </c>
      <c r="O78" s="130">
        <f t="shared" si="46"/>
        <v>-1.1509193006137366</v>
      </c>
      <c r="P78" s="390">
        <f>SUM(D78:O78)</f>
        <v>32299.919799345946</v>
      </c>
      <c r="Q78" s="389">
        <f t="shared" si="46"/>
        <v>830.63415034428692</v>
      </c>
      <c r="R78" s="130">
        <f t="shared" si="46"/>
        <v>830.41229244391536</v>
      </c>
      <c r="S78" s="130">
        <f t="shared" si="46"/>
        <v>830.18925726768919</v>
      </c>
      <c r="T78" s="130">
        <f t="shared" si="46"/>
        <v>829.96503854059085</v>
      </c>
      <c r="U78" s="130">
        <f t="shared" si="46"/>
        <v>829.73962995403781</v>
      </c>
      <c r="V78" s="130">
        <f t="shared" si="46"/>
        <v>829.51302516570274</v>
      </c>
      <c r="W78" s="130">
        <f t="shared" si="46"/>
        <v>829.28521779933158</v>
      </c>
      <c r="X78" s="130">
        <f t="shared" si="46"/>
        <v>829.05620144456248</v>
      </c>
      <c r="Y78" s="130">
        <f t="shared" si="46"/>
        <v>828.82596965674179</v>
      </c>
      <c r="Z78" s="130">
        <f t="shared" si="46"/>
        <v>828.59451595674182</v>
      </c>
      <c r="AA78" s="130">
        <f t="shared" si="46"/>
        <v>828.36183383077446</v>
      </c>
      <c r="AB78" s="130">
        <f t="shared" si="46"/>
        <v>828.12791673020536</v>
      </c>
      <c r="AC78" s="390">
        <f t="shared" si="46"/>
        <v>9952.7050491345835</v>
      </c>
      <c r="AD78" s="390">
        <f t="shared" si="46"/>
        <v>20186.142110464192</v>
      </c>
      <c r="AE78" s="390">
        <f t="shared" si="46"/>
        <v>39379.1487244706</v>
      </c>
      <c r="AF78" s="390">
        <f t="shared" si="46"/>
        <v>53776.558152621481</v>
      </c>
    </row>
    <row r="79" spans="1:32" ht="12" customHeight="1" x14ac:dyDescent="0.2">
      <c r="B79" s="609" t="s">
        <v>74</v>
      </c>
      <c r="C79" s="610"/>
      <c r="D79" s="164">
        <f t="shared" ref="D79:AF79" si="47">D65+D78</f>
        <v>73050.695364730724</v>
      </c>
      <c r="E79" s="164">
        <f t="shared" si="47"/>
        <v>73051.688256850946</v>
      </c>
      <c r="F79" s="164">
        <f t="shared" si="47"/>
        <v>73052.47183637631</v>
      </c>
      <c r="G79" s="164">
        <f t="shared" si="47"/>
        <v>73053.044992891402</v>
      </c>
      <c r="H79" s="164">
        <f t="shared" si="47"/>
        <v>73053.406610063394</v>
      </c>
      <c r="I79" s="164">
        <f t="shared" si="47"/>
        <v>73053.555565610382</v>
      </c>
      <c r="J79" s="164">
        <f t="shared" si="47"/>
        <v>73053.490731269601</v>
      </c>
      <c r="K79" s="164">
        <f t="shared" si="47"/>
        <v>73053.210972765417</v>
      </c>
      <c r="L79" s="164">
        <f t="shared" si="47"/>
        <v>73052.71514977717</v>
      </c>
      <c r="M79" s="164">
        <f t="shared" si="47"/>
        <v>73052.002115906842</v>
      </c>
      <c r="N79" s="164">
        <f t="shared" si="47"/>
        <v>73051.070718646573</v>
      </c>
      <c r="O79" s="164">
        <f t="shared" si="47"/>
        <v>73049.919799345953</v>
      </c>
      <c r="P79" s="391">
        <f>O79</f>
        <v>73049.919799345953</v>
      </c>
      <c r="Q79" s="461">
        <f t="shared" si="47"/>
        <v>73880.553949690235</v>
      </c>
      <c r="R79" s="164">
        <f t="shared" si="47"/>
        <v>74710.966242134149</v>
      </c>
      <c r="S79" s="164">
        <f t="shared" si="47"/>
        <v>75541.155499401837</v>
      </c>
      <c r="T79" s="164">
        <f t="shared" si="47"/>
        <v>76371.120537942421</v>
      </c>
      <c r="U79" s="164">
        <f t="shared" si="47"/>
        <v>77200.860167896462</v>
      </c>
      <c r="V79" s="164">
        <f t="shared" si="47"/>
        <v>78030.373193062158</v>
      </c>
      <c r="W79" s="164">
        <f t="shared" si="47"/>
        <v>78859.658410861492</v>
      </c>
      <c r="X79" s="164">
        <f t="shared" si="47"/>
        <v>79688.714612306052</v>
      </c>
      <c r="Y79" s="164">
        <f t="shared" si="47"/>
        <v>80517.540581962792</v>
      </c>
      <c r="Z79" s="164">
        <f t="shared" si="47"/>
        <v>81346.135097919527</v>
      </c>
      <c r="AA79" s="164">
        <f t="shared" si="47"/>
        <v>82174.496931750298</v>
      </c>
      <c r="AB79" s="164">
        <f t="shared" si="47"/>
        <v>83002.624848480496</v>
      </c>
      <c r="AC79" s="391">
        <f t="shared" si="47"/>
        <v>83002.62484848054</v>
      </c>
      <c r="AD79" s="392">
        <f t="shared" si="47"/>
        <v>103188.76695894473</v>
      </c>
      <c r="AE79" s="392">
        <f t="shared" si="47"/>
        <v>142567.91568341534</v>
      </c>
      <c r="AF79" s="392">
        <f t="shared" si="47"/>
        <v>196344.47383603681</v>
      </c>
    </row>
    <row r="80" spans="1:32" s="9" customFormat="1" ht="12" customHeight="1" x14ac:dyDescent="0.2">
      <c r="B80" s="35" t="s">
        <v>273</v>
      </c>
      <c r="C80" s="611"/>
      <c r="D80" s="458">
        <f>'7. Funding Plan'!C18+'8. P&amp;L and Cashflow'!D70-'8. P&amp;L and Cashflow'!D75</f>
        <v>0</v>
      </c>
      <c r="E80" s="458">
        <f>D80+E70-E75</f>
        <v>0</v>
      </c>
      <c r="F80" s="458">
        <f t="shared" ref="F80:AF80" si="48">E80+F70-F75</f>
        <v>0</v>
      </c>
      <c r="G80" s="458">
        <f t="shared" si="48"/>
        <v>0</v>
      </c>
      <c r="H80" s="458">
        <f t="shared" si="48"/>
        <v>0</v>
      </c>
      <c r="I80" s="458">
        <f t="shared" si="48"/>
        <v>0</v>
      </c>
      <c r="J80" s="458">
        <f t="shared" si="48"/>
        <v>0</v>
      </c>
      <c r="K80" s="458">
        <f t="shared" si="48"/>
        <v>0</v>
      </c>
      <c r="L80" s="458">
        <f t="shared" si="48"/>
        <v>0</v>
      </c>
      <c r="M80" s="458">
        <f t="shared" si="48"/>
        <v>0</v>
      </c>
      <c r="N80" s="458">
        <f t="shared" si="48"/>
        <v>0</v>
      </c>
      <c r="O80" s="458">
        <f t="shared" si="48"/>
        <v>0</v>
      </c>
      <c r="P80" s="459">
        <f>O80</f>
        <v>0</v>
      </c>
      <c r="Q80" s="462">
        <f t="shared" si="48"/>
        <v>0</v>
      </c>
      <c r="R80" s="458">
        <f t="shared" si="48"/>
        <v>0</v>
      </c>
      <c r="S80" s="458">
        <f t="shared" si="48"/>
        <v>0</v>
      </c>
      <c r="T80" s="458">
        <f t="shared" si="48"/>
        <v>0</v>
      </c>
      <c r="U80" s="458">
        <f t="shared" si="48"/>
        <v>0</v>
      </c>
      <c r="V80" s="458">
        <f t="shared" si="48"/>
        <v>0</v>
      </c>
      <c r="W80" s="458">
        <f t="shared" si="48"/>
        <v>0</v>
      </c>
      <c r="X80" s="458">
        <f t="shared" si="48"/>
        <v>0</v>
      </c>
      <c r="Y80" s="458">
        <f t="shared" si="48"/>
        <v>0</v>
      </c>
      <c r="Z80" s="458">
        <f t="shared" si="48"/>
        <v>0</v>
      </c>
      <c r="AA80" s="458">
        <f t="shared" si="48"/>
        <v>0</v>
      </c>
      <c r="AB80" s="458">
        <f t="shared" si="48"/>
        <v>0</v>
      </c>
      <c r="AC80" s="459">
        <f>AB80</f>
        <v>0</v>
      </c>
      <c r="AD80" s="460">
        <f t="shared" si="48"/>
        <v>0</v>
      </c>
      <c r="AE80" s="460">
        <f t="shared" si="48"/>
        <v>0</v>
      </c>
      <c r="AF80" s="460">
        <f t="shared" si="48"/>
        <v>0</v>
      </c>
    </row>
  </sheetData>
  <mergeCells count="3">
    <mergeCell ref="A1:B1"/>
    <mergeCell ref="A66:A71"/>
    <mergeCell ref="A72:A77"/>
  </mergeCells>
  <phoneticPr fontId="10" type="noConversion"/>
  <conditionalFormatting sqref="C3 B65:C65">
    <cfRule type="expression" dxfId="47" priority="75">
      <formula>B3&gt;0</formula>
    </cfRule>
    <cfRule type="expression" dxfId="46" priority="76">
      <formula>B3&lt;0</formula>
    </cfRule>
  </conditionalFormatting>
  <conditionalFormatting sqref="D3:O3">
    <cfRule type="expression" dxfId="45" priority="73">
      <formula>D3&gt;0</formula>
    </cfRule>
    <cfRule type="expression" dxfId="44" priority="74">
      <formula>D3&lt;0</formula>
    </cfRule>
  </conditionalFormatting>
  <conditionalFormatting sqref="C4:C5">
    <cfRule type="expression" dxfId="43" priority="71">
      <formula>C4&gt;0</formula>
    </cfRule>
    <cfRule type="expression" dxfId="42" priority="72">
      <formula>C4&lt;0</formula>
    </cfRule>
  </conditionalFormatting>
  <conditionalFormatting sqref="D4:O5">
    <cfRule type="expression" dxfId="41" priority="69">
      <formula>D4&gt;0</formula>
    </cfRule>
    <cfRule type="expression" dxfId="40" priority="70">
      <formula>D4&lt;0</formula>
    </cfRule>
  </conditionalFormatting>
  <conditionalFormatting sqref="D65">
    <cfRule type="expression" dxfId="39" priority="67">
      <formula>D65&gt;0</formula>
    </cfRule>
    <cfRule type="expression" dxfId="38" priority="68">
      <formula>D65&lt;0</formula>
    </cfRule>
  </conditionalFormatting>
  <conditionalFormatting sqref="E65:O65">
    <cfRule type="expression" dxfId="37" priority="65">
      <formula>E65&gt;0</formula>
    </cfRule>
    <cfRule type="expression" dxfId="36" priority="66">
      <formula>E65&lt;0</formula>
    </cfRule>
  </conditionalFormatting>
  <conditionalFormatting sqref="A65">
    <cfRule type="expression" dxfId="35" priority="59">
      <formula>A65&gt;0</formula>
    </cfRule>
    <cfRule type="expression" dxfId="34" priority="60">
      <formula>A65&lt;0</formula>
    </cfRule>
  </conditionalFormatting>
  <conditionalFormatting sqref="D79:M79 O79">
    <cfRule type="expression" dxfId="33" priority="45">
      <formula>D79&gt;0</formula>
    </cfRule>
    <cfRule type="expression" dxfId="32" priority="46">
      <formula>D79&lt;0</formula>
    </cfRule>
  </conditionalFormatting>
  <conditionalFormatting sqref="N79">
    <cfRule type="expression" dxfId="31" priority="43">
      <formula>N79&gt;0</formula>
    </cfRule>
    <cfRule type="expression" dxfId="30" priority="44">
      <formula>N79&lt;0</formula>
    </cfRule>
  </conditionalFormatting>
  <conditionalFormatting sqref="Q3:AC3">
    <cfRule type="expression" dxfId="29" priority="39">
      <formula>Q3&gt;0</formula>
    </cfRule>
    <cfRule type="expression" dxfId="28" priority="40">
      <formula>Q3&lt;0</formula>
    </cfRule>
  </conditionalFormatting>
  <conditionalFormatting sqref="Q4:AC5">
    <cfRule type="expression" dxfId="27" priority="37">
      <formula>Q4&gt;0</formula>
    </cfRule>
    <cfRule type="expression" dxfId="26" priority="38">
      <formula>Q4&lt;0</formula>
    </cfRule>
  </conditionalFormatting>
  <conditionalFormatting sqref="Q65">
    <cfRule type="expression" dxfId="25" priority="35">
      <formula>Q65&gt;0</formula>
    </cfRule>
    <cfRule type="expression" dxfId="24" priority="36">
      <formula>Q65&lt;0</formula>
    </cfRule>
  </conditionalFormatting>
  <conditionalFormatting sqref="R65:AC65">
    <cfRule type="expression" dxfId="23" priority="33">
      <formula>R65&gt;0</formula>
    </cfRule>
    <cfRule type="expression" dxfId="22" priority="34">
      <formula>R65&lt;0</formula>
    </cfRule>
  </conditionalFormatting>
  <conditionalFormatting sqref="Q79:Z79 AB79:AC79">
    <cfRule type="expression" dxfId="21" priority="31">
      <formula>Q79&gt;0</formula>
    </cfRule>
    <cfRule type="expression" dxfId="20" priority="32">
      <formula>Q79&lt;0</formula>
    </cfRule>
  </conditionalFormatting>
  <conditionalFormatting sqref="AA79">
    <cfRule type="expression" dxfId="19" priority="29">
      <formula>AA79&gt;0</formula>
    </cfRule>
    <cfRule type="expression" dxfId="18" priority="30">
      <formula>AA79&lt;0</formula>
    </cfRule>
  </conditionalFormatting>
  <conditionalFormatting sqref="AD65:AF65">
    <cfRule type="expression" dxfId="17" priority="25">
      <formula>AD65&gt;0</formula>
    </cfRule>
    <cfRule type="expression" dxfId="16" priority="26">
      <formula>AD65&lt;0</formula>
    </cfRule>
  </conditionalFormatting>
  <conditionalFormatting sqref="AD5:AF5">
    <cfRule type="expression" dxfId="15" priority="27">
      <formula>AD5&gt;0</formula>
    </cfRule>
    <cfRule type="expression" dxfId="14" priority="28">
      <formula>AD5&lt;0</formula>
    </cfRule>
  </conditionalFormatting>
  <conditionalFormatting sqref="AD79:AF79">
    <cfRule type="expression" dxfId="13" priority="23">
      <formula>AD79&gt;0</formula>
    </cfRule>
    <cfRule type="expression" dxfId="12" priority="24">
      <formula>AD79&lt;0</formula>
    </cfRule>
  </conditionalFormatting>
  <conditionalFormatting sqref="AD3:AF3">
    <cfRule type="expression" dxfId="11" priority="21">
      <formula>AD3&gt;0</formula>
    </cfRule>
    <cfRule type="expression" dxfId="10" priority="22">
      <formula>AD3&lt;0</formula>
    </cfRule>
  </conditionalFormatting>
  <conditionalFormatting sqref="AD4:AF4">
    <cfRule type="expression" dxfId="9" priority="19">
      <formula>AD4&gt;0</formula>
    </cfRule>
    <cfRule type="expression" dxfId="8" priority="20">
      <formula>AD4&lt;0</formula>
    </cfRule>
  </conditionalFormatting>
  <conditionalFormatting sqref="P3">
    <cfRule type="expression" dxfId="7" priority="7">
      <formula>P3&gt;0</formula>
    </cfRule>
    <cfRule type="expression" dxfId="6" priority="8">
      <formula>P3&lt;0</formula>
    </cfRule>
  </conditionalFormatting>
  <conditionalFormatting sqref="P4:P5">
    <cfRule type="expression" dxfId="5" priority="5">
      <formula>P4&gt;0</formula>
    </cfRule>
    <cfRule type="expression" dxfId="4" priority="6">
      <formula>P4&lt;0</formula>
    </cfRule>
  </conditionalFormatting>
  <conditionalFormatting sqref="P65">
    <cfRule type="expression" dxfId="3" priority="3">
      <formula>P65&gt;0</formula>
    </cfRule>
    <cfRule type="expression" dxfId="2" priority="4">
      <formula>P65&lt;0</formula>
    </cfRule>
  </conditionalFormatting>
  <conditionalFormatting sqref="P79">
    <cfRule type="expression" dxfId="1" priority="1">
      <formula>P79&gt;0</formula>
    </cfRule>
    <cfRule type="expression" dxfId="0" priority="2">
      <formula>P79&lt;0</formula>
    </cfRule>
  </conditionalFormatting>
  <pageMargins left="0.2" right="0.2" top="0.4" bottom="0.4" header="0.1" footer="0.1"/>
  <pageSetup scale="43" orientation="landscape" r:id="rId1"/>
  <headerFooter>
    <oddHeader>&amp;CRapid Business Plan&amp;LTab 8: Profit and Loss</oddHeader>
    <oddFooter>&amp;L&amp;D&amp;CHeartland Information Research, Inc</oddFooter>
  </headerFooter>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
  <sheetViews>
    <sheetView showGridLines="0" workbookViewId="0"/>
  </sheetViews>
  <sheetFormatPr defaultColWidth="8.85546875" defaultRowHeight="12.75" x14ac:dyDescent="0.2"/>
  <sheetData/>
  <printOptions horizontalCentered="1"/>
  <pageMargins left="0.34" right="0.28000000000000003"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dimension ref="A2:N42"/>
  <sheetViews>
    <sheetView showGridLines="0" workbookViewId="0"/>
  </sheetViews>
  <sheetFormatPr defaultColWidth="18.7109375" defaultRowHeight="12.75" customHeight="1" x14ac:dyDescent="0.2"/>
  <cols>
    <col min="1" max="1" width="24.28515625" bestFit="1" customWidth="1"/>
    <col min="2" max="2" width="10.42578125" bestFit="1" customWidth="1"/>
    <col min="3" max="3" width="7.28515625" style="160" customWidth="1"/>
    <col min="4" max="6" width="8.85546875" customWidth="1"/>
  </cols>
  <sheetData>
    <row r="2" spans="9:14" ht="12.75" customHeight="1" x14ac:dyDescent="0.2">
      <c r="I2" s="61"/>
      <c r="J2" s="1"/>
      <c r="K2" s="1"/>
      <c r="L2" s="1"/>
      <c r="M2" s="1"/>
      <c r="N2" s="1"/>
    </row>
    <row r="3" spans="9:14" ht="12.75" customHeight="1" x14ac:dyDescent="0.2">
      <c r="I3" s="43"/>
      <c r="J3" s="18"/>
      <c r="K3" s="18"/>
      <c r="L3" s="18"/>
      <c r="M3" s="18"/>
      <c r="N3" s="18"/>
    </row>
    <row r="4" spans="9:14" ht="12.75" customHeight="1" x14ac:dyDescent="0.2">
      <c r="I4" s="43"/>
      <c r="J4" s="18"/>
      <c r="K4" s="18"/>
      <c r="L4" s="18"/>
      <c r="M4" s="18"/>
      <c r="N4" s="18"/>
    </row>
    <row r="5" spans="9:14" ht="12.75" customHeight="1" x14ac:dyDescent="0.2">
      <c r="I5" s="43"/>
      <c r="J5" s="18"/>
      <c r="K5" s="18"/>
      <c r="L5" s="18"/>
      <c r="M5" s="18"/>
      <c r="N5" s="18"/>
    </row>
    <row r="6" spans="9:14" ht="12.75" customHeight="1" x14ac:dyDescent="0.2">
      <c r="I6" s="43"/>
      <c r="J6" s="18"/>
      <c r="K6" s="18"/>
      <c r="L6" s="18"/>
      <c r="M6" s="18"/>
      <c r="N6" s="18"/>
    </row>
    <row r="7" spans="9:14" ht="12.75" customHeight="1" x14ac:dyDescent="0.2">
      <c r="I7" s="43"/>
      <c r="J7" s="18"/>
      <c r="K7" s="18"/>
      <c r="L7" s="18"/>
      <c r="M7" s="18"/>
      <c r="N7" s="18"/>
    </row>
    <row r="8" spans="9:14" ht="12.75" customHeight="1" x14ac:dyDescent="0.2">
      <c r="I8" s="43"/>
      <c r="J8" s="18"/>
      <c r="K8" s="18"/>
      <c r="L8" s="18"/>
      <c r="M8" s="18"/>
      <c r="N8" s="18"/>
    </row>
    <row r="9" spans="9:14" ht="12.75" customHeight="1" x14ac:dyDescent="0.2">
      <c r="I9" s="43"/>
      <c r="J9" s="18"/>
      <c r="K9" s="18"/>
      <c r="L9" s="18"/>
      <c r="M9" s="18"/>
      <c r="N9" s="18"/>
    </row>
    <row r="10" spans="9:14" ht="12.75" customHeight="1" x14ac:dyDescent="0.2">
      <c r="I10" s="43"/>
      <c r="J10" s="18"/>
      <c r="K10" s="18"/>
      <c r="L10" s="18"/>
      <c r="M10" s="18"/>
      <c r="N10" s="18"/>
    </row>
    <row r="19" spans="1:3" ht="13.5" thickBot="1" x14ac:dyDescent="0.25">
      <c r="A19" s="2" t="s">
        <v>106</v>
      </c>
    </row>
    <row r="20" spans="1:3" ht="21" customHeight="1" thickBot="1" x14ac:dyDescent="0.25">
      <c r="A20" s="59" t="s">
        <v>10</v>
      </c>
      <c r="B20" s="161">
        <f>'2. Operating Budget'!J5</f>
        <v>16421.706979166662</v>
      </c>
    </row>
    <row r="21" spans="1:3" x14ac:dyDescent="0.2">
      <c r="A21" s="3" t="str">
        <f>'8. P&amp;L and Cashflow'!B13</f>
        <v>Worker Wages</v>
      </c>
      <c r="B21" s="76">
        <f>'2. Operating Budget'!J7</f>
        <v>5342.708333333333</v>
      </c>
      <c r="C21" s="162">
        <f>B21/B$20</f>
        <v>0.32534427389986559</v>
      </c>
    </row>
    <row r="22" spans="1:3" x14ac:dyDescent="0.2">
      <c r="A22" s="3" t="str">
        <f>'8. P&amp;L and Cashflow'!B14</f>
        <v>Owner Pay</v>
      </c>
      <c r="B22" s="76">
        <f>'2. Operating Budget'!J8</f>
        <v>3000</v>
      </c>
      <c r="C22" s="162">
        <f t="shared" ref="C22:C42" si="0">B22/B$20</f>
        <v>0.18268502804281789</v>
      </c>
    </row>
    <row r="23" spans="1:3" x14ac:dyDescent="0.2">
      <c r="A23" s="163">
        <f>'8. P&amp;L and Cashflow'!B15</f>
        <v>0.15</v>
      </c>
      <c r="B23" s="76">
        <f>'2. Operating Budget'!J9</f>
        <v>1251.40625</v>
      </c>
      <c r="C23" s="162">
        <f t="shared" si="0"/>
        <v>7.6204395291402535E-2</v>
      </c>
    </row>
    <row r="24" spans="1:3" x14ac:dyDescent="0.2">
      <c r="A24" s="3" t="str">
        <f>'8. P&amp;L and Cashflow'!B16</f>
        <v>Workers Comp</v>
      </c>
      <c r="B24" s="76">
        <f>'2. Operating Budget'!J10</f>
        <v>161.8840625</v>
      </c>
      <c r="C24" s="162">
        <f t="shared" si="0"/>
        <v>9.8579314991659277E-3</v>
      </c>
    </row>
    <row r="25" spans="1:3" x14ac:dyDescent="0.2">
      <c r="A25" s="3" t="str">
        <f>'8. P&amp;L and Cashflow'!B17</f>
        <v>Rent</v>
      </c>
      <c r="B25" s="76">
        <f>'2. Operating Budget'!J11</f>
        <v>400</v>
      </c>
      <c r="C25" s="162">
        <f t="shared" si="0"/>
        <v>2.4358003739042386E-2</v>
      </c>
    </row>
    <row r="26" spans="1:3" x14ac:dyDescent="0.2">
      <c r="A26" s="3" t="str">
        <f>'8. P&amp;L and Cashflow'!B18</f>
        <v>Phone/Internet/Cell</v>
      </c>
      <c r="B26" s="76">
        <f>'2. Operating Budget'!J12</f>
        <v>150</v>
      </c>
      <c r="C26" s="162">
        <f t="shared" si="0"/>
        <v>9.1342514021408947E-3</v>
      </c>
    </row>
    <row r="27" spans="1:3" x14ac:dyDescent="0.2">
      <c r="A27" s="3" t="str">
        <f>'8. P&amp;L and Cashflow'!B19</f>
        <v>Electricity/Heat/Water</v>
      </c>
      <c r="B27" s="76">
        <f>'2. Operating Budget'!J13</f>
        <v>0</v>
      </c>
      <c r="C27" s="162">
        <f t="shared" si="0"/>
        <v>0</v>
      </c>
    </row>
    <row r="28" spans="1:3" x14ac:dyDescent="0.2">
      <c r="A28" s="3" t="str">
        <f>'8. P&amp;L and Cashflow'!B20</f>
        <v>Dumpster/Waste</v>
      </c>
      <c r="B28" s="76">
        <f>'2. Operating Budget'!J14</f>
        <v>0</v>
      </c>
      <c r="C28" s="162">
        <f t="shared" si="0"/>
        <v>0</v>
      </c>
    </row>
    <row r="29" spans="1:3" x14ac:dyDescent="0.2">
      <c r="A29" s="3" t="str">
        <f>'8. P&amp;L and Cashflow'!B21</f>
        <v>Liability Insurance</v>
      </c>
      <c r="B29" s="76">
        <f>'2. Operating Budget'!J15</f>
        <v>41.666666666666664</v>
      </c>
      <c r="C29" s="162">
        <f t="shared" si="0"/>
        <v>2.5372920561502485E-3</v>
      </c>
    </row>
    <row r="30" spans="1:3" x14ac:dyDescent="0.2">
      <c r="A30" s="3" t="str">
        <f>'8. P&amp;L and Cashflow'!B22</f>
        <v>Software/Online Subscriptions</v>
      </c>
      <c r="B30" s="76">
        <f>'2. Operating Budget'!J16</f>
        <v>129</v>
      </c>
      <c r="C30" s="162">
        <f t="shared" si="0"/>
        <v>7.855456205841169E-3</v>
      </c>
    </row>
    <row r="31" spans="1:3" x14ac:dyDescent="0.2">
      <c r="A31" s="3" t="str">
        <f>'8. P&amp;L and Cashflow'!B23</f>
        <v>Office Supplies</v>
      </c>
      <c r="B31" s="76">
        <f>'2. Operating Budget'!J17</f>
        <v>40</v>
      </c>
      <c r="C31" s="162">
        <f t="shared" si="0"/>
        <v>2.4358003739042389E-3</v>
      </c>
    </row>
    <row r="32" spans="1:3" x14ac:dyDescent="0.2">
      <c r="A32" s="3" t="str">
        <f>'8. P&amp;L and Cashflow'!B24</f>
        <v/>
      </c>
      <c r="B32" s="76">
        <f>'2. Operating Budget'!J18</f>
        <v>0</v>
      </c>
      <c r="C32" s="162">
        <f t="shared" si="0"/>
        <v>0</v>
      </c>
    </row>
    <row r="33" spans="1:3" x14ac:dyDescent="0.2">
      <c r="A33" s="3" t="str">
        <f>'8. P&amp;L and Cashflow'!B25</f>
        <v/>
      </c>
      <c r="B33" s="76">
        <f>'2. Operating Budget'!J19</f>
        <v>0</v>
      </c>
      <c r="C33" s="162">
        <f t="shared" si="0"/>
        <v>0</v>
      </c>
    </row>
    <row r="34" spans="1:3" x14ac:dyDescent="0.2">
      <c r="A34" s="3" t="str">
        <f>'8. P&amp;L and Cashflow'!B26</f>
        <v>Website Hosting/Updates</v>
      </c>
      <c r="B34" s="76">
        <f>'2. Operating Budget'!J20</f>
        <v>85</v>
      </c>
      <c r="C34" s="162">
        <f t="shared" si="0"/>
        <v>5.1760757945465072E-3</v>
      </c>
    </row>
    <row r="35" spans="1:3" x14ac:dyDescent="0.2">
      <c r="A35" s="3" t="str">
        <f>'8. P&amp;L and Cashflow'!B27</f>
        <v>Misc Advertising Expenses</v>
      </c>
      <c r="B35" s="76">
        <f>'2. Operating Budget'!J21</f>
        <v>213.70833333333334</v>
      </c>
      <c r="C35" s="162">
        <f t="shared" si="0"/>
        <v>1.3013770955994626E-2</v>
      </c>
    </row>
    <row r="36" spans="1:3" x14ac:dyDescent="0.2">
      <c r="A36" s="3" t="str">
        <f>'8. P&amp;L and Cashflow'!B28</f>
        <v>GoogleAd Words</v>
      </c>
      <c r="B36" s="76">
        <f>'2. Operating Budget'!J22</f>
        <v>231.85416666666666</v>
      </c>
      <c r="C36" s="162">
        <f t="shared" si="0"/>
        <v>1.4118761646448057E-2</v>
      </c>
    </row>
    <row r="37" spans="1:3" x14ac:dyDescent="0.2">
      <c r="A37" s="3" t="str">
        <f>'8. P&amp;L and Cashflow'!B47</f>
        <v/>
      </c>
      <c r="B37" s="76">
        <f>'2. Operating Budget'!J23</f>
        <v>2137.0833333333335</v>
      </c>
      <c r="C37" s="162">
        <f t="shared" si="0"/>
        <v>0.13013770955994625</v>
      </c>
    </row>
    <row r="38" spans="1:3" x14ac:dyDescent="0.2">
      <c r="A38" s="3" t="str">
        <f>'8. P&amp;L and Cashflow'!B48</f>
        <v/>
      </c>
      <c r="B38" s="76">
        <f>'2. Operating Budget'!J24</f>
        <v>106.85416666666667</v>
      </c>
      <c r="C38" s="162">
        <f t="shared" si="0"/>
        <v>6.5068854779973132E-3</v>
      </c>
    </row>
    <row r="39" spans="1:3" x14ac:dyDescent="0.2">
      <c r="A39" s="3" t="str">
        <f>'8. P&amp;L and Cashflow'!B49</f>
        <v/>
      </c>
      <c r="B39" s="76">
        <f>'2. Operating Budget'!J25</f>
        <v>166.66666666666666</v>
      </c>
      <c r="C39" s="162">
        <f t="shared" si="0"/>
        <v>1.0149168224600994E-2</v>
      </c>
    </row>
    <row r="40" spans="1:3" x14ac:dyDescent="0.2">
      <c r="A40" s="3" t="str">
        <f>'8. P&amp;L and Cashflow'!B50</f>
        <v>Other</v>
      </c>
      <c r="B40" s="76">
        <f>'2. Operating Budget'!J26</f>
        <v>416.66666666666669</v>
      </c>
      <c r="C40" s="162">
        <f t="shared" si="0"/>
        <v>2.5372920561502487E-2</v>
      </c>
    </row>
    <row r="41" spans="1:3" x14ac:dyDescent="0.2">
      <c r="A41" s="3" t="str">
        <f>'8. P&amp;L and Cashflow'!B51</f>
        <v>Depreciation</v>
      </c>
      <c r="B41" s="5">
        <f>'8. P&amp;L and Cashflow'!C51/12</f>
        <v>115.80714285714286</v>
      </c>
      <c r="C41" s="162">
        <f t="shared" si="0"/>
        <v>7.0520770468052545E-3</v>
      </c>
    </row>
    <row r="42" spans="1:3" x14ac:dyDescent="0.2">
      <c r="A42" s="3">
        <f>'8. P&amp;L and Cashflow'!B52</f>
        <v>0</v>
      </c>
      <c r="B42" s="5">
        <f>'8. P&amp;L and Cashflow'!C52/12</f>
        <v>0</v>
      </c>
      <c r="C42" s="162">
        <f t="shared" si="0"/>
        <v>0</v>
      </c>
    </row>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pageSetUpPr fitToPage="1"/>
  </sheetPr>
  <dimension ref="A1:AF39"/>
  <sheetViews>
    <sheetView zoomScaleNormal="100" zoomScalePageLayoutView="40" workbookViewId="0">
      <pane xSplit="3" ySplit="7" topLeftCell="D8" activePane="bottomRight" state="frozenSplit"/>
      <selection pane="topRight" activeCell="E1" sqref="E1"/>
      <selection pane="bottomLeft" activeCell="A19" sqref="A19"/>
      <selection pane="bottomRight" activeCell="D8" sqref="D8"/>
    </sheetView>
  </sheetViews>
  <sheetFormatPr defaultColWidth="8.85546875" defaultRowHeight="12.75" x14ac:dyDescent="0.2"/>
  <cols>
    <col min="1" max="1" width="8.85546875" style="9"/>
    <col min="2" max="2" width="33" style="9" bestFit="1" customWidth="1"/>
    <col min="3" max="3" width="14.7109375" style="9" customWidth="1"/>
    <col min="4" max="32" width="10.7109375" style="9" customWidth="1"/>
    <col min="33" max="16384" width="8.85546875" style="9"/>
  </cols>
  <sheetData>
    <row r="1" spans="1:32" x14ac:dyDescent="0.2">
      <c r="A1" s="9" t="str">
        <f>'0. Basic Info'!D11</f>
        <v>My Business</v>
      </c>
      <c r="C1" s="9" t="s">
        <v>251</v>
      </c>
    </row>
    <row r="2" spans="1:32" hidden="1" x14ac:dyDescent="0.2"/>
    <row r="3" spans="1:32" hidden="1" x14ac:dyDescent="0.2"/>
    <row r="4" spans="1:32" customFormat="1" ht="15" hidden="1" x14ac:dyDescent="0.2">
      <c r="A4" s="476"/>
      <c r="B4" s="476"/>
      <c r="C4" s="476"/>
      <c r="D4" s="475">
        <f t="shared" ref="D4:O4" si="0">DAY(DATE(YEAR(D8),MONTH(D8)+1,1)-1)</f>
        <v>31</v>
      </c>
      <c r="E4" s="475">
        <f t="shared" si="0"/>
        <v>28</v>
      </c>
      <c r="F4" s="475">
        <f t="shared" si="0"/>
        <v>31</v>
      </c>
      <c r="G4" s="475">
        <f t="shared" si="0"/>
        <v>30</v>
      </c>
      <c r="H4" s="475">
        <f t="shared" si="0"/>
        <v>31</v>
      </c>
      <c r="I4" s="475">
        <f t="shared" si="0"/>
        <v>30</v>
      </c>
      <c r="J4" s="475">
        <f t="shared" si="0"/>
        <v>31</v>
      </c>
      <c r="K4" s="475">
        <f t="shared" si="0"/>
        <v>31</v>
      </c>
      <c r="L4" s="475">
        <f t="shared" si="0"/>
        <v>30</v>
      </c>
      <c r="M4" s="475">
        <f t="shared" si="0"/>
        <v>31</v>
      </c>
      <c r="N4" s="475">
        <f t="shared" si="0"/>
        <v>30</v>
      </c>
      <c r="O4" s="475">
        <f t="shared" si="0"/>
        <v>31</v>
      </c>
      <c r="P4" s="475">
        <f t="shared" ref="P4:AF4" si="1">DAY(DATE(YEAR(P6),MONTH(P6)+1,1)-1)</f>
        <v>31</v>
      </c>
      <c r="Q4" s="475">
        <f t="shared" ref="Q4:AB4" si="2">DAY(DATE(YEAR(Q8),MONTH(Q8)+1,1)-1)</f>
        <v>31</v>
      </c>
      <c r="R4" s="475">
        <f t="shared" si="2"/>
        <v>29</v>
      </c>
      <c r="S4" s="475">
        <f t="shared" si="2"/>
        <v>31</v>
      </c>
      <c r="T4" s="475">
        <f t="shared" si="2"/>
        <v>30</v>
      </c>
      <c r="U4" s="475">
        <f t="shared" si="2"/>
        <v>31</v>
      </c>
      <c r="V4" s="475">
        <f t="shared" si="2"/>
        <v>30</v>
      </c>
      <c r="W4" s="475">
        <f t="shared" si="2"/>
        <v>31</v>
      </c>
      <c r="X4" s="475">
        <f t="shared" si="2"/>
        <v>31</v>
      </c>
      <c r="Y4" s="475">
        <f t="shared" si="2"/>
        <v>30</v>
      </c>
      <c r="Z4" s="475">
        <f t="shared" si="2"/>
        <v>31</v>
      </c>
      <c r="AA4" s="475">
        <f t="shared" si="2"/>
        <v>30</v>
      </c>
      <c r="AB4" s="475">
        <f t="shared" si="2"/>
        <v>31</v>
      </c>
      <c r="AC4" s="475">
        <f t="shared" si="1"/>
        <v>31</v>
      </c>
      <c r="AD4" s="475">
        <f t="shared" si="1"/>
        <v>31</v>
      </c>
      <c r="AE4" s="475">
        <f t="shared" si="1"/>
        <v>31</v>
      </c>
      <c r="AF4" s="475">
        <f t="shared" si="1"/>
        <v>31</v>
      </c>
    </row>
    <row r="5" spans="1:32" hidden="1" x14ac:dyDescent="0.2"/>
    <row r="7" spans="1:32" ht="13.5" thickBot="1" x14ac:dyDescent="0.25">
      <c r="C7" s="59"/>
    </row>
    <row r="8" spans="1:32" ht="13.5" thickBot="1" x14ac:dyDescent="0.25">
      <c r="B8" s="477" t="s">
        <v>277</v>
      </c>
      <c r="C8" s="500" t="s">
        <v>272</v>
      </c>
      <c r="D8" s="483">
        <f>DATEVALUE('0. Basic Info'!D17&amp;"/1/"&amp;'0. Basic Info'!D16)</f>
        <v>43466</v>
      </c>
      <c r="E8" s="478">
        <f t="shared" ref="E8:O8" si="3">D8+D4</f>
        <v>43497</v>
      </c>
      <c r="F8" s="478">
        <f t="shared" si="3"/>
        <v>43525</v>
      </c>
      <c r="G8" s="478">
        <f t="shared" si="3"/>
        <v>43556</v>
      </c>
      <c r="H8" s="478">
        <f t="shared" si="3"/>
        <v>43586</v>
      </c>
      <c r="I8" s="478">
        <f t="shared" si="3"/>
        <v>43617</v>
      </c>
      <c r="J8" s="478">
        <f t="shared" si="3"/>
        <v>43647</v>
      </c>
      <c r="K8" s="478">
        <f t="shared" si="3"/>
        <v>43678</v>
      </c>
      <c r="L8" s="478">
        <f t="shared" si="3"/>
        <v>43709</v>
      </c>
      <c r="M8" s="478">
        <f t="shared" si="3"/>
        <v>43739</v>
      </c>
      <c r="N8" s="478">
        <f t="shared" si="3"/>
        <v>43770</v>
      </c>
      <c r="O8" s="490">
        <f t="shared" si="3"/>
        <v>43800</v>
      </c>
      <c r="P8" s="491">
        <f>IF('0. Basic Info'!$D$17=1,'0. Basic Info'!$D$16,"Year 1")</f>
        <v>2019</v>
      </c>
      <c r="Q8" s="483">
        <f>O8+O4</f>
        <v>43831</v>
      </c>
      <c r="R8" s="478">
        <f t="shared" ref="R8:AB8" si="4">Q8+Q4</f>
        <v>43862</v>
      </c>
      <c r="S8" s="478">
        <f t="shared" si="4"/>
        <v>43891</v>
      </c>
      <c r="T8" s="478">
        <f t="shared" si="4"/>
        <v>43922</v>
      </c>
      <c r="U8" s="478">
        <f t="shared" si="4"/>
        <v>43952</v>
      </c>
      <c r="V8" s="478">
        <f t="shared" si="4"/>
        <v>43983</v>
      </c>
      <c r="W8" s="478">
        <f t="shared" si="4"/>
        <v>44013</v>
      </c>
      <c r="X8" s="478">
        <f t="shared" si="4"/>
        <v>44044</v>
      </c>
      <c r="Y8" s="478">
        <f t="shared" si="4"/>
        <v>44075</v>
      </c>
      <c r="Z8" s="478">
        <f t="shared" si="4"/>
        <v>44105</v>
      </c>
      <c r="AA8" s="478">
        <f t="shared" si="4"/>
        <v>44136</v>
      </c>
      <c r="AB8" s="490">
        <f t="shared" si="4"/>
        <v>44166</v>
      </c>
      <c r="AC8" s="491">
        <f>IF('0. Basic Info'!$D$17=1,'0. Basic Info'!$D$16+1,"Year 2")</f>
        <v>2020</v>
      </c>
      <c r="AD8" s="491">
        <f>IF('0. Basic Info'!$D$17=1,'0. Basic Info'!$D$16+2,"Year 3")</f>
        <v>2021</v>
      </c>
      <c r="AE8" s="491">
        <f>IF('0. Basic Info'!$D$17=1,'0. Basic Info'!$D$16+3,"Year 4")</f>
        <v>2022</v>
      </c>
      <c r="AF8" s="491">
        <f>IF('0. Basic Info'!$D$17=1,'0. Basic Info'!$D$16+4,"Year 5")</f>
        <v>2023</v>
      </c>
    </row>
    <row r="9" spans="1:32" x14ac:dyDescent="0.2">
      <c r="B9" s="463" t="s">
        <v>252</v>
      </c>
      <c r="C9" s="501"/>
      <c r="D9" s="496"/>
      <c r="E9" s="484"/>
      <c r="F9" s="484"/>
      <c r="G9" s="484"/>
      <c r="H9" s="484"/>
      <c r="I9" s="484"/>
      <c r="J9" s="484"/>
      <c r="K9" s="484"/>
      <c r="L9" s="484"/>
      <c r="M9" s="484"/>
      <c r="N9" s="484"/>
      <c r="O9" s="479"/>
      <c r="P9" s="492"/>
      <c r="Q9" s="496"/>
      <c r="R9" s="484"/>
      <c r="S9" s="484"/>
      <c r="T9" s="484"/>
      <c r="U9" s="484"/>
      <c r="V9" s="484"/>
      <c r="W9" s="484"/>
      <c r="X9" s="484"/>
      <c r="Y9" s="484"/>
      <c r="Z9" s="484"/>
      <c r="AA9" s="484"/>
      <c r="AB9" s="479"/>
      <c r="AC9" s="492"/>
      <c r="AD9" s="492"/>
      <c r="AE9" s="492"/>
      <c r="AF9" s="492"/>
    </row>
    <row r="10" spans="1:32" x14ac:dyDescent="0.2">
      <c r="B10" s="472" t="s">
        <v>253</v>
      </c>
      <c r="C10" s="488">
        <v>0</v>
      </c>
      <c r="D10" s="497">
        <f>'8. P&amp;L and Cashflow'!D79</f>
        <v>73050.695364730724</v>
      </c>
      <c r="E10" s="485">
        <f>'8. P&amp;L and Cashflow'!E79</f>
        <v>73051.688256850946</v>
      </c>
      <c r="F10" s="485">
        <f>'8. P&amp;L and Cashflow'!F79</f>
        <v>73052.47183637631</v>
      </c>
      <c r="G10" s="485">
        <f>'8. P&amp;L and Cashflow'!G79</f>
        <v>73053.044992891402</v>
      </c>
      <c r="H10" s="485">
        <f>'8. P&amp;L and Cashflow'!H79</f>
        <v>73053.406610063394</v>
      </c>
      <c r="I10" s="485">
        <f>'8. P&amp;L and Cashflow'!I79</f>
        <v>73053.555565610382</v>
      </c>
      <c r="J10" s="485">
        <f>'8. P&amp;L and Cashflow'!J79</f>
        <v>73053.490731269601</v>
      </c>
      <c r="K10" s="485">
        <f>'8. P&amp;L and Cashflow'!K79</f>
        <v>73053.210972765417</v>
      </c>
      <c r="L10" s="485">
        <f>'8. P&amp;L and Cashflow'!L79</f>
        <v>73052.71514977717</v>
      </c>
      <c r="M10" s="485">
        <f>'8. P&amp;L and Cashflow'!M79</f>
        <v>73052.002115906842</v>
      </c>
      <c r="N10" s="485">
        <f>'8. P&amp;L and Cashflow'!N79</f>
        <v>73051.070718646573</v>
      </c>
      <c r="O10" s="480">
        <f>'8. P&amp;L and Cashflow'!O79</f>
        <v>73049.919799345953</v>
      </c>
      <c r="P10" s="493">
        <f>O10</f>
        <v>73049.919799345953</v>
      </c>
      <c r="Q10" s="497">
        <f>'8. P&amp;L and Cashflow'!Q79</f>
        <v>73880.553949690235</v>
      </c>
      <c r="R10" s="485">
        <f>'8. P&amp;L and Cashflow'!R79</f>
        <v>74710.966242134149</v>
      </c>
      <c r="S10" s="485">
        <f>'8. P&amp;L and Cashflow'!S79</f>
        <v>75541.155499401837</v>
      </c>
      <c r="T10" s="485">
        <f>'8. P&amp;L and Cashflow'!T79</f>
        <v>76371.120537942421</v>
      </c>
      <c r="U10" s="485">
        <f>'8. P&amp;L and Cashflow'!U79</f>
        <v>77200.860167896462</v>
      </c>
      <c r="V10" s="485">
        <f>'8. P&amp;L and Cashflow'!V79</f>
        <v>78030.373193062158</v>
      </c>
      <c r="W10" s="485">
        <f>'8. P&amp;L and Cashflow'!W79</f>
        <v>78859.658410861492</v>
      </c>
      <c r="X10" s="485">
        <f>'8. P&amp;L and Cashflow'!X79</f>
        <v>79688.714612306052</v>
      </c>
      <c r="Y10" s="485">
        <f>'8. P&amp;L and Cashflow'!Y79</f>
        <v>80517.540581962792</v>
      </c>
      <c r="Z10" s="485">
        <f>'8. P&amp;L and Cashflow'!Z79</f>
        <v>81346.135097919527</v>
      </c>
      <c r="AA10" s="485">
        <f>'8. P&amp;L and Cashflow'!AA79</f>
        <v>82174.496931750298</v>
      </c>
      <c r="AB10" s="480">
        <f>'8. P&amp;L and Cashflow'!AB79</f>
        <v>83002.624848480496</v>
      </c>
      <c r="AC10" s="493">
        <f>AB10</f>
        <v>83002.624848480496</v>
      </c>
      <c r="AD10" s="493">
        <f>'8. P&amp;L and Cashflow'!AD79</f>
        <v>103188.76695894473</v>
      </c>
      <c r="AE10" s="493">
        <f>'8. P&amp;L and Cashflow'!AE79</f>
        <v>142567.91568341534</v>
      </c>
      <c r="AF10" s="493">
        <f>'8. P&amp;L and Cashflow'!AF79</f>
        <v>196344.47383603681</v>
      </c>
    </row>
    <row r="11" spans="1:32" x14ac:dyDescent="0.2">
      <c r="B11" s="472" t="s">
        <v>254</v>
      </c>
      <c r="C11" s="488">
        <v>0</v>
      </c>
      <c r="D11" s="497">
        <v>0</v>
      </c>
      <c r="E11" s="485">
        <v>0</v>
      </c>
      <c r="F11" s="485">
        <v>0</v>
      </c>
      <c r="G11" s="485">
        <v>0</v>
      </c>
      <c r="H11" s="485">
        <v>0</v>
      </c>
      <c r="I11" s="485">
        <v>0</v>
      </c>
      <c r="J11" s="485">
        <v>0</v>
      </c>
      <c r="K11" s="485">
        <v>0</v>
      </c>
      <c r="L11" s="485">
        <v>0</v>
      </c>
      <c r="M11" s="485">
        <v>0</v>
      </c>
      <c r="N11" s="485">
        <v>0</v>
      </c>
      <c r="O11" s="480">
        <v>0</v>
      </c>
      <c r="P11" s="493">
        <v>0</v>
      </c>
      <c r="Q11" s="497">
        <v>0</v>
      </c>
      <c r="R11" s="485">
        <v>0</v>
      </c>
      <c r="S11" s="485">
        <v>0</v>
      </c>
      <c r="T11" s="485">
        <v>0</v>
      </c>
      <c r="U11" s="485">
        <v>0</v>
      </c>
      <c r="V11" s="485">
        <v>0</v>
      </c>
      <c r="W11" s="485">
        <v>0</v>
      </c>
      <c r="X11" s="485">
        <v>0</v>
      </c>
      <c r="Y11" s="485">
        <v>0</v>
      </c>
      <c r="Z11" s="485">
        <v>0</v>
      </c>
      <c r="AA11" s="485">
        <v>0</v>
      </c>
      <c r="AB11" s="480">
        <v>0</v>
      </c>
      <c r="AC11" s="493">
        <v>0</v>
      </c>
      <c r="AD11" s="493">
        <v>0</v>
      </c>
      <c r="AE11" s="493">
        <v>0</v>
      </c>
      <c r="AF11" s="493">
        <v>0</v>
      </c>
    </row>
    <row r="12" spans="1:32" x14ac:dyDescent="0.2">
      <c r="B12" s="472" t="s">
        <v>255</v>
      </c>
      <c r="C12" s="488">
        <v>0</v>
      </c>
      <c r="D12" s="497">
        <f>'8. P&amp;L and Cashflow'!D73</f>
        <v>5000</v>
      </c>
      <c r="E12" s="485">
        <f>'8. P&amp;L and Cashflow'!E73</f>
        <v>0</v>
      </c>
      <c r="F12" s="485">
        <f>'8. P&amp;L and Cashflow'!F73</f>
        <v>0</v>
      </c>
      <c r="G12" s="485">
        <f>'8. P&amp;L and Cashflow'!G73</f>
        <v>0</v>
      </c>
      <c r="H12" s="485">
        <f>'8. P&amp;L and Cashflow'!H73</f>
        <v>0</v>
      </c>
      <c r="I12" s="485">
        <f>'8. P&amp;L and Cashflow'!I73</f>
        <v>0</v>
      </c>
      <c r="J12" s="485">
        <f>'8. P&amp;L and Cashflow'!J73</f>
        <v>0</v>
      </c>
      <c r="K12" s="485">
        <f>'8. P&amp;L and Cashflow'!K73</f>
        <v>0</v>
      </c>
      <c r="L12" s="485">
        <f>'8. P&amp;L and Cashflow'!L73</f>
        <v>0</v>
      </c>
      <c r="M12" s="485">
        <f>'8. P&amp;L and Cashflow'!M73</f>
        <v>0</v>
      </c>
      <c r="N12" s="485">
        <f>'8. P&amp;L and Cashflow'!N73</f>
        <v>0</v>
      </c>
      <c r="O12" s="480">
        <f>'8. P&amp;L and Cashflow'!O73</f>
        <v>0</v>
      </c>
      <c r="P12" s="493">
        <f>O12</f>
        <v>0</v>
      </c>
      <c r="Q12" s="497">
        <f>'8. P&amp;L and Cashflow'!Q73</f>
        <v>0</v>
      </c>
      <c r="R12" s="485">
        <f>'8. P&amp;L and Cashflow'!R73</f>
        <v>0</v>
      </c>
      <c r="S12" s="485">
        <f>'8. P&amp;L and Cashflow'!S73</f>
        <v>0</v>
      </c>
      <c r="T12" s="485">
        <f>'8. P&amp;L and Cashflow'!T73</f>
        <v>0</v>
      </c>
      <c r="U12" s="485">
        <f>'8. P&amp;L and Cashflow'!U73</f>
        <v>0</v>
      </c>
      <c r="V12" s="485">
        <f>'8. P&amp;L and Cashflow'!V73</f>
        <v>0</v>
      </c>
      <c r="W12" s="485">
        <f>'8. P&amp;L and Cashflow'!W73</f>
        <v>0</v>
      </c>
      <c r="X12" s="485">
        <f>'8. P&amp;L and Cashflow'!X73</f>
        <v>0</v>
      </c>
      <c r="Y12" s="485">
        <f>'8. P&amp;L and Cashflow'!Y73</f>
        <v>0</v>
      </c>
      <c r="Z12" s="485">
        <f>'8. P&amp;L and Cashflow'!Z73</f>
        <v>0</v>
      </c>
      <c r="AA12" s="485">
        <f>'8. P&amp;L and Cashflow'!AA73</f>
        <v>0</v>
      </c>
      <c r="AB12" s="480">
        <f>'8. P&amp;L and Cashflow'!AB73</f>
        <v>0</v>
      </c>
      <c r="AC12" s="493">
        <f>'8. P&amp;L and Cashflow'!AC73</f>
        <v>0</v>
      </c>
      <c r="AD12" s="493">
        <f>'8. P&amp;L and Cashflow'!AD73</f>
        <v>0</v>
      </c>
      <c r="AE12" s="493">
        <f>'8. P&amp;L and Cashflow'!AE73</f>
        <v>0</v>
      </c>
      <c r="AF12" s="493">
        <f>'8. P&amp;L and Cashflow'!AF73</f>
        <v>0</v>
      </c>
    </row>
    <row r="13" spans="1:32" hidden="1" x14ac:dyDescent="0.2">
      <c r="B13" s="62" t="s">
        <v>256</v>
      </c>
      <c r="C13" s="488">
        <v>0</v>
      </c>
      <c r="D13" s="497">
        <v>0</v>
      </c>
      <c r="E13" s="485">
        <v>0</v>
      </c>
      <c r="F13" s="485">
        <v>0</v>
      </c>
      <c r="G13" s="485">
        <v>0</v>
      </c>
      <c r="H13" s="485">
        <v>0</v>
      </c>
      <c r="I13" s="485">
        <v>0</v>
      </c>
      <c r="J13" s="485">
        <v>0</v>
      </c>
      <c r="K13" s="485">
        <v>0</v>
      </c>
      <c r="L13" s="485">
        <v>0</v>
      </c>
      <c r="M13" s="485">
        <v>0</v>
      </c>
      <c r="N13" s="485">
        <v>0</v>
      </c>
      <c r="O13" s="480">
        <v>0</v>
      </c>
      <c r="P13" s="493">
        <v>0</v>
      </c>
      <c r="Q13" s="497">
        <v>0</v>
      </c>
      <c r="R13" s="485">
        <v>0</v>
      </c>
      <c r="S13" s="485">
        <v>0</v>
      </c>
      <c r="T13" s="485">
        <v>0</v>
      </c>
      <c r="U13" s="485">
        <v>0</v>
      </c>
      <c r="V13" s="485">
        <v>0</v>
      </c>
      <c r="W13" s="485">
        <v>0</v>
      </c>
      <c r="X13" s="485">
        <v>0</v>
      </c>
      <c r="Y13" s="485">
        <v>0</v>
      </c>
      <c r="Z13" s="485">
        <v>0</v>
      </c>
      <c r="AA13" s="485">
        <v>0</v>
      </c>
      <c r="AB13" s="480">
        <v>0</v>
      </c>
      <c r="AC13" s="493">
        <v>0</v>
      </c>
      <c r="AD13" s="493">
        <v>0</v>
      </c>
      <c r="AE13" s="493">
        <v>0</v>
      </c>
      <c r="AF13" s="493">
        <v>0</v>
      </c>
    </row>
    <row r="14" spans="1:32" ht="13.5" thickBot="1" x14ac:dyDescent="0.25">
      <c r="B14" s="464" t="s">
        <v>257</v>
      </c>
      <c r="C14" s="489">
        <f>SUM(C10:C13)</f>
        <v>0</v>
      </c>
      <c r="D14" s="498">
        <f t="shared" ref="D14:AF14" si="5">SUM(D10:D13)</f>
        <v>78050.695364730724</v>
      </c>
      <c r="E14" s="486">
        <f t="shared" si="5"/>
        <v>73051.688256850946</v>
      </c>
      <c r="F14" s="486">
        <f t="shared" si="5"/>
        <v>73052.47183637631</v>
      </c>
      <c r="G14" s="486">
        <f t="shared" si="5"/>
        <v>73053.044992891402</v>
      </c>
      <c r="H14" s="486">
        <f t="shared" si="5"/>
        <v>73053.406610063394</v>
      </c>
      <c r="I14" s="486">
        <f t="shared" si="5"/>
        <v>73053.555565610382</v>
      </c>
      <c r="J14" s="486">
        <f t="shared" si="5"/>
        <v>73053.490731269601</v>
      </c>
      <c r="K14" s="486">
        <f t="shared" si="5"/>
        <v>73053.210972765417</v>
      </c>
      <c r="L14" s="486">
        <f t="shared" si="5"/>
        <v>73052.71514977717</v>
      </c>
      <c r="M14" s="486">
        <f t="shared" si="5"/>
        <v>73052.002115906842</v>
      </c>
      <c r="N14" s="486">
        <f t="shared" si="5"/>
        <v>73051.070718646573</v>
      </c>
      <c r="O14" s="481">
        <f t="shared" si="5"/>
        <v>73049.919799345953</v>
      </c>
      <c r="P14" s="494">
        <f t="shared" si="5"/>
        <v>73049.919799345953</v>
      </c>
      <c r="Q14" s="498">
        <f t="shared" ref="Q14" si="6">SUM(Q10:Q13)</f>
        <v>73880.553949690235</v>
      </c>
      <c r="R14" s="486">
        <f t="shared" si="5"/>
        <v>74710.966242134149</v>
      </c>
      <c r="S14" s="486">
        <f t="shared" si="5"/>
        <v>75541.155499401837</v>
      </c>
      <c r="T14" s="486">
        <f t="shared" si="5"/>
        <v>76371.120537942421</v>
      </c>
      <c r="U14" s="486">
        <f t="shared" si="5"/>
        <v>77200.860167896462</v>
      </c>
      <c r="V14" s="486">
        <f t="shared" si="5"/>
        <v>78030.373193062158</v>
      </c>
      <c r="W14" s="486">
        <f t="shared" si="5"/>
        <v>78859.658410861492</v>
      </c>
      <c r="X14" s="486">
        <f t="shared" si="5"/>
        <v>79688.714612306052</v>
      </c>
      <c r="Y14" s="486">
        <f t="shared" si="5"/>
        <v>80517.540581962792</v>
      </c>
      <c r="Z14" s="486">
        <f t="shared" si="5"/>
        <v>81346.135097919527</v>
      </c>
      <c r="AA14" s="486">
        <f t="shared" si="5"/>
        <v>82174.496931750298</v>
      </c>
      <c r="AB14" s="481">
        <f t="shared" si="5"/>
        <v>83002.624848480496</v>
      </c>
      <c r="AC14" s="494">
        <f t="shared" si="5"/>
        <v>83002.624848480496</v>
      </c>
      <c r="AD14" s="494">
        <f t="shared" si="5"/>
        <v>103188.76695894473</v>
      </c>
      <c r="AE14" s="494">
        <f t="shared" si="5"/>
        <v>142567.91568341534</v>
      </c>
      <c r="AF14" s="494">
        <f t="shared" si="5"/>
        <v>196344.47383603681</v>
      </c>
    </row>
    <row r="15" spans="1:32" x14ac:dyDescent="0.2">
      <c r="B15" s="463" t="s">
        <v>258</v>
      </c>
      <c r="C15" s="501"/>
      <c r="D15" s="496"/>
      <c r="E15" s="484"/>
      <c r="F15" s="484"/>
      <c r="G15" s="484"/>
      <c r="H15" s="484"/>
      <c r="I15" s="484"/>
      <c r="J15" s="484"/>
      <c r="K15" s="484"/>
      <c r="L15" s="484"/>
      <c r="M15" s="484"/>
      <c r="N15" s="484"/>
      <c r="O15" s="479"/>
      <c r="P15" s="492"/>
      <c r="Q15" s="496"/>
      <c r="R15" s="484"/>
      <c r="S15" s="484"/>
      <c r="T15" s="484"/>
      <c r="U15" s="484"/>
      <c r="V15" s="484"/>
      <c r="W15" s="484"/>
      <c r="X15" s="484"/>
      <c r="Y15" s="484"/>
      <c r="Z15" s="484"/>
      <c r="AA15" s="484"/>
      <c r="AB15" s="479"/>
      <c r="AC15" s="492"/>
      <c r="AD15" s="492"/>
      <c r="AE15" s="492"/>
      <c r="AF15" s="492"/>
    </row>
    <row r="16" spans="1:32" x14ac:dyDescent="0.2">
      <c r="B16" s="472" t="s">
        <v>258</v>
      </c>
      <c r="C16" s="488">
        <f>'7. Funding Plan'!C7+'7. Funding Plan'!C8</f>
        <v>13091</v>
      </c>
      <c r="D16" s="497">
        <f>C16</f>
        <v>13091</v>
      </c>
      <c r="E16" s="485">
        <f t="shared" ref="E16:AF16" si="7">D16</f>
        <v>13091</v>
      </c>
      <c r="F16" s="485">
        <f t="shared" si="7"/>
        <v>13091</v>
      </c>
      <c r="G16" s="485">
        <f t="shared" si="7"/>
        <v>13091</v>
      </c>
      <c r="H16" s="485">
        <f t="shared" si="7"/>
        <v>13091</v>
      </c>
      <c r="I16" s="485">
        <f t="shared" si="7"/>
        <v>13091</v>
      </c>
      <c r="J16" s="485">
        <f t="shared" si="7"/>
        <v>13091</v>
      </c>
      <c r="K16" s="485">
        <f t="shared" si="7"/>
        <v>13091</v>
      </c>
      <c r="L16" s="485">
        <f t="shared" si="7"/>
        <v>13091</v>
      </c>
      <c r="M16" s="485">
        <f t="shared" si="7"/>
        <v>13091</v>
      </c>
      <c r="N16" s="485">
        <f t="shared" si="7"/>
        <v>13091</v>
      </c>
      <c r="O16" s="480">
        <f t="shared" si="7"/>
        <v>13091</v>
      </c>
      <c r="P16" s="493">
        <f t="shared" si="7"/>
        <v>13091</v>
      </c>
      <c r="Q16" s="497">
        <f t="shared" si="7"/>
        <v>13091</v>
      </c>
      <c r="R16" s="485">
        <f t="shared" si="7"/>
        <v>13091</v>
      </c>
      <c r="S16" s="485">
        <f t="shared" si="7"/>
        <v>13091</v>
      </c>
      <c r="T16" s="485">
        <f t="shared" si="7"/>
        <v>13091</v>
      </c>
      <c r="U16" s="485">
        <f t="shared" si="7"/>
        <v>13091</v>
      </c>
      <c r="V16" s="485">
        <f t="shared" si="7"/>
        <v>13091</v>
      </c>
      <c r="W16" s="485">
        <f t="shared" si="7"/>
        <v>13091</v>
      </c>
      <c r="X16" s="485">
        <f t="shared" si="7"/>
        <v>13091</v>
      </c>
      <c r="Y16" s="485">
        <f t="shared" si="7"/>
        <v>13091</v>
      </c>
      <c r="Z16" s="485">
        <f t="shared" si="7"/>
        <v>13091</v>
      </c>
      <c r="AA16" s="485">
        <f t="shared" si="7"/>
        <v>13091</v>
      </c>
      <c r="AB16" s="480">
        <f t="shared" si="7"/>
        <v>13091</v>
      </c>
      <c r="AC16" s="493">
        <f t="shared" si="7"/>
        <v>13091</v>
      </c>
      <c r="AD16" s="493">
        <f t="shared" si="7"/>
        <v>13091</v>
      </c>
      <c r="AE16" s="493">
        <f t="shared" si="7"/>
        <v>13091</v>
      </c>
      <c r="AF16" s="493">
        <f t="shared" si="7"/>
        <v>13091</v>
      </c>
    </row>
    <row r="17" spans="2:32" x14ac:dyDescent="0.2">
      <c r="B17" s="472" t="s">
        <v>259</v>
      </c>
      <c r="C17" s="488">
        <f>0</f>
        <v>0</v>
      </c>
      <c r="D17" s="497">
        <f>'8. P&amp;L and Cashflow'!D51</f>
        <v>115.80714285714286</v>
      </c>
      <c r="E17" s="485">
        <f>D17+'8. P&amp;L and Cashflow'!E51</f>
        <v>231.61428571428573</v>
      </c>
      <c r="F17" s="485">
        <f>E17+'8. P&amp;L and Cashflow'!F51</f>
        <v>347.42142857142858</v>
      </c>
      <c r="G17" s="485">
        <f>F17+'8. P&amp;L and Cashflow'!G51</f>
        <v>463.22857142857146</v>
      </c>
      <c r="H17" s="485">
        <f>G17+'8. P&amp;L and Cashflow'!H51</f>
        <v>579.03571428571433</v>
      </c>
      <c r="I17" s="485">
        <f>H17+'8. P&amp;L and Cashflow'!I51</f>
        <v>694.84285714285716</v>
      </c>
      <c r="J17" s="485">
        <f>I17+'8. P&amp;L and Cashflow'!J51</f>
        <v>810.65</v>
      </c>
      <c r="K17" s="485">
        <f>J17+'8. P&amp;L and Cashflow'!K51</f>
        <v>926.4571428571428</v>
      </c>
      <c r="L17" s="485">
        <f>K17+'8. P&amp;L and Cashflow'!L51</f>
        <v>1042.2642857142857</v>
      </c>
      <c r="M17" s="485">
        <f>L17+'8. P&amp;L and Cashflow'!M51</f>
        <v>1158.0714285714287</v>
      </c>
      <c r="N17" s="485">
        <f>M17+'8. P&amp;L and Cashflow'!N51</f>
        <v>1273.8785714285716</v>
      </c>
      <c r="O17" s="480">
        <f>N17+'8. P&amp;L and Cashflow'!O51</f>
        <v>1389.6857142857145</v>
      </c>
      <c r="P17" s="493">
        <f>O17</f>
        <v>1389.6857142857145</v>
      </c>
      <c r="Q17" s="497">
        <f>P17+'8. P&amp;L and Cashflow'!Q51</f>
        <v>1505.4928571428575</v>
      </c>
      <c r="R17" s="485">
        <f>Q17+'8. P&amp;L and Cashflow'!R51</f>
        <v>1621.3000000000004</v>
      </c>
      <c r="S17" s="485">
        <f>R17+'8. P&amp;L and Cashflow'!S51</f>
        <v>1737.1071428571433</v>
      </c>
      <c r="T17" s="485">
        <f>S17+'8. P&amp;L and Cashflow'!T51</f>
        <v>1852.9142857142863</v>
      </c>
      <c r="U17" s="485">
        <f>T17+'8. P&amp;L and Cashflow'!U51</f>
        <v>1968.7214285714292</v>
      </c>
      <c r="V17" s="485">
        <f>U17+'8. P&amp;L and Cashflow'!V51</f>
        <v>2084.5285714285719</v>
      </c>
      <c r="W17" s="485">
        <f>V17+'8. P&amp;L and Cashflow'!W51</f>
        <v>2200.3357142857149</v>
      </c>
      <c r="X17" s="485">
        <f>W17+'8. P&amp;L and Cashflow'!X51</f>
        <v>2316.1428571428578</v>
      </c>
      <c r="Y17" s="485">
        <f>X17+'8. P&amp;L and Cashflow'!Y51</f>
        <v>2431.9500000000007</v>
      </c>
      <c r="Z17" s="485">
        <f>Y17+'8. P&amp;L and Cashflow'!Z51</f>
        <v>2547.7571428571437</v>
      </c>
      <c r="AA17" s="485">
        <f>Z17+'8. P&amp;L and Cashflow'!AA51</f>
        <v>2663.5642857142866</v>
      </c>
      <c r="AB17" s="480">
        <f>AA17+'8. P&amp;L and Cashflow'!AB51</f>
        <v>2779.3714285714295</v>
      </c>
      <c r="AC17" s="493">
        <f>AB17</f>
        <v>2779.3714285714295</v>
      </c>
      <c r="AD17" s="493">
        <f>'8. P&amp;L and Cashflow'!AD51+AC17</f>
        <v>4169.0571428571448</v>
      </c>
      <c r="AE17" s="493">
        <f>'8. P&amp;L and Cashflow'!AE51+AD17</f>
        <v>5558.74285714286</v>
      </c>
      <c r="AF17" s="493">
        <f>'8. P&amp;L and Cashflow'!AF51+AE17</f>
        <v>6948.4285714285752</v>
      </c>
    </row>
    <row r="18" spans="2:32" ht="13.5" thickBot="1" x14ac:dyDescent="0.25">
      <c r="B18" s="464" t="s">
        <v>260</v>
      </c>
      <c r="C18" s="489">
        <f t="shared" ref="C18:AF18" si="8">C16-C17</f>
        <v>13091</v>
      </c>
      <c r="D18" s="498">
        <f t="shared" si="8"/>
        <v>12975.192857142858</v>
      </c>
      <c r="E18" s="486">
        <f t="shared" si="8"/>
        <v>12859.385714285714</v>
      </c>
      <c r="F18" s="486">
        <f t="shared" si="8"/>
        <v>12743.578571428572</v>
      </c>
      <c r="G18" s="486">
        <f t="shared" si="8"/>
        <v>12627.771428571428</v>
      </c>
      <c r="H18" s="486">
        <f t="shared" si="8"/>
        <v>12511.964285714286</v>
      </c>
      <c r="I18" s="486">
        <f t="shared" si="8"/>
        <v>12396.157142857142</v>
      </c>
      <c r="J18" s="486">
        <f t="shared" si="8"/>
        <v>12280.35</v>
      </c>
      <c r="K18" s="486">
        <f t="shared" si="8"/>
        <v>12164.542857142857</v>
      </c>
      <c r="L18" s="486">
        <f t="shared" si="8"/>
        <v>12048.735714285714</v>
      </c>
      <c r="M18" s="486">
        <f t="shared" si="8"/>
        <v>11932.928571428571</v>
      </c>
      <c r="N18" s="486">
        <f t="shared" si="8"/>
        <v>11817.121428571429</v>
      </c>
      <c r="O18" s="481">
        <f t="shared" si="8"/>
        <v>11701.314285714285</v>
      </c>
      <c r="P18" s="494">
        <f t="shared" si="8"/>
        <v>11701.314285714285</v>
      </c>
      <c r="Q18" s="498">
        <f t="shared" ref="Q18" si="9">Q16-Q17</f>
        <v>11585.507142857143</v>
      </c>
      <c r="R18" s="486">
        <f t="shared" si="8"/>
        <v>11469.699999999999</v>
      </c>
      <c r="S18" s="486">
        <f t="shared" si="8"/>
        <v>11353.892857142857</v>
      </c>
      <c r="T18" s="486">
        <f t="shared" si="8"/>
        <v>11238.085714285713</v>
      </c>
      <c r="U18" s="486">
        <f t="shared" si="8"/>
        <v>11122.278571428571</v>
      </c>
      <c r="V18" s="486">
        <f t="shared" si="8"/>
        <v>11006.471428571429</v>
      </c>
      <c r="W18" s="486">
        <f t="shared" si="8"/>
        <v>10890.664285714285</v>
      </c>
      <c r="X18" s="486">
        <f t="shared" si="8"/>
        <v>10774.857142857141</v>
      </c>
      <c r="Y18" s="486">
        <f t="shared" si="8"/>
        <v>10659.05</v>
      </c>
      <c r="Z18" s="486">
        <f t="shared" si="8"/>
        <v>10543.242857142857</v>
      </c>
      <c r="AA18" s="486">
        <f t="shared" si="8"/>
        <v>10427.435714285713</v>
      </c>
      <c r="AB18" s="481">
        <f t="shared" si="8"/>
        <v>10311.62857142857</v>
      </c>
      <c r="AC18" s="494">
        <f t="shared" si="8"/>
        <v>10311.62857142857</v>
      </c>
      <c r="AD18" s="494">
        <f t="shared" si="8"/>
        <v>8921.9428571428543</v>
      </c>
      <c r="AE18" s="494">
        <f t="shared" si="8"/>
        <v>7532.25714285714</v>
      </c>
      <c r="AF18" s="494">
        <f t="shared" si="8"/>
        <v>6142.5714285714248</v>
      </c>
    </row>
    <row r="19" spans="2:32" ht="24" customHeight="1" thickBot="1" x14ac:dyDescent="0.25">
      <c r="B19" s="467" t="s">
        <v>261</v>
      </c>
      <c r="C19" s="502">
        <f t="shared" ref="C19:AF19" si="10">C18+C14</f>
        <v>13091</v>
      </c>
      <c r="D19" s="499">
        <f t="shared" si="10"/>
        <v>91025.888221873582</v>
      </c>
      <c r="E19" s="487">
        <f t="shared" si="10"/>
        <v>85911.073971136662</v>
      </c>
      <c r="F19" s="487">
        <f t="shared" si="10"/>
        <v>85796.050407804883</v>
      </c>
      <c r="G19" s="487">
        <f t="shared" si="10"/>
        <v>85680.816421462834</v>
      </c>
      <c r="H19" s="487">
        <f t="shared" si="10"/>
        <v>85565.370895777683</v>
      </c>
      <c r="I19" s="487">
        <f t="shared" si="10"/>
        <v>85449.71270846753</v>
      </c>
      <c r="J19" s="487">
        <f t="shared" si="10"/>
        <v>85333.840731269607</v>
      </c>
      <c r="K19" s="487">
        <f t="shared" si="10"/>
        <v>85217.753829908266</v>
      </c>
      <c r="L19" s="487">
        <f t="shared" si="10"/>
        <v>85101.450864062877</v>
      </c>
      <c r="M19" s="487">
        <f t="shared" si="10"/>
        <v>84984.930687335407</v>
      </c>
      <c r="N19" s="487">
        <f t="shared" si="10"/>
        <v>84868.192147217997</v>
      </c>
      <c r="O19" s="482">
        <f t="shared" si="10"/>
        <v>84751.234085060234</v>
      </c>
      <c r="P19" s="495">
        <f t="shared" si="10"/>
        <v>84751.234085060234</v>
      </c>
      <c r="Q19" s="499">
        <f t="shared" ref="Q19" si="11">Q18+Q14</f>
        <v>85466.061092547374</v>
      </c>
      <c r="R19" s="487">
        <f t="shared" si="10"/>
        <v>86180.666242134146</v>
      </c>
      <c r="S19" s="487">
        <f t="shared" si="10"/>
        <v>86895.048356544692</v>
      </c>
      <c r="T19" s="487">
        <f t="shared" si="10"/>
        <v>87609.206252228134</v>
      </c>
      <c r="U19" s="487">
        <f t="shared" si="10"/>
        <v>88323.138739325033</v>
      </c>
      <c r="V19" s="487">
        <f t="shared" si="10"/>
        <v>89036.844621633587</v>
      </c>
      <c r="W19" s="487">
        <f t="shared" si="10"/>
        <v>89750.322696575779</v>
      </c>
      <c r="X19" s="487">
        <f t="shared" si="10"/>
        <v>90463.571755163197</v>
      </c>
      <c r="Y19" s="487">
        <f t="shared" si="10"/>
        <v>91176.590581962795</v>
      </c>
      <c r="Z19" s="487">
        <f t="shared" si="10"/>
        <v>91889.377955062388</v>
      </c>
      <c r="AA19" s="487">
        <f t="shared" si="10"/>
        <v>92601.932646036017</v>
      </c>
      <c r="AB19" s="482">
        <f t="shared" si="10"/>
        <v>93314.253419909073</v>
      </c>
      <c r="AC19" s="495">
        <f t="shared" si="10"/>
        <v>93314.253419909073</v>
      </c>
      <c r="AD19" s="495">
        <f t="shared" si="10"/>
        <v>112110.70981608759</v>
      </c>
      <c r="AE19" s="495">
        <f t="shared" si="10"/>
        <v>150100.17282627249</v>
      </c>
      <c r="AF19" s="495">
        <f t="shared" si="10"/>
        <v>202487.04526460823</v>
      </c>
    </row>
    <row r="20" spans="2:32" ht="13.5" thickBot="1" x14ac:dyDescent="0.25">
      <c r="B20" s="468"/>
      <c r="C20" s="469"/>
      <c r="D20" s="470"/>
      <c r="E20" s="469"/>
      <c r="F20" s="469"/>
      <c r="G20" s="469"/>
      <c r="H20" s="469"/>
      <c r="I20" s="469"/>
      <c r="J20" s="469"/>
      <c r="K20" s="469"/>
      <c r="L20" s="469"/>
      <c r="M20" s="469"/>
      <c r="N20" s="469"/>
      <c r="O20" s="469"/>
      <c r="P20" s="469"/>
      <c r="Q20" s="469"/>
      <c r="R20" s="469"/>
      <c r="S20" s="469"/>
      <c r="T20" s="469"/>
      <c r="U20" s="469"/>
      <c r="V20" s="469"/>
      <c r="W20" s="469"/>
      <c r="X20" s="469"/>
      <c r="Y20" s="469"/>
      <c r="Z20" s="469"/>
      <c r="AA20" s="469"/>
      <c r="AB20" s="469"/>
      <c r="AC20" s="469"/>
      <c r="AD20" s="469"/>
      <c r="AE20" s="469"/>
      <c r="AF20" s="471"/>
    </row>
    <row r="21" spans="2:32" ht="13.5" thickBot="1" x14ac:dyDescent="0.25">
      <c r="B21" s="538" t="s">
        <v>278</v>
      </c>
      <c r="C21" s="503"/>
      <c r="D21" s="509">
        <f t="shared" ref="D21:AF21" si="12">D8</f>
        <v>43466</v>
      </c>
      <c r="E21" s="518">
        <f t="shared" si="12"/>
        <v>43497</v>
      </c>
      <c r="F21" s="518">
        <f t="shared" si="12"/>
        <v>43525</v>
      </c>
      <c r="G21" s="518">
        <f t="shared" si="12"/>
        <v>43556</v>
      </c>
      <c r="H21" s="518">
        <f t="shared" si="12"/>
        <v>43586</v>
      </c>
      <c r="I21" s="518">
        <f t="shared" si="12"/>
        <v>43617</v>
      </c>
      <c r="J21" s="518">
        <f t="shared" si="12"/>
        <v>43647</v>
      </c>
      <c r="K21" s="518">
        <f t="shared" si="12"/>
        <v>43678</v>
      </c>
      <c r="L21" s="518">
        <f t="shared" si="12"/>
        <v>43709</v>
      </c>
      <c r="M21" s="518">
        <f t="shared" si="12"/>
        <v>43739</v>
      </c>
      <c r="N21" s="518">
        <f t="shared" si="12"/>
        <v>43770</v>
      </c>
      <c r="O21" s="524">
        <f t="shared" si="12"/>
        <v>43800</v>
      </c>
      <c r="P21" s="539">
        <f t="shared" si="12"/>
        <v>2019</v>
      </c>
      <c r="Q21" s="509">
        <f t="shared" si="12"/>
        <v>43831</v>
      </c>
      <c r="R21" s="518">
        <f t="shared" si="12"/>
        <v>43862</v>
      </c>
      <c r="S21" s="518">
        <f t="shared" si="12"/>
        <v>43891</v>
      </c>
      <c r="T21" s="518">
        <f t="shared" si="12"/>
        <v>43922</v>
      </c>
      <c r="U21" s="518">
        <f t="shared" si="12"/>
        <v>43952</v>
      </c>
      <c r="V21" s="518">
        <f t="shared" si="12"/>
        <v>43983</v>
      </c>
      <c r="W21" s="518">
        <f t="shared" si="12"/>
        <v>44013</v>
      </c>
      <c r="X21" s="518">
        <f t="shared" si="12"/>
        <v>44044</v>
      </c>
      <c r="Y21" s="518">
        <f t="shared" si="12"/>
        <v>44075</v>
      </c>
      <c r="Z21" s="518">
        <f t="shared" si="12"/>
        <v>44105</v>
      </c>
      <c r="AA21" s="518">
        <f t="shared" si="12"/>
        <v>44136</v>
      </c>
      <c r="AB21" s="524">
        <f t="shared" si="12"/>
        <v>44166</v>
      </c>
      <c r="AC21" s="539">
        <f t="shared" si="12"/>
        <v>2020</v>
      </c>
      <c r="AD21" s="539">
        <f t="shared" si="12"/>
        <v>2021</v>
      </c>
      <c r="AE21" s="539">
        <f t="shared" si="12"/>
        <v>2022</v>
      </c>
      <c r="AF21" s="539">
        <f t="shared" si="12"/>
        <v>2023</v>
      </c>
    </row>
    <row r="22" spans="2:32" x14ac:dyDescent="0.2">
      <c r="B22" s="463" t="s">
        <v>279</v>
      </c>
      <c r="C22" s="501"/>
      <c r="D22" s="510"/>
      <c r="E22" s="484"/>
      <c r="F22" s="484"/>
      <c r="G22" s="484"/>
      <c r="H22" s="484"/>
      <c r="I22" s="484"/>
      <c r="J22" s="484"/>
      <c r="K22" s="484"/>
      <c r="L22" s="484"/>
      <c r="M22" s="484"/>
      <c r="N22" s="484"/>
      <c r="O22" s="479"/>
      <c r="P22" s="492"/>
      <c r="Q22" s="510"/>
      <c r="R22" s="484"/>
      <c r="S22" s="484"/>
      <c r="T22" s="484"/>
      <c r="U22" s="484"/>
      <c r="V22" s="484"/>
      <c r="W22" s="484"/>
      <c r="X22" s="484"/>
      <c r="Y22" s="484"/>
      <c r="Z22" s="484"/>
      <c r="AA22" s="484"/>
      <c r="AB22" s="479"/>
      <c r="AC22" s="492"/>
      <c r="AD22" s="492"/>
      <c r="AE22" s="492"/>
      <c r="AF22" s="492"/>
    </row>
    <row r="23" spans="2:32" x14ac:dyDescent="0.2">
      <c r="B23" s="472" t="s">
        <v>262</v>
      </c>
      <c r="C23" s="488">
        <v>0</v>
      </c>
      <c r="D23" s="511">
        <v>0</v>
      </c>
      <c r="E23" s="485">
        <v>0</v>
      </c>
      <c r="F23" s="485">
        <v>0</v>
      </c>
      <c r="G23" s="485">
        <v>0</v>
      </c>
      <c r="H23" s="485">
        <v>0</v>
      </c>
      <c r="I23" s="485">
        <v>0</v>
      </c>
      <c r="J23" s="485">
        <v>0</v>
      </c>
      <c r="K23" s="485">
        <v>0</v>
      </c>
      <c r="L23" s="485">
        <v>0</v>
      </c>
      <c r="M23" s="485">
        <v>0</v>
      </c>
      <c r="N23" s="485">
        <v>0</v>
      </c>
      <c r="O23" s="480">
        <v>0</v>
      </c>
      <c r="P23" s="493">
        <v>0</v>
      </c>
      <c r="Q23" s="511">
        <v>0</v>
      </c>
      <c r="R23" s="485">
        <v>0</v>
      </c>
      <c r="S23" s="485">
        <v>0</v>
      </c>
      <c r="T23" s="485">
        <v>0</v>
      </c>
      <c r="U23" s="485">
        <v>0</v>
      </c>
      <c r="V23" s="485">
        <v>0</v>
      </c>
      <c r="W23" s="485">
        <v>0</v>
      </c>
      <c r="X23" s="485">
        <v>0</v>
      </c>
      <c r="Y23" s="485">
        <v>0</v>
      </c>
      <c r="Z23" s="485">
        <v>0</v>
      </c>
      <c r="AA23" s="485">
        <v>0</v>
      </c>
      <c r="AB23" s="480">
        <v>0</v>
      </c>
      <c r="AC23" s="493">
        <v>0</v>
      </c>
      <c r="AD23" s="493">
        <v>0</v>
      </c>
      <c r="AE23" s="493">
        <v>0</v>
      </c>
      <c r="AF23" s="493">
        <v>0</v>
      </c>
    </row>
    <row r="24" spans="2:32" x14ac:dyDescent="0.2">
      <c r="B24" s="472" t="s">
        <v>263</v>
      </c>
      <c r="C24" s="488">
        <f>'7. Funding Plan'!C18</f>
        <v>0</v>
      </c>
      <c r="D24" s="511">
        <f>'8. P&amp;L and Cashflow'!D80</f>
        <v>0</v>
      </c>
      <c r="E24" s="485">
        <f>'8. P&amp;L and Cashflow'!E80</f>
        <v>0</v>
      </c>
      <c r="F24" s="485">
        <f>'8. P&amp;L and Cashflow'!F80</f>
        <v>0</v>
      </c>
      <c r="G24" s="485">
        <f>'8. P&amp;L and Cashflow'!G80</f>
        <v>0</v>
      </c>
      <c r="H24" s="485">
        <f>'8. P&amp;L and Cashflow'!H80</f>
        <v>0</v>
      </c>
      <c r="I24" s="485">
        <f>'8. P&amp;L and Cashflow'!I80</f>
        <v>0</v>
      </c>
      <c r="J24" s="485">
        <f>'8. P&amp;L and Cashflow'!J80</f>
        <v>0</v>
      </c>
      <c r="K24" s="485">
        <f>'8. P&amp;L and Cashflow'!K80</f>
        <v>0</v>
      </c>
      <c r="L24" s="485">
        <f>'8. P&amp;L and Cashflow'!L80</f>
        <v>0</v>
      </c>
      <c r="M24" s="485">
        <f>'8. P&amp;L and Cashflow'!M80</f>
        <v>0</v>
      </c>
      <c r="N24" s="485">
        <f>'8. P&amp;L and Cashflow'!N80</f>
        <v>0</v>
      </c>
      <c r="O24" s="480">
        <f>'8. P&amp;L and Cashflow'!O80</f>
        <v>0</v>
      </c>
      <c r="P24" s="493">
        <f>'8. P&amp;L and Cashflow'!P80</f>
        <v>0</v>
      </c>
      <c r="Q24" s="511">
        <f>'8. P&amp;L and Cashflow'!Q80</f>
        <v>0</v>
      </c>
      <c r="R24" s="485">
        <f>'8. P&amp;L and Cashflow'!R80</f>
        <v>0</v>
      </c>
      <c r="S24" s="485">
        <f>'8. P&amp;L and Cashflow'!S80</f>
        <v>0</v>
      </c>
      <c r="T24" s="485">
        <f>'8. P&amp;L and Cashflow'!T80</f>
        <v>0</v>
      </c>
      <c r="U24" s="485">
        <f>'8. P&amp;L and Cashflow'!U80</f>
        <v>0</v>
      </c>
      <c r="V24" s="485">
        <f>'8. P&amp;L and Cashflow'!V80</f>
        <v>0</v>
      </c>
      <c r="W24" s="485">
        <f>'8. P&amp;L and Cashflow'!W80</f>
        <v>0</v>
      </c>
      <c r="X24" s="485">
        <f>'8. P&amp;L and Cashflow'!X80</f>
        <v>0</v>
      </c>
      <c r="Y24" s="485">
        <f>'8. P&amp;L and Cashflow'!Y80</f>
        <v>0</v>
      </c>
      <c r="Z24" s="485">
        <f>'8. P&amp;L and Cashflow'!Z80</f>
        <v>0</v>
      </c>
      <c r="AA24" s="485">
        <f>'8. P&amp;L and Cashflow'!AA80</f>
        <v>0</v>
      </c>
      <c r="AB24" s="480">
        <f>'8. P&amp;L and Cashflow'!AB80</f>
        <v>0</v>
      </c>
      <c r="AC24" s="493">
        <f>'8. P&amp;L and Cashflow'!AC80</f>
        <v>0</v>
      </c>
      <c r="AD24" s="493">
        <f>'8. P&amp;L and Cashflow'!AD80</f>
        <v>0</v>
      </c>
      <c r="AE24" s="493">
        <f>'8. P&amp;L and Cashflow'!AE80</f>
        <v>0</v>
      </c>
      <c r="AF24" s="493">
        <f>'8. P&amp;L and Cashflow'!AF80</f>
        <v>0</v>
      </c>
    </row>
    <row r="25" spans="2:32" ht="13.5" thickBot="1" x14ac:dyDescent="0.25">
      <c r="B25" s="472" t="s">
        <v>264</v>
      </c>
      <c r="C25" s="488">
        <v>0</v>
      </c>
      <c r="D25" s="511">
        <v>0</v>
      </c>
      <c r="E25" s="485">
        <v>0</v>
      </c>
      <c r="F25" s="485">
        <v>0</v>
      </c>
      <c r="G25" s="485">
        <v>0</v>
      </c>
      <c r="H25" s="485">
        <v>0</v>
      </c>
      <c r="I25" s="485">
        <v>0</v>
      </c>
      <c r="J25" s="485">
        <v>0</v>
      </c>
      <c r="K25" s="485">
        <v>0</v>
      </c>
      <c r="L25" s="485">
        <v>0</v>
      </c>
      <c r="M25" s="485">
        <v>0</v>
      </c>
      <c r="N25" s="485">
        <v>0</v>
      </c>
      <c r="O25" s="480">
        <v>0</v>
      </c>
      <c r="P25" s="493">
        <v>0</v>
      </c>
      <c r="Q25" s="511">
        <v>0</v>
      </c>
      <c r="R25" s="485">
        <v>0</v>
      </c>
      <c r="S25" s="485">
        <v>0</v>
      </c>
      <c r="T25" s="485">
        <v>0</v>
      </c>
      <c r="U25" s="485">
        <v>0</v>
      </c>
      <c r="V25" s="485">
        <v>0</v>
      </c>
      <c r="W25" s="485">
        <v>0</v>
      </c>
      <c r="X25" s="485">
        <v>0</v>
      </c>
      <c r="Y25" s="485">
        <v>0</v>
      </c>
      <c r="Z25" s="485">
        <v>0</v>
      </c>
      <c r="AA25" s="485">
        <v>0</v>
      </c>
      <c r="AB25" s="480">
        <v>0</v>
      </c>
      <c r="AC25" s="493">
        <v>0</v>
      </c>
      <c r="AD25" s="493">
        <v>0</v>
      </c>
      <c r="AE25" s="493">
        <v>0</v>
      </c>
      <c r="AF25" s="493">
        <v>0</v>
      </c>
    </row>
    <row r="26" spans="2:32" x14ac:dyDescent="0.2">
      <c r="B26" s="473" t="s">
        <v>265</v>
      </c>
      <c r="C26" s="504">
        <f>SUM(C23:C25)</f>
        <v>0</v>
      </c>
      <c r="D26" s="512">
        <f t="shared" ref="D26:AF26" si="13">SUM(D23:D25)</f>
        <v>0</v>
      </c>
      <c r="E26" s="519">
        <f t="shared" si="13"/>
        <v>0</v>
      </c>
      <c r="F26" s="519">
        <f t="shared" si="13"/>
        <v>0</v>
      </c>
      <c r="G26" s="519">
        <f t="shared" si="13"/>
        <v>0</v>
      </c>
      <c r="H26" s="519">
        <f t="shared" si="13"/>
        <v>0</v>
      </c>
      <c r="I26" s="519">
        <f t="shared" si="13"/>
        <v>0</v>
      </c>
      <c r="J26" s="519">
        <f t="shared" si="13"/>
        <v>0</v>
      </c>
      <c r="K26" s="519">
        <f t="shared" si="13"/>
        <v>0</v>
      </c>
      <c r="L26" s="519">
        <f t="shared" si="13"/>
        <v>0</v>
      </c>
      <c r="M26" s="519">
        <f t="shared" si="13"/>
        <v>0</v>
      </c>
      <c r="N26" s="519">
        <f t="shared" si="13"/>
        <v>0</v>
      </c>
      <c r="O26" s="525">
        <f t="shared" si="13"/>
        <v>0</v>
      </c>
      <c r="P26" s="529">
        <f t="shared" si="13"/>
        <v>0</v>
      </c>
      <c r="Q26" s="512">
        <f t="shared" si="13"/>
        <v>0</v>
      </c>
      <c r="R26" s="519">
        <f t="shared" si="13"/>
        <v>0</v>
      </c>
      <c r="S26" s="519">
        <f t="shared" si="13"/>
        <v>0</v>
      </c>
      <c r="T26" s="519">
        <f t="shared" si="13"/>
        <v>0</v>
      </c>
      <c r="U26" s="519">
        <f t="shared" si="13"/>
        <v>0</v>
      </c>
      <c r="V26" s="519">
        <f t="shared" si="13"/>
        <v>0</v>
      </c>
      <c r="W26" s="519">
        <f t="shared" si="13"/>
        <v>0</v>
      </c>
      <c r="X26" s="519">
        <f t="shared" si="13"/>
        <v>0</v>
      </c>
      <c r="Y26" s="519">
        <f t="shared" si="13"/>
        <v>0</v>
      </c>
      <c r="Z26" s="519">
        <f t="shared" si="13"/>
        <v>0</v>
      </c>
      <c r="AA26" s="519">
        <f t="shared" si="13"/>
        <v>0</v>
      </c>
      <c r="AB26" s="525">
        <f t="shared" si="13"/>
        <v>0</v>
      </c>
      <c r="AC26" s="529">
        <f t="shared" si="13"/>
        <v>0</v>
      </c>
      <c r="AD26" s="529">
        <f t="shared" si="13"/>
        <v>0</v>
      </c>
      <c r="AE26" s="529">
        <f t="shared" si="13"/>
        <v>0</v>
      </c>
      <c r="AF26" s="529">
        <f t="shared" si="13"/>
        <v>0</v>
      </c>
    </row>
    <row r="27" spans="2:32" ht="7.15" customHeight="1" x14ac:dyDescent="0.2">
      <c r="B27" s="472"/>
      <c r="C27" s="505"/>
      <c r="D27" s="513"/>
      <c r="E27" s="520"/>
      <c r="F27" s="520"/>
      <c r="G27" s="520"/>
      <c r="H27" s="520"/>
      <c r="I27" s="520"/>
      <c r="J27" s="520"/>
      <c r="K27" s="520"/>
      <c r="L27" s="520"/>
      <c r="M27" s="520"/>
      <c r="N27" s="520"/>
      <c r="O27" s="62"/>
      <c r="P27" s="530"/>
      <c r="Q27" s="513"/>
      <c r="R27" s="520"/>
      <c r="S27" s="520"/>
      <c r="T27" s="520"/>
      <c r="U27" s="520"/>
      <c r="V27" s="520"/>
      <c r="W27" s="520"/>
      <c r="X27" s="520"/>
      <c r="Y27" s="520"/>
      <c r="Z27" s="520"/>
      <c r="AA27" s="520"/>
      <c r="AB27" s="62"/>
      <c r="AC27" s="530"/>
      <c r="AD27" s="530"/>
      <c r="AE27" s="530"/>
      <c r="AF27" s="530"/>
    </row>
    <row r="28" spans="2:32" ht="13.5" thickBot="1" x14ac:dyDescent="0.25">
      <c r="B28" s="474" t="s">
        <v>266</v>
      </c>
      <c r="C28" s="506">
        <v>0</v>
      </c>
      <c r="D28" s="514">
        <f>'12. Loan Detail'!D31</f>
        <v>29430.954427230725</v>
      </c>
      <c r="E28" s="521">
        <f>'12. Loan Detail'!E31</f>
        <v>28858.907022836334</v>
      </c>
      <c r="F28" s="521">
        <f>'12. Loan Detail'!F31</f>
        <v>28283.841862306195</v>
      </c>
      <c r="G28" s="521">
        <f>'12. Loan Detail'!G31</f>
        <v>27705.742936269449</v>
      </c>
      <c r="H28" s="521">
        <f>'12. Loan Detail'!H31</f>
        <v>27124.594150041186</v>
      </c>
      <c r="I28" s="521">
        <f>'12. Loan Detail'!I31</f>
        <v>26540.379323166162</v>
      </c>
      <c r="J28" s="521">
        <f>'12. Loan Detail'!J31</f>
        <v>25953.082188960092</v>
      </c>
      <c r="K28" s="521">
        <f>'12. Loan Detail'!K31</f>
        <v>25362.686394048469</v>
      </c>
      <c r="L28" s="521">
        <f>'12. Loan Detail'!L31</f>
        <v>24769.175497902903</v>
      </c>
      <c r="M28" s="521">
        <f>'12. Loan Detail'!M31</f>
        <v>24172.532972374996</v>
      </c>
      <c r="N28" s="521">
        <f>'12. Loan Detail'!N31</f>
        <v>23572.742201227702</v>
      </c>
      <c r="O28" s="526">
        <f>'12. Loan Detail'!O31</f>
        <v>22969.786479664166</v>
      </c>
      <c r="P28" s="531">
        <f>'12. Loan Detail'!P31</f>
        <v>22969.786479664166</v>
      </c>
      <c r="Q28" s="514">
        <f>'12. Loan Detail'!Q31</f>
        <v>22363.649013854047</v>
      </c>
      <c r="R28" s="521">
        <f>'12. Loan Detail'!R31</f>
        <v>21754.31292045732</v>
      </c>
      <c r="S28" s="521">
        <f>'12. Loan Detail'!S31</f>
        <v>21141.761226145467</v>
      </c>
      <c r="T28" s="521">
        <f>'12. Loan Detail'!T31</f>
        <v>20525.97686712016</v>
      </c>
      <c r="U28" s="521">
        <f>'12. Loan Detail'!U31</f>
        <v>19906.942688629333</v>
      </c>
      <c r="V28" s="521">
        <f>'12. Loan Detail'!V31</f>
        <v>19284.641444480651</v>
      </c>
      <c r="W28" s="521">
        <f>'12. Loan Detail'!W31</f>
        <v>18659.055796552399</v>
      </c>
      <c r="X28" s="521">
        <f>'12. Loan Detail'!X31</f>
        <v>18030.168314301704</v>
      </c>
      <c r="Y28" s="521">
        <f>'12. Loan Detail'!Y31</f>
        <v>17397.961474270178</v>
      </c>
      <c r="Z28" s="521">
        <f>'12. Loan Detail'!Z31</f>
        <v>16762.417659586841</v>
      </c>
      <c r="AA28" s="521">
        <f>'12. Loan Detail'!AA31</f>
        <v>16123.51915946844</v>
      </c>
      <c r="AB28" s="526">
        <f>'12. Loan Detail'!AB31</f>
        <v>15481.248168717033</v>
      </c>
      <c r="AC28" s="531">
        <f>'12. Loan Detail'!AC31</f>
        <v>15481.248168717033</v>
      </c>
      <c r="AD28" s="531">
        <f>'12. Loan Detail'!AP31</f>
        <v>7504.3298141696869</v>
      </c>
      <c r="AE28" s="531">
        <f>'12. Loan Detail'!BC31</f>
        <v>6585.9024355286856</v>
      </c>
      <c r="AF28" s="531">
        <f>'12. Loan Detail'!BP31</f>
        <v>5620.4865691298673</v>
      </c>
    </row>
    <row r="29" spans="2:32" ht="13.5" thickBot="1" x14ac:dyDescent="0.25">
      <c r="B29" s="464" t="s">
        <v>267</v>
      </c>
      <c r="C29" s="489">
        <f t="shared" ref="C29:AF29" si="14">C26+C28</f>
        <v>0</v>
      </c>
      <c r="D29" s="515">
        <f t="shared" si="14"/>
        <v>29430.954427230725</v>
      </c>
      <c r="E29" s="486">
        <f t="shared" si="14"/>
        <v>28858.907022836334</v>
      </c>
      <c r="F29" s="486">
        <f t="shared" si="14"/>
        <v>28283.841862306195</v>
      </c>
      <c r="G29" s="486">
        <f t="shared" si="14"/>
        <v>27705.742936269449</v>
      </c>
      <c r="H29" s="486">
        <f t="shared" si="14"/>
        <v>27124.594150041186</v>
      </c>
      <c r="I29" s="486">
        <f t="shared" si="14"/>
        <v>26540.379323166162</v>
      </c>
      <c r="J29" s="486">
        <f t="shared" si="14"/>
        <v>25953.082188960092</v>
      </c>
      <c r="K29" s="486">
        <f t="shared" si="14"/>
        <v>25362.686394048469</v>
      </c>
      <c r="L29" s="486">
        <f t="shared" si="14"/>
        <v>24769.175497902903</v>
      </c>
      <c r="M29" s="486">
        <f t="shared" si="14"/>
        <v>24172.532972374996</v>
      </c>
      <c r="N29" s="486">
        <f t="shared" si="14"/>
        <v>23572.742201227702</v>
      </c>
      <c r="O29" s="481">
        <f t="shared" si="14"/>
        <v>22969.786479664166</v>
      </c>
      <c r="P29" s="494">
        <f t="shared" si="14"/>
        <v>22969.786479664166</v>
      </c>
      <c r="Q29" s="515">
        <f t="shared" si="14"/>
        <v>22363.649013854047</v>
      </c>
      <c r="R29" s="486">
        <f t="shared" si="14"/>
        <v>21754.31292045732</v>
      </c>
      <c r="S29" s="486">
        <f t="shared" si="14"/>
        <v>21141.761226145467</v>
      </c>
      <c r="T29" s="486">
        <f t="shared" si="14"/>
        <v>20525.97686712016</v>
      </c>
      <c r="U29" s="486">
        <f t="shared" si="14"/>
        <v>19906.942688629333</v>
      </c>
      <c r="V29" s="486">
        <f t="shared" si="14"/>
        <v>19284.641444480651</v>
      </c>
      <c r="W29" s="486">
        <f t="shared" si="14"/>
        <v>18659.055796552399</v>
      </c>
      <c r="X29" s="486">
        <f t="shared" si="14"/>
        <v>18030.168314301704</v>
      </c>
      <c r="Y29" s="486">
        <f t="shared" si="14"/>
        <v>17397.961474270178</v>
      </c>
      <c r="Z29" s="486">
        <f t="shared" si="14"/>
        <v>16762.417659586841</v>
      </c>
      <c r="AA29" s="486">
        <f t="shared" si="14"/>
        <v>16123.51915946844</v>
      </c>
      <c r="AB29" s="481">
        <f t="shared" si="14"/>
        <v>15481.248168717033</v>
      </c>
      <c r="AC29" s="494">
        <f t="shared" si="14"/>
        <v>15481.248168717033</v>
      </c>
      <c r="AD29" s="494">
        <f t="shared" si="14"/>
        <v>7504.3298141696869</v>
      </c>
      <c r="AE29" s="494">
        <f t="shared" si="14"/>
        <v>6585.9024355286856</v>
      </c>
      <c r="AF29" s="494">
        <f t="shared" si="14"/>
        <v>5620.4865691298673</v>
      </c>
    </row>
    <row r="30" spans="2:32" x14ac:dyDescent="0.2">
      <c r="B30" s="463" t="s">
        <v>280</v>
      </c>
      <c r="C30" s="501"/>
      <c r="D30" s="510"/>
      <c r="E30" s="484"/>
      <c r="F30" s="484"/>
      <c r="G30" s="484"/>
      <c r="H30" s="484"/>
      <c r="I30" s="484"/>
      <c r="J30" s="484"/>
      <c r="K30" s="484"/>
      <c r="L30" s="484"/>
      <c r="M30" s="484"/>
      <c r="N30" s="484"/>
      <c r="O30" s="479"/>
      <c r="P30" s="492"/>
      <c r="Q30" s="510"/>
      <c r="R30" s="484"/>
      <c r="S30" s="484"/>
      <c r="T30" s="484"/>
      <c r="U30" s="484"/>
      <c r="V30" s="484"/>
      <c r="W30" s="484"/>
      <c r="X30" s="484"/>
      <c r="Y30" s="484"/>
      <c r="Z30" s="484"/>
      <c r="AA30" s="484"/>
      <c r="AB30" s="479"/>
      <c r="AC30" s="492"/>
      <c r="AD30" s="492"/>
      <c r="AE30" s="492"/>
      <c r="AF30" s="492"/>
    </row>
    <row r="31" spans="2:32" x14ac:dyDescent="0.2">
      <c r="B31" s="472" t="s">
        <v>268</v>
      </c>
      <c r="C31" s="488">
        <f>'7. Funding Plan'!C16</f>
        <v>7635</v>
      </c>
      <c r="D31" s="511">
        <f>C31+'8. P&amp;L and Cashflow'!D67+'8. P&amp;L and Cashflow'!D68</f>
        <v>18385</v>
      </c>
      <c r="E31" s="485">
        <f>D31+'8. P&amp;L and Cashflow'!E67+'8. P&amp;L and Cashflow'!E68</f>
        <v>18385</v>
      </c>
      <c r="F31" s="485">
        <f>E31+'8. P&amp;L and Cashflow'!F67+'8. P&amp;L and Cashflow'!F68</f>
        <v>18385</v>
      </c>
      <c r="G31" s="485">
        <f>F31+'8. P&amp;L and Cashflow'!G67+'8. P&amp;L and Cashflow'!G68</f>
        <v>18385</v>
      </c>
      <c r="H31" s="485">
        <f>G31+'8. P&amp;L and Cashflow'!H67+'8. P&amp;L and Cashflow'!H68</f>
        <v>18385</v>
      </c>
      <c r="I31" s="485">
        <f>H31+'8. P&amp;L and Cashflow'!I67+'8. P&amp;L and Cashflow'!I68</f>
        <v>18385</v>
      </c>
      <c r="J31" s="485">
        <f>I31+'8. P&amp;L and Cashflow'!J67+'8. P&amp;L and Cashflow'!J68</f>
        <v>18385</v>
      </c>
      <c r="K31" s="485">
        <f>J31+'8. P&amp;L and Cashflow'!K67+'8. P&amp;L and Cashflow'!K68</f>
        <v>18385</v>
      </c>
      <c r="L31" s="485">
        <f>K31+'8. P&amp;L and Cashflow'!L67+'8. P&amp;L and Cashflow'!L68</f>
        <v>18385</v>
      </c>
      <c r="M31" s="485">
        <f>L31+'8. P&amp;L and Cashflow'!M67+'8. P&amp;L and Cashflow'!M68</f>
        <v>18385</v>
      </c>
      <c r="N31" s="485">
        <f>M31+'8. P&amp;L and Cashflow'!N67+'8. P&amp;L and Cashflow'!N68</f>
        <v>18385</v>
      </c>
      <c r="O31" s="480">
        <f>N31+'8. P&amp;L and Cashflow'!O67+'8. P&amp;L and Cashflow'!O68</f>
        <v>18385</v>
      </c>
      <c r="P31" s="493">
        <f>O31</f>
        <v>18385</v>
      </c>
      <c r="Q31" s="511">
        <f>P31+'8. P&amp;L and Cashflow'!Q67+'8. P&amp;L and Cashflow'!Q68</f>
        <v>18385</v>
      </c>
      <c r="R31" s="485">
        <f>Q31+'8. P&amp;L and Cashflow'!R67+'8. P&amp;L and Cashflow'!R68</f>
        <v>18385</v>
      </c>
      <c r="S31" s="485">
        <f>R31+'8. P&amp;L and Cashflow'!S67+'8. P&amp;L and Cashflow'!S68</f>
        <v>18385</v>
      </c>
      <c r="T31" s="485">
        <f>S31+'8. P&amp;L and Cashflow'!T67+'8. P&amp;L and Cashflow'!T68</f>
        <v>18385</v>
      </c>
      <c r="U31" s="485">
        <f>T31+'8. P&amp;L and Cashflow'!U67+'8. P&amp;L and Cashflow'!U68</f>
        <v>18385</v>
      </c>
      <c r="V31" s="485">
        <f>U31+'8. P&amp;L and Cashflow'!V67+'8. P&amp;L and Cashflow'!V68</f>
        <v>18385</v>
      </c>
      <c r="W31" s="485">
        <f>V31+'8. P&amp;L and Cashflow'!W67+'8. P&amp;L and Cashflow'!W68</f>
        <v>18385</v>
      </c>
      <c r="X31" s="485">
        <f>W31+'8. P&amp;L and Cashflow'!X67+'8. P&amp;L and Cashflow'!X68</f>
        <v>18385</v>
      </c>
      <c r="Y31" s="485">
        <f>X31+'8. P&amp;L and Cashflow'!Y67+'8. P&amp;L and Cashflow'!Y68</f>
        <v>18385</v>
      </c>
      <c r="Z31" s="485">
        <f>Y31+'8. P&amp;L and Cashflow'!Z67+'8. P&amp;L and Cashflow'!Z68</f>
        <v>18385</v>
      </c>
      <c r="AA31" s="485">
        <f>Z31+'8. P&amp;L and Cashflow'!AA67+'8. P&amp;L and Cashflow'!AA68</f>
        <v>18385</v>
      </c>
      <c r="AB31" s="480">
        <f>AA31+'8. P&amp;L and Cashflow'!AB67+'8. P&amp;L and Cashflow'!AB68</f>
        <v>18385</v>
      </c>
      <c r="AC31" s="493">
        <f>AB31+'8. P&amp;L and Cashflow'!AC67+'8. P&amp;L and Cashflow'!AC68</f>
        <v>18385</v>
      </c>
      <c r="AD31" s="493">
        <f>AC31+'8. P&amp;L and Cashflow'!AD67+'8. P&amp;L and Cashflow'!AD68</f>
        <v>18385</v>
      </c>
      <c r="AE31" s="493">
        <f>AD31+'8. P&amp;L and Cashflow'!AE67+'8. P&amp;L and Cashflow'!AE68</f>
        <v>18385</v>
      </c>
      <c r="AF31" s="493">
        <f>AE31+'8. P&amp;L and Cashflow'!AF67+'8. P&amp;L and Cashflow'!AF68</f>
        <v>18385</v>
      </c>
    </row>
    <row r="32" spans="2:32" x14ac:dyDescent="0.2">
      <c r="B32" s="472" t="s">
        <v>275</v>
      </c>
      <c r="C32" s="488">
        <f t="shared" ref="C32" si="15">C19-C26-C28-C31-C33</f>
        <v>5456</v>
      </c>
      <c r="D32" s="511">
        <f>C32+C33-'8. P&amp;L and Cashflow'!D72</f>
        <v>5456</v>
      </c>
      <c r="E32" s="485">
        <f>D32+D33-'8. P&amp;L and Cashflow'!E72</f>
        <v>2459.9337946428586</v>
      </c>
      <c r="F32" s="485">
        <f>E32+E33-'8. P&amp;L and Cashflow'!F72</f>
        <v>2917.1669483003216</v>
      </c>
      <c r="G32" s="485">
        <f>F32+F33-'8. P&amp;L and Cashflow'!G72</f>
        <v>3377.2085454986864</v>
      </c>
      <c r="H32" s="485">
        <f>G32+G33-'8. P&amp;L and Cashflow'!H72</f>
        <v>3840.0734851933844</v>
      </c>
      <c r="I32" s="485">
        <f>H32+H33-'8. P&amp;L and Cashflow'!I72</f>
        <v>4305.7767457364935</v>
      </c>
      <c r="J32" s="485">
        <f>I32+I33-'8. P&amp;L and Cashflow'!J72</f>
        <v>4774.3333853013601</v>
      </c>
      <c r="K32" s="485">
        <f>J32+J33-'8. P&amp;L and Cashflow'!K72</f>
        <v>5245.7585423095006</v>
      </c>
      <c r="L32" s="485">
        <f>K32+K33-'8. P&amp;L and Cashflow'!L72</f>
        <v>5720.0674358597917</v>
      </c>
      <c r="M32" s="485">
        <f>L32+L33-'8. P&amp;L and Cashflow'!M72</f>
        <v>6197.2753661599618</v>
      </c>
      <c r="N32" s="485">
        <f>M32+M33-'8. P&amp;L and Cashflow'!N72</f>
        <v>6677.3977149604007</v>
      </c>
      <c r="O32" s="480">
        <f>N32+N33-'8. P&amp;L and Cashflow'!O72</f>
        <v>7160.4499459902881</v>
      </c>
      <c r="P32" s="493">
        <f>D32</f>
        <v>5456</v>
      </c>
      <c r="Q32" s="511">
        <f>P32+P33</f>
        <v>7646.447605396068</v>
      </c>
      <c r="R32" s="485">
        <f>Q32+Q33-'8. P&amp;L and Cashflow'!R72</f>
        <v>8967.4120786933272</v>
      </c>
      <c r="S32" s="485">
        <f>R32+R33-'8. P&amp;L and Cashflow'!S72</f>
        <v>10291.353321676826</v>
      </c>
      <c r="T32" s="485">
        <f>S32+S33-'8. P&amp;L and Cashflow'!T72</f>
        <v>11618.287130399225</v>
      </c>
      <c r="U32" s="485">
        <f>T32+T33-'8. P&amp;L and Cashflow'!U72</f>
        <v>12948.229385107978</v>
      </c>
      <c r="V32" s="485">
        <f>U32+U33-'8. P&amp;L and Cashflow'!V72</f>
        <v>14281.1960506957</v>
      </c>
      <c r="W32" s="485">
        <f>V32+V33-'8. P&amp;L and Cashflow'!W72</f>
        <v>15617.203177152942</v>
      </c>
      <c r="X32" s="485">
        <f>W32+W33-'8. P&amp;L and Cashflow'!X72</f>
        <v>16956.266900023387</v>
      </c>
      <c r="Y32" s="485">
        <f>X32+X33-'8. P&amp;L and Cashflow'!Y72</f>
        <v>18298.403440861501</v>
      </c>
      <c r="Z32" s="485">
        <f>Y32+Y33-'8. P&amp;L and Cashflow'!Z72</f>
        <v>19643.629107692628</v>
      </c>
      <c r="AA32" s="485">
        <f>Z32+Z33-'8. P&amp;L and Cashflow'!AA72</f>
        <v>20991.960295475561</v>
      </c>
      <c r="AB32" s="480">
        <f>AA32+AA33-'8. P&amp;L and Cashflow'!AB72</f>
        <v>22343.413486567595</v>
      </c>
      <c r="AC32" s="493">
        <f>Q32</f>
        <v>7646.447605396068</v>
      </c>
      <c r="AD32" s="493">
        <f>AC32+AC33</f>
        <v>23698.005251192058</v>
      </c>
      <c r="AE32" s="493">
        <f t="shared" ref="AE32:AF32" si="16">AD32+AD33</f>
        <v>50471.380001917889</v>
      </c>
      <c r="AF32" s="493">
        <f t="shared" si="16"/>
        <v>89379.270390743768</v>
      </c>
    </row>
    <row r="33" spans="2:32" x14ac:dyDescent="0.2">
      <c r="B33" s="472" t="s">
        <v>276</v>
      </c>
      <c r="C33" s="488">
        <v>0</v>
      </c>
      <c r="D33" s="511">
        <f>'8. P&amp;L and Cashflow'!D60</f>
        <v>-2996.0662053571414</v>
      </c>
      <c r="E33" s="485">
        <f>'8. P&amp;L and Cashflow'!E60</f>
        <v>457.23315365746316</v>
      </c>
      <c r="F33" s="485">
        <f>'8. P&amp;L and Cashflow'!F60</f>
        <v>460.04159719836485</v>
      </c>
      <c r="G33" s="485">
        <f>'8. P&amp;L and Cashflow'!G60</f>
        <v>462.86493969469819</v>
      </c>
      <c r="H33" s="485">
        <f>'8. P&amp;L and Cashflow'!H60</f>
        <v>465.70326054310902</v>
      </c>
      <c r="I33" s="485">
        <f>'8. P&amp;L and Cashflow'!I60</f>
        <v>468.55663956486643</v>
      </c>
      <c r="J33" s="485">
        <f>'8. P&amp;L and Cashflow'!J60</f>
        <v>471.42515700814033</v>
      </c>
      <c r="K33" s="485">
        <f>'8. P&amp;L and Cashflow'!K60</f>
        <v>474.30889355029086</v>
      </c>
      <c r="L33" s="485">
        <f>'8. P&amp;L and Cashflow'!L60</f>
        <v>477.20793030017057</v>
      </c>
      <c r="M33" s="485">
        <f>'8. P&amp;L and Cashflow'!M60</f>
        <v>480.1223488004386</v>
      </c>
      <c r="N33" s="485">
        <f>'8. P&amp;L and Cashflow'!N60</f>
        <v>483.05223102988708</v>
      </c>
      <c r="O33" s="480">
        <f>'8. P&amp;L and Cashflow'!O60</f>
        <v>485.99765940578106</v>
      </c>
      <c r="P33" s="493">
        <f>SUM(D33:O33)</f>
        <v>2190.4476053960684</v>
      </c>
      <c r="Q33" s="511">
        <f>'8. P&amp;L and Cashflow'!Q60</f>
        <v>1320.9644732972586</v>
      </c>
      <c r="R33" s="485">
        <f>'8. P&amp;L and Cashflow'!R60</f>
        <v>1323.9412429834999</v>
      </c>
      <c r="S33" s="485">
        <f>'8. P&amp;L and Cashflow'!S60</f>
        <v>1326.9338087223982</v>
      </c>
      <c r="T33" s="485">
        <f>'8. P&amp;L and Cashflow'!T60</f>
        <v>1329.9422547087529</v>
      </c>
      <c r="U33" s="485">
        <f>'8. P&amp;L and Cashflow'!U60</f>
        <v>1332.9666655877229</v>
      </c>
      <c r="V33" s="485">
        <f>'8. P&amp;L and Cashflow'!V60</f>
        <v>1336.0071264572412</v>
      </c>
      <c r="W33" s="485">
        <f>'8. P&amp;L and Cashflow'!W60</f>
        <v>1339.0637228704438</v>
      </c>
      <c r="X33" s="485">
        <f>'8. P&amp;L and Cashflow'!X60</f>
        <v>1342.1365408381118</v>
      </c>
      <c r="Y33" s="485">
        <f>'8. P&amp;L and Cashflow'!Y60</f>
        <v>1345.2256668311256</v>
      </c>
      <c r="Z33" s="485">
        <f>'8. P&amp;L and Cashflow'!Z60</f>
        <v>1348.331187782934</v>
      </c>
      <c r="AA33" s="485">
        <f>'8. P&amp;L and Cashflow'!AA60</f>
        <v>1351.4531910920346</v>
      </c>
      <c r="AB33" s="480">
        <f>'8. P&amp;L and Cashflow'!AB60</f>
        <v>1354.5917646244686</v>
      </c>
      <c r="AC33" s="493">
        <f>SUM(Q33:AB33)</f>
        <v>16051.557645795992</v>
      </c>
      <c r="AD33" s="493">
        <f>'8. P&amp;L and Cashflow'!AD60</f>
        <v>26773.37475072583</v>
      </c>
      <c r="AE33" s="493">
        <f>'8. P&amp;L and Cashflow'!AE60</f>
        <v>38907.890388825886</v>
      </c>
      <c r="AF33" s="493">
        <f>'8. P&amp;L and Cashflow'!AF60</f>
        <v>52465.170451704442</v>
      </c>
    </row>
    <row r="34" spans="2:32" ht="13.5" thickBot="1" x14ac:dyDescent="0.25">
      <c r="B34" s="464" t="s">
        <v>269</v>
      </c>
      <c r="C34" s="489">
        <f t="shared" ref="C34" si="17">C31+C32+C33</f>
        <v>13091</v>
      </c>
      <c r="D34" s="515">
        <f>SUM(D31:D33)</f>
        <v>20844.933794642857</v>
      </c>
      <c r="E34" s="486">
        <f t="shared" ref="E34:AF34" si="18">SUM(E31:E33)</f>
        <v>21302.166948300321</v>
      </c>
      <c r="F34" s="486">
        <f t="shared" si="18"/>
        <v>21762.208545498685</v>
      </c>
      <c r="G34" s="486">
        <f t="shared" si="18"/>
        <v>22225.073485193385</v>
      </c>
      <c r="H34" s="486">
        <f t="shared" si="18"/>
        <v>22690.776745736493</v>
      </c>
      <c r="I34" s="486">
        <f t="shared" si="18"/>
        <v>23159.333385301361</v>
      </c>
      <c r="J34" s="486">
        <f t="shared" si="18"/>
        <v>23630.758542309501</v>
      </c>
      <c r="K34" s="486">
        <f t="shared" si="18"/>
        <v>24105.06743585979</v>
      </c>
      <c r="L34" s="486">
        <f t="shared" si="18"/>
        <v>24582.27536615996</v>
      </c>
      <c r="M34" s="486">
        <f t="shared" si="18"/>
        <v>25062.397714960403</v>
      </c>
      <c r="N34" s="486">
        <f t="shared" si="18"/>
        <v>25545.449945990287</v>
      </c>
      <c r="O34" s="481">
        <f t="shared" si="18"/>
        <v>26031.447605396068</v>
      </c>
      <c r="P34" s="494">
        <f t="shared" si="18"/>
        <v>26031.447605396068</v>
      </c>
      <c r="Q34" s="515">
        <f t="shared" si="18"/>
        <v>27352.412078693327</v>
      </c>
      <c r="R34" s="486">
        <f t="shared" si="18"/>
        <v>28676.353321676826</v>
      </c>
      <c r="S34" s="486">
        <f t="shared" si="18"/>
        <v>30003.287130399225</v>
      </c>
      <c r="T34" s="486">
        <f t="shared" si="18"/>
        <v>31333.229385107978</v>
      </c>
      <c r="U34" s="486">
        <f t="shared" si="18"/>
        <v>32666.1960506957</v>
      </c>
      <c r="V34" s="486">
        <f t="shared" si="18"/>
        <v>34002.203177152944</v>
      </c>
      <c r="W34" s="486">
        <f t="shared" si="18"/>
        <v>35341.266900023387</v>
      </c>
      <c r="X34" s="486">
        <f t="shared" si="18"/>
        <v>36683.403440861497</v>
      </c>
      <c r="Y34" s="486">
        <f t="shared" si="18"/>
        <v>38028.629107692621</v>
      </c>
      <c r="Z34" s="486">
        <f t="shared" si="18"/>
        <v>39376.960295475561</v>
      </c>
      <c r="AA34" s="486">
        <f t="shared" si="18"/>
        <v>40728.413486567595</v>
      </c>
      <c r="AB34" s="481">
        <f t="shared" si="18"/>
        <v>42083.005251192066</v>
      </c>
      <c r="AC34" s="494">
        <f t="shared" si="18"/>
        <v>42083.005251192058</v>
      </c>
      <c r="AD34" s="494">
        <f t="shared" si="18"/>
        <v>68856.380001917889</v>
      </c>
      <c r="AE34" s="494">
        <f t="shared" si="18"/>
        <v>107764.27039074377</v>
      </c>
      <c r="AF34" s="494">
        <f t="shared" si="18"/>
        <v>160229.44084244821</v>
      </c>
    </row>
    <row r="35" spans="2:32" ht="21" customHeight="1" thickBot="1" x14ac:dyDescent="0.25">
      <c r="B35" s="465" t="s">
        <v>270</v>
      </c>
      <c r="C35" s="507">
        <f>C26+C28+C31+C32+C33</f>
        <v>13091</v>
      </c>
      <c r="D35" s="516">
        <f t="shared" ref="D35:AF35" si="19">D34+D29</f>
        <v>50275.888221873582</v>
      </c>
      <c r="E35" s="522">
        <f t="shared" si="19"/>
        <v>50161.073971136655</v>
      </c>
      <c r="F35" s="522">
        <f t="shared" si="19"/>
        <v>50046.050407804883</v>
      </c>
      <c r="G35" s="522">
        <f t="shared" si="19"/>
        <v>49930.816421462834</v>
      </c>
      <c r="H35" s="522">
        <f t="shared" si="19"/>
        <v>49815.370895777683</v>
      </c>
      <c r="I35" s="522">
        <f t="shared" si="19"/>
        <v>49699.712708467523</v>
      </c>
      <c r="J35" s="522">
        <f t="shared" si="19"/>
        <v>49583.840731269593</v>
      </c>
      <c r="K35" s="522">
        <f t="shared" si="19"/>
        <v>49467.753829908259</v>
      </c>
      <c r="L35" s="522">
        <f t="shared" si="19"/>
        <v>49351.450864062863</v>
      </c>
      <c r="M35" s="522">
        <f t="shared" si="19"/>
        <v>49234.9306873354</v>
      </c>
      <c r="N35" s="522">
        <f t="shared" si="19"/>
        <v>49118.192147217989</v>
      </c>
      <c r="O35" s="527">
        <f t="shared" si="19"/>
        <v>49001.234085060234</v>
      </c>
      <c r="P35" s="532">
        <f t="shared" si="19"/>
        <v>49001.234085060234</v>
      </c>
      <c r="Q35" s="516">
        <f t="shared" si="19"/>
        <v>49716.061092547374</v>
      </c>
      <c r="R35" s="522">
        <f t="shared" si="19"/>
        <v>50430.666242134146</v>
      </c>
      <c r="S35" s="522">
        <f t="shared" si="19"/>
        <v>51145.048356544692</v>
      </c>
      <c r="T35" s="522">
        <f t="shared" si="19"/>
        <v>51859.206252228134</v>
      </c>
      <c r="U35" s="522">
        <f t="shared" si="19"/>
        <v>52573.138739325033</v>
      </c>
      <c r="V35" s="522">
        <f t="shared" si="19"/>
        <v>53286.844621633594</v>
      </c>
      <c r="W35" s="522">
        <f t="shared" si="19"/>
        <v>54000.322696575786</v>
      </c>
      <c r="X35" s="522">
        <f t="shared" si="19"/>
        <v>54713.571755163197</v>
      </c>
      <c r="Y35" s="522">
        <f t="shared" si="19"/>
        <v>55426.590581962795</v>
      </c>
      <c r="Z35" s="522">
        <f t="shared" si="19"/>
        <v>56139.377955062402</v>
      </c>
      <c r="AA35" s="522">
        <f t="shared" si="19"/>
        <v>56851.932646036032</v>
      </c>
      <c r="AB35" s="527">
        <f t="shared" si="19"/>
        <v>57564.253419909102</v>
      </c>
      <c r="AC35" s="532">
        <f t="shared" si="19"/>
        <v>57564.253419909088</v>
      </c>
      <c r="AD35" s="532">
        <f t="shared" si="19"/>
        <v>76360.709816087576</v>
      </c>
      <c r="AE35" s="532">
        <f t="shared" si="19"/>
        <v>114350.17282627245</v>
      </c>
      <c r="AF35" s="532">
        <f t="shared" si="19"/>
        <v>165849.92741157807</v>
      </c>
    </row>
    <row r="36" spans="2:32" x14ac:dyDescent="0.2">
      <c r="B36" s="466" t="s">
        <v>271</v>
      </c>
      <c r="C36" s="508">
        <f t="shared" ref="C36:AF36" si="20">C19-C29</f>
        <v>13091</v>
      </c>
      <c r="D36" s="517">
        <f t="shared" si="20"/>
        <v>61594.933794642857</v>
      </c>
      <c r="E36" s="523">
        <f t="shared" si="20"/>
        <v>57052.166948300328</v>
      </c>
      <c r="F36" s="523">
        <f t="shared" si="20"/>
        <v>57512.208545498688</v>
      </c>
      <c r="G36" s="523">
        <f t="shared" si="20"/>
        <v>57975.073485193381</v>
      </c>
      <c r="H36" s="523">
        <f t="shared" si="20"/>
        <v>58440.776745736497</v>
      </c>
      <c r="I36" s="523">
        <f t="shared" si="20"/>
        <v>58909.333385301368</v>
      </c>
      <c r="J36" s="523">
        <f t="shared" si="20"/>
        <v>59380.758542309515</v>
      </c>
      <c r="K36" s="523">
        <f t="shared" si="20"/>
        <v>59855.067435859797</v>
      </c>
      <c r="L36" s="523">
        <f t="shared" si="20"/>
        <v>60332.275366159971</v>
      </c>
      <c r="M36" s="523">
        <f t="shared" si="20"/>
        <v>60812.397714960411</v>
      </c>
      <c r="N36" s="523">
        <f t="shared" si="20"/>
        <v>61295.449945990295</v>
      </c>
      <c r="O36" s="528">
        <f t="shared" si="20"/>
        <v>61781.447605396068</v>
      </c>
      <c r="P36" s="533">
        <f t="shared" si="20"/>
        <v>61781.447605396068</v>
      </c>
      <c r="Q36" s="517">
        <f t="shared" si="20"/>
        <v>63102.412078693327</v>
      </c>
      <c r="R36" s="523">
        <f t="shared" si="20"/>
        <v>64426.353321676826</v>
      </c>
      <c r="S36" s="523">
        <f t="shared" si="20"/>
        <v>65753.287130399229</v>
      </c>
      <c r="T36" s="523">
        <f t="shared" si="20"/>
        <v>67083.229385107974</v>
      </c>
      <c r="U36" s="523">
        <f t="shared" si="20"/>
        <v>68416.196050695697</v>
      </c>
      <c r="V36" s="523">
        <f t="shared" si="20"/>
        <v>69752.203177152929</v>
      </c>
      <c r="W36" s="523">
        <f t="shared" si="20"/>
        <v>71091.266900023387</v>
      </c>
      <c r="X36" s="523">
        <f t="shared" si="20"/>
        <v>72433.403440861497</v>
      </c>
      <c r="Y36" s="523">
        <f t="shared" si="20"/>
        <v>73778.629107692614</v>
      </c>
      <c r="Z36" s="523">
        <f t="shared" si="20"/>
        <v>75126.960295475554</v>
      </c>
      <c r="AA36" s="523">
        <f t="shared" si="20"/>
        <v>76478.413486567573</v>
      </c>
      <c r="AB36" s="528">
        <f t="shared" si="20"/>
        <v>77833.005251192037</v>
      </c>
      <c r="AC36" s="533">
        <f t="shared" si="20"/>
        <v>77833.005251192037</v>
      </c>
      <c r="AD36" s="533">
        <f t="shared" si="20"/>
        <v>104606.3800019179</v>
      </c>
      <c r="AE36" s="533">
        <f t="shared" si="20"/>
        <v>143514.2703907438</v>
      </c>
      <c r="AF36" s="533">
        <f t="shared" si="20"/>
        <v>196866.55869547836</v>
      </c>
    </row>
    <row r="37" spans="2:32" x14ac:dyDescent="0.2">
      <c r="C37" s="456" t="str">
        <f t="shared" ref="C37:AF37" si="21">IF(ROUND(C35-C19,0)&lt;&gt;0,"Checkline Problem"," ")</f>
        <v xml:space="preserve"> </v>
      </c>
      <c r="D37" s="456" t="str">
        <f t="shared" si="21"/>
        <v>Checkline Problem</v>
      </c>
      <c r="E37" s="456" t="str">
        <f t="shared" si="21"/>
        <v>Checkline Problem</v>
      </c>
      <c r="F37" s="456" t="str">
        <f t="shared" si="21"/>
        <v>Checkline Problem</v>
      </c>
      <c r="G37" s="456" t="str">
        <f t="shared" si="21"/>
        <v>Checkline Problem</v>
      </c>
      <c r="H37" s="456" t="str">
        <f t="shared" si="21"/>
        <v>Checkline Problem</v>
      </c>
      <c r="I37" s="456" t="str">
        <f t="shared" si="21"/>
        <v>Checkline Problem</v>
      </c>
      <c r="J37" s="456" t="str">
        <f t="shared" si="21"/>
        <v>Checkline Problem</v>
      </c>
      <c r="K37" s="456" t="str">
        <f t="shared" si="21"/>
        <v>Checkline Problem</v>
      </c>
      <c r="L37" s="456" t="str">
        <f t="shared" si="21"/>
        <v>Checkline Problem</v>
      </c>
      <c r="M37" s="456" t="str">
        <f t="shared" si="21"/>
        <v>Checkline Problem</v>
      </c>
      <c r="N37" s="456" t="str">
        <f t="shared" si="21"/>
        <v>Checkline Problem</v>
      </c>
      <c r="O37" s="456" t="str">
        <f t="shared" si="21"/>
        <v>Checkline Problem</v>
      </c>
      <c r="P37" s="456" t="str">
        <f t="shared" si="21"/>
        <v>Checkline Problem</v>
      </c>
      <c r="Q37" s="456" t="str">
        <f t="shared" si="21"/>
        <v>Checkline Problem</v>
      </c>
      <c r="R37" s="456" t="str">
        <f t="shared" si="21"/>
        <v>Checkline Problem</v>
      </c>
      <c r="S37" s="456" t="str">
        <f t="shared" si="21"/>
        <v>Checkline Problem</v>
      </c>
      <c r="T37" s="456" t="str">
        <f t="shared" si="21"/>
        <v>Checkline Problem</v>
      </c>
      <c r="U37" s="456" t="str">
        <f t="shared" si="21"/>
        <v>Checkline Problem</v>
      </c>
      <c r="V37" s="456" t="str">
        <f t="shared" si="21"/>
        <v>Checkline Problem</v>
      </c>
      <c r="W37" s="456" t="str">
        <f t="shared" si="21"/>
        <v>Checkline Problem</v>
      </c>
      <c r="X37" s="456" t="str">
        <f t="shared" si="21"/>
        <v>Checkline Problem</v>
      </c>
      <c r="Y37" s="456" t="str">
        <f t="shared" si="21"/>
        <v>Checkline Problem</v>
      </c>
      <c r="Z37" s="456" t="str">
        <f t="shared" si="21"/>
        <v>Checkline Problem</v>
      </c>
      <c r="AA37" s="456" t="str">
        <f t="shared" si="21"/>
        <v>Checkline Problem</v>
      </c>
      <c r="AB37" s="456" t="str">
        <f t="shared" si="21"/>
        <v>Checkline Problem</v>
      </c>
      <c r="AC37" s="456" t="str">
        <f t="shared" si="21"/>
        <v>Checkline Problem</v>
      </c>
      <c r="AD37" s="456" t="str">
        <f t="shared" si="21"/>
        <v>Checkline Problem</v>
      </c>
      <c r="AE37" s="456" t="str">
        <f t="shared" si="21"/>
        <v>Checkline Problem</v>
      </c>
      <c r="AF37" s="456" t="str">
        <f t="shared" si="21"/>
        <v>Checkline Problem</v>
      </c>
    </row>
    <row r="38" spans="2:32" x14ac:dyDescent="0.2">
      <c r="C38" s="457"/>
      <c r="D38" s="457">
        <f>D19-D35</f>
        <v>40750</v>
      </c>
      <c r="E38" s="457">
        <f t="shared" ref="E38:AF38" si="22">E19-E35</f>
        <v>35750.000000000007</v>
      </c>
      <c r="F38" s="457">
        <f t="shared" si="22"/>
        <v>35750</v>
      </c>
      <c r="G38" s="457">
        <f t="shared" si="22"/>
        <v>35750</v>
      </c>
      <c r="H38" s="457">
        <f t="shared" si="22"/>
        <v>35750</v>
      </c>
      <c r="I38" s="457">
        <f t="shared" si="22"/>
        <v>35750.000000000007</v>
      </c>
      <c r="J38" s="457">
        <f t="shared" si="22"/>
        <v>35750.000000000015</v>
      </c>
      <c r="K38" s="457">
        <f t="shared" si="22"/>
        <v>35750.000000000007</v>
      </c>
      <c r="L38" s="457">
        <f t="shared" si="22"/>
        <v>35750.000000000015</v>
      </c>
      <c r="M38" s="457">
        <f t="shared" si="22"/>
        <v>35750.000000000007</v>
      </c>
      <c r="N38" s="457">
        <f t="shared" si="22"/>
        <v>35750.000000000007</v>
      </c>
      <c r="O38" s="457">
        <f t="shared" si="22"/>
        <v>35750</v>
      </c>
      <c r="P38" s="457">
        <f t="shared" si="22"/>
        <v>35750</v>
      </c>
      <c r="Q38" s="457">
        <f t="shared" si="22"/>
        <v>35750</v>
      </c>
      <c r="R38" s="457">
        <f t="shared" si="22"/>
        <v>35750</v>
      </c>
      <c r="S38" s="457">
        <f t="shared" si="22"/>
        <v>35750</v>
      </c>
      <c r="T38" s="457">
        <f t="shared" si="22"/>
        <v>35750</v>
      </c>
      <c r="U38" s="457">
        <f t="shared" si="22"/>
        <v>35750</v>
      </c>
      <c r="V38" s="457">
        <f t="shared" si="22"/>
        <v>35749.999999999993</v>
      </c>
      <c r="W38" s="457">
        <f t="shared" si="22"/>
        <v>35749.999999999993</v>
      </c>
      <c r="X38" s="457">
        <f t="shared" si="22"/>
        <v>35750</v>
      </c>
      <c r="Y38" s="457">
        <f t="shared" si="22"/>
        <v>35750</v>
      </c>
      <c r="Z38" s="457">
        <f t="shared" si="22"/>
        <v>35749.999999999985</v>
      </c>
      <c r="AA38" s="457">
        <f t="shared" si="22"/>
        <v>35749.999999999985</v>
      </c>
      <c r="AB38" s="457">
        <f t="shared" si="22"/>
        <v>35749.999999999971</v>
      </c>
      <c r="AC38" s="457">
        <f t="shared" si="22"/>
        <v>35749.999999999985</v>
      </c>
      <c r="AD38" s="457">
        <f t="shared" si="22"/>
        <v>35750.000000000015</v>
      </c>
      <c r="AE38" s="457">
        <f t="shared" si="22"/>
        <v>35750.000000000044</v>
      </c>
      <c r="AF38" s="457">
        <f t="shared" si="22"/>
        <v>36637.117853030155</v>
      </c>
    </row>
    <row r="39" spans="2:32" x14ac:dyDescent="0.2">
      <c r="E39" s="457"/>
      <c r="F39" s="457"/>
      <c r="G39" s="457"/>
      <c r="H39" s="457"/>
      <c r="I39" s="457"/>
      <c r="J39" s="457"/>
      <c r="K39" s="457"/>
      <c r="L39" s="457"/>
      <c r="M39" s="457"/>
      <c r="N39" s="457"/>
      <c r="O39" s="457"/>
      <c r="P39" s="457"/>
      <c r="Q39" s="457"/>
      <c r="R39" s="457"/>
      <c r="S39" s="457"/>
      <c r="T39" s="457"/>
      <c r="U39" s="457"/>
      <c r="V39" s="457"/>
      <c r="W39" s="457"/>
      <c r="X39" s="457"/>
      <c r="Y39" s="457"/>
      <c r="Z39" s="457"/>
      <c r="AA39" s="457"/>
      <c r="AB39" s="457"/>
      <c r="AC39" s="457"/>
      <c r="AD39" s="457"/>
      <c r="AE39" s="457"/>
      <c r="AF39" s="457"/>
    </row>
  </sheetData>
  <pageMargins left="0.17" right="0.17" top="0.55000000000000004" bottom="0.41" header="0.3" footer="0.3"/>
  <pageSetup scale="41" orientation="landscape" r:id="rId1"/>
  <headerFooter>
    <oddHeader>&amp;LTab 12 Balance Sheet&amp;CRapid Business Plan</oddHeader>
    <oddFooter>&amp;L&amp;D&amp;CHeartland Information Research, Inc</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dimension ref="A1:BP31"/>
  <sheetViews>
    <sheetView showGridLines="0" zoomScale="85" zoomScaleNormal="85" workbookViewId="0">
      <pane xSplit="3" ySplit="3" topLeftCell="D4" activePane="bottomRight" state="frozenSplit"/>
      <selection pane="topRight" activeCell="C6" sqref="C6"/>
      <selection pane="bottomLeft" activeCell="A4" sqref="A4"/>
      <selection pane="bottomRight" activeCell="D4" sqref="D4"/>
    </sheetView>
  </sheetViews>
  <sheetFormatPr defaultColWidth="18.7109375" defaultRowHeight="12.75" customHeight="1" x14ac:dyDescent="0.2"/>
  <cols>
    <col min="1" max="1" width="11.140625" customWidth="1"/>
    <col min="2" max="2" width="8.85546875" customWidth="1"/>
    <col min="3" max="3" width="11.7109375" customWidth="1"/>
    <col min="4" max="4" width="10" bestFit="1" customWidth="1"/>
    <col min="5" max="6" width="9.42578125" bestFit="1" customWidth="1"/>
    <col min="7" max="15" width="9.42578125" customWidth="1"/>
    <col min="16" max="16" width="10" bestFit="1" customWidth="1"/>
    <col min="17" max="17" width="10" customWidth="1"/>
    <col min="18" max="68" width="9.42578125" customWidth="1"/>
  </cols>
  <sheetData>
    <row r="1" spans="1:68" x14ac:dyDescent="0.2">
      <c r="A1" t="s">
        <v>49</v>
      </c>
    </row>
    <row r="2" spans="1:68" x14ac:dyDescent="0.2">
      <c r="A2" s="681" t="str">
        <f>'0. Basic Info'!D11</f>
        <v>My Business</v>
      </c>
      <c r="B2" s="681"/>
      <c r="C2" s="681"/>
      <c r="D2" s="1">
        <v>1</v>
      </c>
      <c r="E2" s="1">
        <v>2</v>
      </c>
      <c r="F2" s="1">
        <v>3</v>
      </c>
      <c r="G2" s="1">
        <v>4</v>
      </c>
      <c r="H2" s="1">
        <v>5</v>
      </c>
      <c r="I2" s="1">
        <v>6</v>
      </c>
      <c r="J2" s="1">
        <v>7</v>
      </c>
      <c r="K2" s="1">
        <v>8</v>
      </c>
      <c r="L2" s="1">
        <v>9</v>
      </c>
      <c r="M2" s="1">
        <v>10</v>
      </c>
      <c r="N2" s="1">
        <v>11</v>
      </c>
      <c r="O2" s="1">
        <v>12</v>
      </c>
      <c r="Q2" s="1">
        <v>13</v>
      </c>
      <c r="R2" s="1">
        <v>14</v>
      </c>
      <c r="S2" s="1">
        <v>15</v>
      </c>
      <c r="T2" s="1">
        <v>16</v>
      </c>
      <c r="U2" s="1">
        <v>17</v>
      </c>
      <c r="V2" s="1">
        <v>18</v>
      </c>
      <c r="W2" s="1">
        <v>19</v>
      </c>
      <c r="X2" s="1">
        <v>20</v>
      </c>
      <c r="Y2" s="1">
        <v>21</v>
      </c>
      <c r="Z2" s="1">
        <v>22</v>
      </c>
      <c r="AA2" s="1">
        <v>23</v>
      </c>
      <c r="AB2" s="1">
        <v>24</v>
      </c>
      <c r="AD2" s="1">
        <v>25</v>
      </c>
      <c r="AE2" s="1">
        <v>26</v>
      </c>
      <c r="AF2" s="1">
        <v>27</v>
      </c>
      <c r="AG2" s="1">
        <v>28</v>
      </c>
      <c r="AH2" s="1">
        <v>29</v>
      </c>
      <c r="AI2" s="1">
        <v>30</v>
      </c>
      <c r="AJ2" s="1">
        <v>31</v>
      </c>
      <c r="AK2" s="1">
        <v>32</v>
      </c>
      <c r="AL2" s="1">
        <v>33</v>
      </c>
      <c r="AM2" s="1">
        <v>34</v>
      </c>
      <c r="AN2" s="1">
        <v>35</v>
      </c>
      <c r="AO2" s="1">
        <v>36</v>
      </c>
      <c r="AQ2" s="1">
        <v>37</v>
      </c>
      <c r="AR2" s="1">
        <v>38</v>
      </c>
      <c r="AS2" s="1">
        <v>39</v>
      </c>
      <c r="AT2" s="1">
        <v>40</v>
      </c>
      <c r="AU2" s="1">
        <v>41</v>
      </c>
      <c r="AV2" s="1">
        <v>42</v>
      </c>
      <c r="AW2" s="1">
        <v>43</v>
      </c>
      <c r="AX2" s="1">
        <v>44</v>
      </c>
      <c r="AY2" s="1">
        <v>45</v>
      </c>
      <c r="AZ2" s="1">
        <v>46</v>
      </c>
      <c r="BA2" s="1">
        <v>47</v>
      </c>
      <c r="BB2" s="1">
        <v>48</v>
      </c>
      <c r="BD2" s="1">
        <v>49</v>
      </c>
      <c r="BE2" s="1">
        <v>50</v>
      </c>
      <c r="BF2" s="1">
        <v>51</v>
      </c>
      <c r="BG2" s="1">
        <v>52</v>
      </c>
      <c r="BH2" s="1">
        <v>53</v>
      </c>
      <c r="BI2" s="1">
        <v>54</v>
      </c>
      <c r="BJ2" s="1">
        <v>55</v>
      </c>
      <c r="BK2" s="1">
        <v>56</v>
      </c>
      <c r="BL2" s="1">
        <v>57</v>
      </c>
      <c r="BM2" s="1">
        <v>58</v>
      </c>
      <c r="BN2" s="1">
        <v>59</v>
      </c>
      <c r="BO2" s="1">
        <v>60</v>
      </c>
      <c r="BP2" s="1"/>
    </row>
    <row r="3" spans="1:68" ht="13.5" thickBot="1" x14ac:dyDescent="0.25">
      <c r="A3" t="str">
        <f>'7. Funding Plan'!A22</f>
        <v>Term Loan 1</v>
      </c>
      <c r="D3" s="49">
        <f>DATE('0. Basic Info'!D16,'0. Basic Info'!D17,1)</f>
        <v>43466</v>
      </c>
      <c r="E3" s="49">
        <f>D3+31</f>
        <v>43497</v>
      </c>
      <c r="F3" s="49">
        <f>E3+31</f>
        <v>43528</v>
      </c>
      <c r="G3" s="49">
        <f>F3+31</f>
        <v>43559</v>
      </c>
      <c r="H3" s="49">
        <f t="shared" ref="H3:O3" si="0">G3+31</f>
        <v>43590</v>
      </c>
      <c r="I3" s="49">
        <f t="shared" si="0"/>
        <v>43621</v>
      </c>
      <c r="J3" s="49">
        <f t="shared" si="0"/>
        <v>43652</v>
      </c>
      <c r="K3" s="49">
        <f t="shared" si="0"/>
        <v>43683</v>
      </c>
      <c r="L3" s="49">
        <f t="shared" si="0"/>
        <v>43714</v>
      </c>
      <c r="M3" s="49">
        <f t="shared" si="0"/>
        <v>43745</v>
      </c>
      <c r="N3" s="49">
        <f t="shared" si="0"/>
        <v>43776</v>
      </c>
      <c r="O3" s="49">
        <f t="shared" si="0"/>
        <v>43807</v>
      </c>
      <c r="P3" s="1">
        <f>IF('0. Basic Info'!$D17=1,'0. Basic Info'!$D16,"Year 1")</f>
        <v>2019</v>
      </c>
      <c r="Q3" s="49">
        <f>D3</f>
        <v>43466</v>
      </c>
      <c r="R3" s="49">
        <f>Q3+31</f>
        <v>43497</v>
      </c>
      <c r="S3" s="49">
        <f>R3+31</f>
        <v>43528</v>
      </c>
      <c r="T3" s="49">
        <f>S3+31</f>
        <v>43559</v>
      </c>
      <c r="U3" s="49">
        <f t="shared" ref="U3:AB3" si="1">T3+31</f>
        <v>43590</v>
      </c>
      <c r="V3" s="49">
        <f t="shared" si="1"/>
        <v>43621</v>
      </c>
      <c r="W3" s="49">
        <f t="shared" si="1"/>
        <v>43652</v>
      </c>
      <c r="X3" s="49">
        <f t="shared" si="1"/>
        <v>43683</v>
      </c>
      <c r="Y3" s="49">
        <f t="shared" si="1"/>
        <v>43714</v>
      </c>
      <c r="Z3" s="49">
        <f t="shared" si="1"/>
        <v>43745</v>
      </c>
      <c r="AA3" s="49">
        <f t="shared" si="1"/>
        <v>43776</v>
      </c>
      <c r="AB3" s="49">
        <f t="shared" si="1"/>
        <v>43807</v>
      </c>
      <c r="AC3" s="1">
        <f>IF('0. Basic Info'!$D17=1,'0. Basic Info'!$D16+1,"Year 2")</f>
        <v>2020</v>
      </c>
      <c r="AD3" s="49">
        <f>Q3</f>
        <v>43466</v>
      </c>
      <c r="AE3" s="49">
        <f>AD3+31</f>
        <v>43497</v>
      </c>
      <c r="AF3" s="49">
        <f>AE3+31</f>
        <v>43528</v>
      </c>
      <c r="AG3" s="49">
        <f>AF3+31</f>
        <v>43559</v>
      </c>
      <c r="AH3" s="49">
        <f t="shared" ref="AH3:AO3" si="2">AG3+31</f>
        <v>43590</v>
      </c>
      <c r="AI3" s="49">
        <f t="shared" si="2"/>
        <v>43621</v>
      </c>
      <c r="AJ3" s="49">
        <f t="shared" si="2"/>
        <v>43652</v>
      </c>
      <c r="AK3" s="49">
        <f t="shared" si="2"/>
        <v>43683</v>
      </c>
      <c r="AL3" s="49">
        <f t="shared" si="2"/>
        <v>43714</v>
      </c>
      <c r="AM3" s="49">
        <f t="shared" si="2"/>
        <v>43745</v>
      </c>
      <c r="AN3" s="49">
        <f t="shared" si="2"/>
        <v>43776</v>
      </c>
      <c r="AO3" s="49">
        <f t="shared" si="2"/>
        <v>43807</v>
      </c>
      <c r="AP3" s="1">
        <f>IF('0. Basic Info'!$D17=1,'0. Basic Info'!$D16+2,"Year 3")</f>
        <v>2021</v>
      </c>
      <c r="AQ3" s="49">
        <f>AD3</f>
        <v>43466</v>
      </c>
      <c r="AR3" s="49">
        <f>AQ3+31</f>
        <v>43497</v>
      </c>
      <c r="AS3" s="49">
        <f>AR3+31</f>
        <v>43528</v>
      </c>
      <c r="AT3" s="49">
        <f>AS3+31</f>
        <v>43559</v>
      </c>
      <c r="AU3" s="49">
        <f t="shared" ref="AU3:BB3" si="3">AT3+31</f>
        <v>43590</v>
      </c>
      <c r="AV3" s="49">
        <f t="shared" si="3"/>
        <v>43621</v>
      </c>
      <c r="AW3" s="49">
        <f t="shared" si="3"/>
        <v>43652</v>
      </c>
      <c r="AX3" s="49">
        <f t="shared" si="3"/>
        <v>43683</v>
      </c>
      <c r="AY3" s="49">
        <f t="shared" si="3"/>
        <v>43714</v>
      </c>
      <c r="AZ3" s="49">
        <f t="shared" si="3"/>
        <v>43745</v>
      </c>
      <c r="BA3" s="49">
        <f t="shared" si="3"/>
        <v>43776</v>
      </c>
      <c r="BB3" s="49">
        <f t="shared" si="3"/>
        <v>43807</v>
      </c>
      <c r="BC3" s="1">
        <f>IF('0. Basic Info'!$D17=1,'0. Basic Info'!$D16+3,"Year 4")</f>
        <v>2022</v>
      </c>
      <c r="BD3" s="49">
        <f>AQ3</f>
        <v>43466</v>
      </c>
      <c r="BE3" s="49">
        <f>BD3+31</f>
        <v>43497</v>
      </c>
      <c r="BF3" s="49">
        <f>BE3+31</f>
        <v>43528</v>
      </c>
      <c r="BG3" s="49">
        <f>BF3+31</f>
        <v>43559</v>
      </c>
      <c r="BH3" s="49">
        <f t="shared" ref="BH3:BO3" si="4">BG3+31</f>
        <v>43590</v>
      </c>
      <c r="BI3" s="49">
        <f t="shared" si="4"/>
        <v>43621</v>
      </c>
      <c r="BJ3" s="49">
        <f t="shared" si="4"/>
        <v>43652</v>
      </c>
      <c r="BK3" s="49">
        <f t="shared" si="4"/>
        <v>43683</v>
      </c>
      <c r="BL3" s="49">
        <f t="shared" si="4"/>
        <v>43714</v>
      </c>
      <c r="BM3" s="49">
        <f t="shared" si="4"/>
        <v>43745</v>
      </c>
      <c r="BN3" s="49">
        <f t="shared" si="4"/>
        <v>43776</v>
      </c>
      <c r="BO3" s="49">
        <f t="shared" si="4"/>
        <v>43807</v>
      </c>
      <c r="BP3" s="1">
        <f>IF('0. Basic Info'!$D17=1,'0. Basic Info'!$D16+4,"Year 5")</f>
        <v>2023</v>
      </c>
    </row>
    <row r="4" spans="1:68" x14ac:dyDescent="0.2">
      <c r="A4" s="50">
        <f>'7. Funding Plan'!C22</f>
        <v>20000</v>
      </c>
      <c r="B4" s="51" t="s">
        <v>23</v>
      </c>
      <c r="C4" s="9" t="s">
        <v>52</v>
      </c>
      <c r="D4" s="56">
        <f>A4</f>
        <v>20000</v>
      </c>
      <c r="E4" s="58">
        <f>D8</f>
        <v>19495.353275803136</v>
      </c>
      <c r="F4" s="58">
        <f t="shared" ref="F4:O4" si="5">E8</f>
        <v>18987.973048516873</v>
      </c>
      <c r="G4" s="58">
        <f t="shared" si="5"/>
        <v>18477.844511666142</v>
      </c>
      <c r="H4" s="58">
        <f t="shared" si="5"/>
        <v>17964.952778574137</v>
      </c>
      <c r="I4" s="58">
        <f t="shared" si="5"/>
        <v>17449.282881927884</v>
      </c>
      <c r="J4" s="58">
        <f t="shared" si="5"/>
        <v>16930.819773341464</v>
      </c>
      <c r="K4" s="58">
        <f t="shared" si="5"/>
        <v>16409.548322916868</v>
      </c>
      <c r="L4" s="58">
        <f t="shared" si="5"/>
        <v>15885.453318802472</v>
      </c>
      <c r="M4" s="58">
        <f t="shared" si="5"/>
        <v>15358.519466749123</v>
      </c>
      <c r="N4" s="58">
        <f t="shared" si="5"/>
        <v>14828.731389663819</v>
      </c>
      <c r="O4" s="58">
        <f t="shared" si="5"/>
        <v>14296.073627160969</v>
      </c>
      <c r="P4" s="56">
        <f>D4</f>
        <v>20000</v>
      </c>
      <c r="Q4" s="56">
        <f>O8</f>
        <v>13760.530635111229</v>
      </c>
      <c r="R4" s="58">
        <f>Q8</f>
        <v>13222.086785187885</v>
      </c>
      <c r="S4" s="58">
        <f t="shared" ref="S4:AB4" si="6">R8</f>
        <v>12680.72636441079</v>
      </c>
      <c r="T4" s="58">
        <f t="shared" si="6"/>
        <v>12136.433574687819</v>
      </c>
      <c r="U4" s="58">
        <f t="shared" si="6"/>
        <v>11589.192532353849</v>
      </c>
      <c r="V4" s="58">
        <f t="shared" si="6"/>
        <v>11038.987267707236</v>
      </c>
      <c r="W4" s="58">
        <f t="shared" si="6"/>
        <v>10485.801724543788</v>
      </c>
      <c r="X4" s="58">
        <f t="shared" si="6"/>
        <v>9929.6197596882048</v>
      </c>
      <c r="Y4" s="58">
        <f t="shared" si="6"/>
        <v>9370.4251425229868</v>
      </c>
      <c r="Z4" s="58">
        <f t="shared" si="6"/>
        <v>8808.2015545147915</v>
      </c>
      <c r="AA4" s="58">
        <f t="shared" si="6"/>
        <v>8242.9325887382183</v>
      </c>
      <c r="AB4" s="58">
        <f t="shared" si="6"/>
        <v>7674.6017493970212</v>
      </c>
      <c r="AC4" s="56">
        <f>Q4</f>
        <v>13760.530635111229</v>
      </c>
      <c r="AD4" s="56">
        <f>IF(AB8&lt;0.1,0,AB8)</f>
        <v>7103.1924513427257</v>
      </c>
      <c r="AE4" s="58">
        <f>AD8</f>
        <v>6528.688019590636</v>
      </c>
      <c r="AF4" s="58">
        <f t="shared" ref="AF4:AO4" si="7">AE8</f>
        <v>5951.0716888332227</v>
      </c>
      <c r="AG4" s="58">
        <f t="shared" si="7"/>
        <v>5370.3266029508732</v>
      </c>
      <c r="AH4" s="58">
        <f t="shared" si="7"/>
        <v>4786.4358145199949</v>
      </c>
      <c r="AI4" s="58">
        <f t="shared" si="7"/>
        <v>4199.3822843184489</v>
      </c>
      <c r="AJ4" s="58">
        <f t="shared" si="7"/>
        <v>3609.1488808283116</v>
      </c>
      <c r="AK4" s="58">
        <f t="shared" si="7"/>
        <v>3015.7183797359357</v>
      </c>
      <c r="AL4" s="58">
        <f t="shared" si="7"/>
        <v>2419.0734634293094</v>
      </c>
      <c r="AM4" s="58">
        <f t="shared" si="7"/>
        <v>1819.1967204926891</v>
      </c>
      <c r="AN4" s="58">
        <f t="shared" si="7"/>
        <v>1216.0706451984954</v>
      </c>
      <c r="AO4" s="58">
        <f t="shared" si="7"/>
        <v>609.6776369964582</v>
      </c>
      <c r="AP4" s="56">
        <f>AO4</f>
        <v>609.6776369964582</v>
      </c>
      <c r="AQ4" s="56">
        <f>IF(AO8&lt;0.1,0,AO8)</f>
        <v>0</v>
      </c>
      <c r="AR4" s="58">
        <f>AQ8</f>
        <v>0</v>
      </c>
      <c r="AS4" s="58">
        <f t="shared" ref="AS4:BB4" si="8">AR8</f>
        <v>0</v>
      </c>
      <c r="AT4" s="58">
        <f t="shared" si="8"/>
        <v>0</v>
      </c>
      <c r="AU4" s="58">
        <f t="shared" si="8"/>
        <v>0</v>
      </c>
      <c r="AV4" s="58">
        <f t="shared" si="8"/>
        <v>0</v>
      </c>
      <c r="AW4" s="58">
        <f t="shared" si="8"/>
        <v>0</v>
      </c>
      <c r="AX4" s="58">
        <f t="shared" si="8"/>
        <v>0</v>
      </c>
      <c r="AY4" s="58">
        <f t="shared" si="8"/>
        <v>0</v>
      </c>
      <c r="AZ4" s="58">
        <f t="shared" si="8"/>
        <v>0</v>
      </c>
      <c r="BA4" s="58">
        <f t="shared" si="8"/>
        <v>0</v>
      </c>
      <c r="BB4" s="58">
        <f t="shared" si="8"/>
        <v>0</v>
      </c>
      <c r="BC4" s="56">
        <f>BB4</f>
        <v>0</v>
      </c>
      <c r="BD4" s="56">
        <f>IF(BB8&lt;0.1,0,BB8)</f>
        <v>0</v>
      </c>
      <c r="BE4" s="58">
        <f>BD8</f>
        <v>0</v>
      </c>
      <c r="BF4" s="58">
        <f t="shared" ref="BF4:BO4" si="9">BE8</f>
        <v>0</v>
      </c>
      <c r="BG4" s="58">
        <f t="shared" si="9"/>
        <v>0</v>
      </c>
      <c r="BH4" s="58">
        <f t="shared" si="9"/>
        <v>0</v>
      </c>
      <c r="BI4" s="58">
        <f t="shared" si="9"/>
        <v>0</v>
      </c>
      <c r="BJ4" s="58">
        <f t="shared" si="9"/>
        <v>0</v>
      </c>
      <c r="BK4" s="58">
        <f t="shared" si="9"/>
        <v>0</v>
      </c>
      <c r="BL4" s="58">
        <f t="shared" si="9"/>
        <v>0</v>
      </c>
      <c r="BM4" s="58">
        <f t="shared" si="9"/>
        <v>0</v>
      </c>
      <c r="BN4" s="58">
        <f t="shared" si="9"/>
        <v>0</v>
      </c>
      <c r="BO4" s="58">
        <f t="shared" si="9"/>
        <v>0</v>
      </c>
      <c r="BP4" s="56">
        <f>BO4</f>
        <v>0</v>
      </c>
    </row>
    <row r="5" spans="1:68" x14ac:dyDescent="0.2">
      <c r="A5" s="52">
        <f>'7. Funding Plan'!D22</f>
        <v>6.5000000000000002E-2</v>
      </c>
      <c r="B5" s="53" t="s">
        <v>3</v>
      </c>
      <c r="C5" s="9" t="s">
        <v>53</v>
      </c>
      <c r="D5" s="57">
        <f>IF(D4&gt;0,PMT($A5/12,$A6*12,$A4)*-1,0)</f>
        <v>612.98005753019572</v>
      </c>
      <c r="E5" s="57">
        <f t="shared" ref="E5:BO5" si="10">IF(E4&gt;0,PMT($A5/12,$A6*12,$A4)*-1,0)</f>
        <v>612.98005753019572</v>
      </c>
      <c r="F5" s="57">
        <f t="shared" si="10"/>
        <v>612.98005753019572</v>
      </c>
      <c r="G5" s="57">
        <f t="shared" si="10"/>
        <v>612.98005753019572</v>
      </c>
      <c r="H5" s="57">
        <f t="shared" si="10"/>
        <v>612.98005753019572</v>
      </c>
      <c r="I5" s="57">
        <f t="shared" si="10"/>
        <v>612.98005753019572</v>
      </c>
      <c r="J5" s="57">
        <f t="shared" si="10"/>
        <v>612.98005753019572</v>
      </c>
      <c r="K5" s="57">
        <f t="shared" si="10"/>
        <v>612.98005753019572</v>
      </c>
      <c r="L5" s="57">
        <f t="shared" si="10"/>
        <v>612.98005753019572</v>
      </c>
      <c r="M5" s="57">
        <f t="shared" si="10"/>
        <v>612.98005753019572</v>
      </c>
      <c r="N5" s="57">
        <f t="shared" si="10"/>
        <v>612.98005753019572</v>
      </c>
      <c r="O5" s="57">
        <f t="shared" si="10"/>
        <v>612.98005753019572</v>
      </c>
      <c r="P5" s="58">
        <f>SUM(D5:O5)</f>
        <v>7355.76069036235</v>
      </c>
      <c r="Q5" s="57">
        <f t="shared" si="10"/>
        <v>612.98005753019572</v>
      </c>
      <c r="R5" s="57">
        <f t="shared" si="10"/>
        <v>612.98005753019572</v>
      </c>
      <c r="S5" s="57">
        <f t="shared" si="10"/>
        <v>612.98005753019572</v>
      </c>
      <c r="T5" s="57">
        <f t="shared" si="10"/>
        <v>612.98005753019572</v>
      </c>
      <c r="U5" s="57">
        <f t="shared" si="10"/>
        <v>612.98005753019572</v>
      </c>
      <c r="V5" s="57">
        <f t="shared" si="10"/>
        <v>612.98005753019572</v>
      </c>
      <c r="W5" s="57">
        <f t="shared" si="10"/>
        <v>612.98005753019572</v>
      </c>
      <c r="X5" s="57">
        <f t="shared" si="10"/>
        <v>612.98005753019572</v>
      </c>
      <c r="Y5" s="57">
        <f t="shared" si="10"/>
        <v>612.98005753019572</v>
      </c>
      <c r="Z5" s="57">
        <f t="shared" si="10"/>
        <v>612.98005753019572</v>
      </c>
      <c r="AA5" s="57">
        <f t="shared" si="10"/>
        <v>612.98005753019572</v>
      </c>
      <c r="AB5" s="57">
        <f t="shared" si="10"/>
        <v>612.98005753019572</v>
      </c>
      <c r="AC5" s="58">
        <f>SUM(Q5:AB5)</f>
        <v>7355.76069036235</v>
      </c>
      <c r="AD5" s="57">
        <f t="shared" si="10"/>
        <v>612.98005753019572</v>
      </c>
      <c r="AE5" s="57">
        <f t="shared" si="10"/>
        <v>612.98005753019572</v>
      </c>
      <c r="AF5" s="57">
        <f t="shared" si="10"/>
        <v>612.98005753019572</v>
      </c>
      <c r="AG5" s="57">
        <f t="shared" si="10"/>
        <v>612.98005753019572</v>
      </c>
      <c r="AH5" s="57">
        <f t="shared" si="10"/>
        <v>612.98005753019572</v>
      </c>
      <c r="AI5" s="57">
        <f t="shared" si="10"/>
        <v>612.98005753019572</v>
      </c>
      <c r="AJ5" s="57">
        <f t="shared" si="10"/>
        <v>612.98005753019572</v>
      </c>
      <c r="AK5" s="57">
        <f t="shared" si="10"/>
        <v>612.98005753019572</v>
      </c>
      <c r="AL5" s="57">
        <f t="shared" si="10"/>
        <v>612.98005753019572</v>
      </c>
      <c r="AM5" s="57">
        <f t="shared" si="10"/>
        <v>612.98005753019572</v>
      </c>
      <c r="AN5" s="57">
        <f t="shared" si="10"/>
        <v>612.98005753019572</v>
      </c>
      <c r="AO5" s="57">
        <f t="shared" si="10"/>
        <v>612.98005753019572</v>
      </c>
      <c r="AP5" s="58">
        <f>SUM(AD5:AO5)</f>
        <v>7355.76069036235</v>
      </c>
      <c r="AQ5" s="57">
        <f t="shared" si="10"/>
        <v>0</v>
      </c>
      <c r="AR5" s="57">
        <f t="shared" si="10"/>
        <v>0</v>
      </c>
      <c r="AS5" s="57">
        <f t="shared" si="10"/>
        <v>0</v>
      </c>
      <c r="AT5" s="57">
        <f t="shared" si="10"/>
        <v>0</v>
      </c>
      <c r="AU5" s="57">
        <f t="shared" si="10"/>
        <v>0</v>
      </c>
      <c r="AV5" s="57">
        <f t="shared" si="10"/>
        <v>0</v>
      </c>
      <c r="AW5" s="57">
        <f t="shared" si="10"/>
        <v>0</v>
      </c>
      <c r="AX5" s="57">
        <f t="shared" si="10"/>
        <v>0</v>
      </c>
      <c r="AY5" s="57">
        <f t="shared" si="10"/>
        <v>0</v>
      </c>
      <c r="AZ5" s="57">
        <f t="shared" si="10"/>
        <v>0</v>
      </c>
      <c r="BA5" s="57">
        <f t="shared" si="10"/>
        <v>0</v>
      </c>
      <c r="BB5" s="57">
        <f t="shared" si="10"/>
        <v>0</v>
      </c>
      <c r="BC5" s="58">
        <f>SUM(AQ5:BB5)</f>
        <v>0</v>
      </c>
      <c r="BD5" s="57">
        <f t="shared" si="10"/>
        <v>0</v>
      </c>
      <c r="BE5" s="57">
        <f t="shared" si="10"/>
        <v>0</v>
      </c>
      <c r="BF5" s="57">
        <f t="shared" si="10"/>
        <v>0</v>
      </c>
      <c r="BG5" s="57">
        <f t="shared" si="10"/>
        <v>0</v>
      </c>
      <c r="BH5" s="57">
        <f t="shared" si="10"/>
        <v>0</v>
      </c>
      <c r="BI5" s="57">
        <f t="shared" si="10"/>
        <v>0</v>
      </c>
      <c r="BJ5" s="57">
        <f t="shared" si="10"/>
        <v>0</v>
      </c>
      <c r="BK5" s="57">
        <f t="shared" si="10"/>
        <v>0</v>
      </c>
      <c r="BL5" s="57">
        <f t="shared" si="10"/>
        <v>0</v>
      </c>
      <c r="BM5" s="57">
        <f t="shared" si="10"/>
        <v>0</v>
      </c>
      <c r="BN5" s="57">
        <f t="shared" si="10"/>
        <v>0</v>
      </c>
      <c r="BO5" s="57">
        <f t="shared" si="10"/>
        <v>0</v>
      </c>
      <c r="BP5" s="58">
        <f>SUM(BD5:BO5)</f>
        <v>0</v>
      </c>
    </row>
    <row r="6" spans="1:68" ht="13.5" thickBot="1" x14ac:dyDescent="0.25">
      <c r="A6" s="54">
        <f>'7. Funding Plan'!E22</f>
        <v>3</v>
      </c>
      <c r="B6" s="55" t="s">
        <v>25</v>
      </c>
      <c r="C6" s="9" t="s">
        <v>3</v>
      </c>
      <c r="D6" s="58">
        <f>$A5/12*D4</f>
        <v>108.33333333333334</v>
      </c>
      <c r="E6" s="58">
        <f>$A5/12*E4</f>
        <v>105.59983024393365</v>
      </c>
      <c r="F6" s="58">
        <f t="shared" ref="F6:O6" si="11">$A5/12*F4</f>
        <v>102.8515206794664</v>
      </c>
      <c r="G6" s="58">
        <f t="shared" si="11"/>
        <v>100.08832443819161</v>
      </c>
      <c r="H6" s="58">
        <f t="shared" si="11"/>
        <v>97.310160883943254</v>
      </c>
      <c r="I6" s="58">
        <f t="shared" si="11"/>
        <v>94.516948943776043</v>
      </c>
      <c r="J6" s="58">
        <f t="shared" si="11"/>
        <v>91.708607105599597</v>
      </c>
      <c r="K6" s="58">
        <f t="shared" si="11"/>
        <v>88.885053415799703</v>
      </c>
      <c r="L6" s="58">
        <f t="shared" si="11"/>
        <v>86.046205476846723</v>
      </c>
      <c r="M6" s="58">
        <f t="shared" si="11"/>
        <v>83.191980444891087</v>
      </c>
      <c r="N6" s="58">
        <f t="shared" si="11"/>
        <v>80.322295027345689</v>
      </c>
      <c r="O6" s="58">
        <f t="shared" si="11"/>
        <v>77.43706548045526</v>
      </c>
      <c r="P6" s="58">
        <f>SUM(D6:O6)</f>
        <v>1116.2913254735822</v>
      </c>
      <c r="Q6" s="58">
        <f t="shared" ref="Q6:AB6" si="12">$A5/12*Q4</f>
        <v>74.536207606852486</v>
      </c>
      <c r="R6" s="58">
        <f t="shared" si="12"/>
        <v>71.619636753101048</v>
      </c>
      <c r="S6" s="58">
        <f t="shared" si="12"/>
        <v>68.687267807225112</v>
      </c>
      <c r="T6" s="58">
        <f t="shared" si="12"/>
        <v>65.739015196225694</v>
      </c>
      <c r="U6" s="58">
        <f t="shared" si="12"/>
        <v>62.774792883583352</v>
      </c>
      <c r="V6" s="58">
        <f t="shared" si="12"/>
        <v>59.794514366747535</v>
      </c>
      <c r="W6" s="58">
        <f t="shared" si="12"/>
        <v>56.798092674612185</v>
      </c>
      <c r="X6" s="58">
        <f t="shared" si="12"/>
        <v>53.785440364977781</v>
      </c>
      <c r="Y6" s="58">
        <f t="shared" si="12"/>
        <v>50.756469521999513</v>
      </c>
      <c r="Z6" s="58">
        <f t="shared" si="12"/>
        <v>47.711091753621787</v>
      </c>
      <c r="AA6" s="58">
        <f t="shared" si="12"/>
        <v>44.649218188998681</v>
      </c>
      <c r="AB6" s="58">
        <f t="shared" si="12"/>
        <v>41.57075947590053</v>
      </c>
      <c r="AC6" s="58">
        <f>SUM(Q6:AB6)</f>
        <v>698.4225065938457</v>
      </c>
      <c r="AD6" s="58">
        <f t="shared" ref="AD6:AO6" si="13">$A5/12*AD4</f>
        <v>38.475625778106433</v>
      </c>
      <c r="AE6" s="58">
        <f t="shared" si="13"/>
        <v>35.363726772782613</v>
      </c>
      <c r="AF6" s="58">
        <f t="shared" si="13"/>
        <v>32.234971647846621</v>
      </c>
      <c r="AG6" s="58">
        <f t="shared" si="13"/>
        <v>29.089269099317232</v>
      </c>
      <c r="AH6" s="58">
        <f t="shared" si="13"/>
        <v>25.926527328649975</v>
      </c>
      <c r="AI6" s="58">
        <f t="shared" si="13"/>
        <v>22.746654040058267</v>
      </c>
      <c r="AJ6" s="58">
        <f t="shared" si="13"/>
        <v>19.549556437820023</v>
      </c>
      <c r="AK6" s="58">
        <f t="shared" si="13"/>
        <v>16.335141223569654</v>
      </c>
      <c r="AL6" s="58">
        <f t="shared" si="13"/>
        <v>13.103314593575426</v>
      </c>
      <c r="AM6" s="58">
        <f t="shared" si="13"/>
        <v>9.8539822360020661</v>
      </c>
      <c r="AN6" s="58">
        <f t="shared" si="13"/>
        <v>6.5870493281585167</v>
      </c>
      <c r="AO6" s="58">
        <f t="shared" si="13"/>
        <v>3.3024205337308152</v>
      </c>
      <c r="AP6" s="58">
        <f>SUM(AD6:AO6)</f>
        <v>252.56823901961761</v>
      </c>
      <c r="AQ6" s="58">
        <f t="shared" ref="AQ6:BB6" si="14">$A5/12*AQ4</f>
        <v>0</v>
      </c>
      <c r="AR6" s="58">
        <f t="shared" si="14"/>
        <v>0</v>
      </c>
      <c r="AS6" s="58">
        <f t="shared" si="14"/>
        <v>0</v>
      </c>
      <c r="AT6" s="58">
        <f t="shared" si="14"/>
        <v>0</v>
      </c>
      <c r="AU6" s="58">
        <f t="shared" si="14"/>
        <v>0</v>
      </c>
      <c r="AV6" s="58">
        <f t="shared" si="14"/>
        <v>0</v>
      </c>
      <c r="AW6" s="58">
        <f t="shared" si="14"/>
        <v>0</v>
      </c>
      <c r="AX6" s="58">
        <f t="shared" si="14"/>
        <v>0</v>
      </c>
      <c r="AY6" s="58">
        <f t="shared" si="14"/>
        <v>0</v>
      </c>
      <c r="AZ6" s="58">
        <f t="shared" si="14"/>
        <v>0</v>
      </c>
      <c r="BA6" s="58">
        <f t="shared" si="14"/>
        <v>0</v>
      </c>
      <c r="BB6" s="58">
        <f t="shared" si="14"/>
        <v>0</v>
      </c>
      <c r="BC6" s="58">
        <f>SUM(AQ6:BB6)</f>
        <v>0</v>
      </c>
      <c r="BD6" s="58">
        <f t="shared" ref="BD6:BO6" si="15">$A5/12*BD4</f>
        <v>0</v>
      </c>
      <c r="BE6" s="58">
        <f t="shared" si="15"/>
        <v>0</v>
      </c>
      <c r="BF6" s="58">
        <f t="shared" si="15"/>
        <v>0</v>
      </c>
      <c r="BG6" s="58">
        <f t="shared" si="15"/>
        <v>0</v>
      </c>
      <c r="BH6" s="58">
        <f t="shared" si="15"/>
        <v>0</v>
      </c>
      <c r="BI6" s="58">
        <f t="shared" si="15"/>
        <v>0</v>
      </c>
      <c r="BJ6" s="58">
        <f t="shared" si="15"/>
        <v>0</v>
      </c>
      <c r="BK6" s="58">
        <f t="shared" si="15"/>
        <v>0</v>
      </c>
      <c r="BL6" s="58">
        <f t="shared" si="15"/>
        <v>0</v>
      </c>
      <c r="BM6" s="58">
        <f t="shared" si="15"/>
        <v>0</v>
      </c>
      <c r="BN6" s="58">
        <f t="shared" si="15"/>
        <v>0</v>
      </c>
      <c r="BO6" s="58">
        <f t="shared" si="15"/>
        <v>0</v>
      </c>
      <c r="BP6" s="58">
        <f>SUM(BD6:BO6)</f>
        <v>0</v>
      </c>
    </row>
    <row r="7" spans="1:68" x14ac:dyDescent="0.2">
      <c r="C7" s="9" t="s">
        <v>54</v>
      </c>
      <c r="D7" s="58">
        <f>D5-D6</f>
        <v>504.64672419686235</v>
      </c>
      <c r="E7" s="58">
        <f>E5-E6</f>
        <v>507.38022728626208</v>
      </c>
      <c r="F7" s="58">
        <f t="shared" ref="F7:O7" si="16">F5-F6</f>
        <v>510.12853685072935</v>
      </c>
      <c r="G7" s="58">
        <f t="shared" si="16"/>
        <v>512.89173309200407</v>
      </c>
      <c r="H7" s="58">
        <f t="shared" si="16"/>
        <v>515.66989664625248</v>
      </c>
      <c r="I7" s="58">
        <f t="shared" si="16"/>
        <v>518.46310858641971</v>
      </c>
      <c r="J7" s="58">
        <f t="shared" si="16"/>
        <v>521.27145042459608</v>
      </c>
      <c r="K7" s="58">
        <f t="shared" si="16"/>
        <v>524.09500411439603</v>
      </c>
      <c r="L7" s="58">
        <f t="shared" si="16"/>
        <v>526.93385205334903</v>
      </c>
      <c r="M7" s="58">
        <f t="shared" si="16"/>
        <v>529.78807708530462</v>
      </c>
      <c r="N7" s="58">
        <f t="shared" si="16"/>
        <v>532.65776250285001</v>
      </c>
      <c r="O7" s="58">
        <f t="shared" si="16"/>
        <v>535.54299204974041</v>
      </c>
      <c r="P7" s="58">
        <f>SUM(D7:O7)</f>
        <v>6239.469364888766</v>
      </c>
      <c r="Q7" s="58">
        <f t="shared" ref="Q7:AB7" si="17">Q5-Q6</f>
        <v>538.44384992334324</v>
      </c>
      <c r="R7" s="58">
        <f t="shared" si="17"/>
        <v>541.36042077709465</v>
      </c>
      <c r="S7" s="58">
        <f t="shared" si="17"/>
        <v>544.29278972297061</v>
      </c>
      <c r="T7" s="58">
        <f t="shared" si="17"/>
        <v>547.24104233396997</v>
      </c>
      <c r="U7" s="58">
        <f t="shared" si="17"/>
        <v>550.20526464661236</v>
      </c>
      <c r="V7" s="58">
        <f t="shared" si="17"/>
        <v>553.18554316344819</v>
      </c>
      <c r="W7" s="58">
        <f t="shared" si="17"/>
        <v>556.18196485558349</v>
      </c>
      <c r="X7" s="58">
        <f t="shared" si="17"/>
        <v>559.19461716521789</v>
      </c>
      <c r="Y7" s="58">
        <f t="shared" si="17"/>
        <v>562.2235880081962</v>
      </c>
      <c r="Z7" s="58">
        <f t="shared" si="17"/>
        <v>565.26896577657396</v>
      </c>
      <c r="AA7" s="58">
        <f t="shared" si="17"/>
        <v>568.33083934119702</v>
      </c>
      <c r="AB7" s="58">
        <f t="shared" si="17"/>
        <v>571.40929805429516</v>
      </c>
      <c r="AC7" s="58">
        <f>SUM(Q7:AB7)</f>
        <v>6657.3381837685029</v>
      </c>
      <c r="AD7" s="58">
        <f t="shared" ref="AD7:AO7" si="18">AD5-AD6</f>
        <v>574.50443175208932</v>
      </c>
      <c r="AE7" s="58">
        <f t="shared" si="18"/>
        <v>577.61633075741315</v>
      </c>
      <c r="AF7" s="58">
        <f t="shared" si="18"/>
        <v>580.74508588234914</v>
      </c>
      <c r="AG7" s="58">
        <f t="shared" si="18"/>
        <v>583.8907884308785</v>
      </c>
      <c r="AH7" s="58">
        <f t="shared" si="18"/>
        <v>587.05353020154575</v>
      </c>
      <c r="AI7" s="58">
        <f t="shared" si="18"/>
        <v>590.23340349013745</v>
      </c>
      <c r="AJ7" s="58">
        <f t="shared" si="18"/>
        <v>593.43050109237572</v>
      </c>
      <c r="AK7" s="58">
        <f t="shared" si="18"/>
        <v>596.6449163066261</v>
      </c>
      <c r="AL7" s="58">
        <f t="shared" si="18"/>
        <v>599.8767429366203</v>
      </c>
      <c r="AM7" s="58">
        <f t="shared" si="18"/>
        <v>603.1260752941937</v>
      </c>
      <c r="AN7" s="58">
        <f t="shared" si="18"/>
        <v>606.39300820203721</v>
      </c>
      <c r="AO7" s="58">
        <f t="shared" si="18"/>
        <v>609.67763699646491</v>
      </c>
      <c r="AP7" s="58">
        <f>SUM(AD7:AO7)</f>
        <v>7103.1924513427311</v>
      </c>
      <c r="AQ7" s="58">
        <f t="shared" ref="AQ7:BB7" si="19">AQ5-AQ6</f>
        <v>0</v>
      </c>
      <c r="AR7" s="58">
        <f t="shared" si="19"/>
        <v>0</v>
      </c>
      <c r="AS7" s="58">
        <f t="shared" si="19"/>
        <v>0</v>
      </c>
      <c r="AT7" s="58">
        <f t="shared" si="19"/>
        <v>0</v>
      </c>
      <c r="AU7" s="58">
        <f t="shared" si="19"/>
        <v>0</v>
      </c>
      <c r="AV7" s="58">
        <f t="shared" si="19"/>
        <v>0</v>
      </c>
      <c r="AW7" s="58">
        <f t="shared" si="19"/>
        <v>0</v>
      </c>
      <c r="AX7" s="58">
        <f t="shared" si="19"/>
        <v>0</v>
      </c>
      <c r="AY7" s="58">
        <f t="shared" si="19"/>
        <v>0</v>
      </c>
      <c r="AZ7" s="58">
        <f t="shared" si="19"/>
        <v>0</v>
      </c>
      <c r="BA7" s="58">
        <f t="shared" si="19"/>
        <v>0</v>
      </c>
      <c r="BB7" s="58">
        <f t="shared" si="19"/>
        <v>0</v>
      </c>
      <c r="BC7" s="58">
        <f>SUM(AQ7:BB7)</f>
        <v>0</v>
      </c>
      <c r="BD7" s="58">
        <f t="shared" ref="BD7:BO7" si="20">BD5-BD6</f>
        <v>0</v>
      </c>
      <c r="BE7" s="58">
        <f t="shared" si="20"/>
        <v>0</v>
      </c>
      <c r="BF7" s="58">
        <f t="shared" si="20"/>
        <v>0</v>
      </c>
      <c r="BG7" s="58">
        <f t="shared" si="20"/>
        <v>0</v>
      </c>
      <c r="BH7" s="58">
        <f t="shared" si="20"/>
        <v>0</v>
      </c>
      <c r="BI7" s="58">
        <f t="shared" si="20"/>
        <v>0</v>
      </c>
      <c r="BJ7" s="58">
        <f t="shared" si="20"/>
        <v>0</v>
      </c>
      <c r="BK7" s="58">
        <f t="shared" si="20"/>
        <v>0</v>
      </c>
      <c r="BL7" s="58">
        <f t="shared" si="20"/>
        <v>0</v>
      </c>
      <c r="BM7" s="58">
        <f t="shared" si="20"/>
        <v>0</v>
      </c>
      <c r="BN7" s="58">
        <f t="shared" si="20"/>
        <v>0</v>
      </c>
      <c r="BO7" s="58">
        <f t="shared" si="20"/>
        <v>0</v>
      </c>
      <c r="BP7" s="58">
        <f>SUM(BD7:BO7)</f>
        <v>0</v>
      </c>
    </row>
    <row r="8" spans="1:68" x14ac:dyDescent="0.2">
      <c r="C8" s="9" t="s">
        <v>55</v>
      </c>
      <c r="D8" s="58">
        <f>IF(D4-D7&lt;0,0,D4-D7)</f>
        <v>19495.353275803136</v>
      </c>
      <c r="E8" s="58">
        <f t="shared" ref="E8:BO8" si="21">IF(E4-E7&lt;0,0,E4-E7)</f>
        <v>18987.973048516873</v>
      </c>
      <c r="F8" s="58">
        <f t="shared" si="21"/>
        <v>18477.844511666142</v>
      </c>
      <c r="G8" s="58">
        <f t="shared" si="21"/>
        <v>17964.952778574137</v>
      </c>
      <c r="H8" s="58">
        <f t="shared" si="21"/>
        <v>17449.282881927884</v>
      </c>
      <c r="I8" s="58">
        <f t="shared" si="21"/>
        <v>16930.819773341464</v>
      </c>
      <c r="J8" s="58">
        <f t="shared" si="21"/>
        <v>16409.548322916868</v>
      </c>
      <c r="K8" s="58">
        <f t="shared" si="21"/>
        <v>15885.453318802472</v>
      </c>
      <c r="L8" s="58">
        <f t="shared" si="21"/>
        <v>15358.519466749123</v>
      </c>
      <c r="M8" s="58">
        <f t="shared" si="21"/>
        <v>14828.731389663819</v>
      </c>
      <c r="N8" s="58">
        <f t="shared" si="21"/>
        <v>14296.073627160969</v>
      </c>
      <c r="O8" s="58">
        <f t="shared" si="21"/>
        <v>13760.530635111229</v>
      </c>
      <c r="P8" s="58">
        <f>O8</f>
        <v>13760.530635111229</v>
      </c>
      <c r="Q8" s="58">
        <f t="shared" si="21"/>
        <v>13222.086785187885</v>
      </c>
      <c r="R8" s="58">
        <f t="shared" si="21"/>
        <v>12680.72636441079</v>
      </c>
      <c r="S8" s="58">
        <f t="shared" si="21"/>
        <v>12136.433574687819</v>
      </c>
      <c r="T8" s="58">
        <f t="shared" si="21"/>
        <v>11589.192532353849</v>
      </c>
      <c r="U8" s="58">
        <f t="shared" si="21"/>
        <v>11038.987267707236</v>
      </c>
      <c r="V8" s="58">
        <f t="shared" si="21"/>
        <v>10485.801724543788</v>
      </c>
      <c r="W8" s="58">
        <f t="shared" si="21"/>
        <v>9929.6197596882048</v>
      </c>
      <c r="X8" s="58">
        <f t="shared" si="21"/>
        <v>9370.4251425229868</v>
      </c>
      <c r="Y8" s="58">
        <f t="shared" si="21"/>
        <v>8808.2015545147915</v>
      </c>
      <c r="Z8" s="58">
        <f t="shared" si="21"/>
        <v>8242.9325887382183</v>
      </c>
      <c r="AA8" s="58">
        <f t="shared" si="21"/>
        <v>7674.6017493970212</v>
      </c>
      <c r="AB8" s="58">
        <f t="shared" si="21"/>
        <v>7103.1924513427257</v>
      </c>
      <c r="AC8" s="58">
        <f>AB8</f>
        <v>7103.1924513427257</v>
      </c>
      <c r="AD8" s="58">
        <f t="shared" si="21"/>
        <v>6528.688019590636</v>
      </c>
      <c r="AE8" s="58">
        <f t="shared" si="21"/>
        <v>5951.0716888332227</v>
      </c>
      <c r="AF8" s="58">
        <f t="shared" si="21"/>
        <v>5370.3266029508732</v>
      </c>
      <c r="AG8" s="58">
        <f t="shared" si="21"/>
        <v>4786.4358145199949</v>
      </c>
      <c r="AH8" s="58">
        <f t="shared" si="21"/>
        <v>4199.3822843184489</v>
      </c>
      <c r="AI8" s="58">
        <f t="shared" si="21"/>
        <v>3609.1488808283116</v>
      </c>
      <c r="AJ8" s="58">
        <f t="shared" si="21"/>
        <v>3015.7183797359357</v>
      </c>
      <c r="AK8" s="58">
        <f t="shared" si="21"/>
        <v>2419.0734634293094</v>
      </c>
      <c r="AL8" s="58">
        <f t="shared" si="21"/>
        <v>1819.1967204926891</v>
      </c>
      <c r="AM8" s="58">
        <f t="shared" si="21"/>
        <v>1216.0706451984954</v>
      </c>
      <c r="AN8" s="58">
        <f t="shared" si="21"/>
        <v>609.6776369964582</v>
      </c>
      <c r="AO8" s="58">
        <f t="shared" si="21"/>
        <v>0</v>
      </c>
      <c r="AP8" s="58">
        <f>AO8</f>
        <v>0</v>
      </c>
      <c r="AQ8" s="58">
        <f t="shared" si="21"/>
        <v>0</v>
      </c>
      <c r="AR8" s="58">
        <f t="shared" si="21"/>
        <v>0</v>
      </c>
      <c r="AS8" s="58">
        <f t="shared" si="21"/>
        <v>0</v>
      </c>
      <c r="AT8" s="58">
        <f t="shared" si="21"/>
        <v>0</v>
      </c>
      <c r="AU8" s="58">
        <f t="shared" si="21"/>
        <v>0</v>
      </c>
      <c r="AV8" s="58">
        <f t="shared" si="21"/>
        <v>0</v>
      </c>
      <c r="AW8" s="58">
        <f t="shared" si="21"/>
        <v>0</v>
      </c>
      <c r="AX8" s="58">
        <f t="shared" si="21"/>
        <v>0</v>
      </c>
      <c r="AY8" s="58">
        <f t="shared" si="21"/>
        <v>0</v>
      </c>
      <c r="AZ8" s="58">
        <f t="shared" si="21"/>
        <v>0</v>
      </c>
      <c r="BA8" s="58">
        <f t="shared" si="21"/>
        <v>0</v>
      </c>
      <c r="BB8" s="58">
        <f t="shared" si="21"/>
        <v>0</v>
      </c>
      <c r="BC8" s="58">
        <f>BB8</f>
        <v>0</v>
      </c>
      <c r="BD8" s="58">
        <f t="shared" si="21"/>
        <v>0</v>
      </c>
      <c r="BE8" s="58">
        <f t="shared" si="21"/>
        <v>0</v>
      </c>
      <c r="BF8" s="58">
        <f t="shared" si="21"/>
        <v>0</v>
      </c>
      <c r="BG8" s="58">
        <f t="shared" si="21"/>
        <v>0</v>
      </c>
      <c r="BH8" s="58">
        <f t="shared" si="21"/>
        <v>0</v>
      </c>
      <c r="BI8" s="58">
        <f t="shared" si="21"/>
        <v>0</v>
      </c>
      <c r="BJ8" s="58">
        <f t="shared" si="21"/>
        <v>0</v>
      </c>
      <c r="BK8" s="58">
        <f t="shared" si="21"/>
        <v>0</v>
      </c>
      <c r="BL8" s="58">
        <f t="shared" si="21"/>
        <v>0</v>
      </c>
      <c r="BM8" s="58">
        <f t="shared" si="21"/>
        <v>0</v>
      </c>
      <c r="BN8" s="58">
        <f t="shared" si="21"/>
        <v>0</v>
      </c>
      <c r="BO8" s="58">
        <f t="shared" si="21"/>
        <v>0</v>
      </c>
      <c r="BP8" s="58">
        <f>BO8</f>
        <v>0</v>
      </c>
    </row>
    <row r="10" spans="1:68" x14ac:dyDescent="0.2">
      <c r="D10" s="1">
        <v>1</v>
      </c>
      <c r="E10" s="1">
        <v>2</v>
      </c>
      <c r="F10" s="1">
        <v>3</v>
      </c>
      <c r="G10" s="1">
        <v>4</v>
      </c>
      <c r="H10" s="1">
        <v>5</v>
      </c>
      <c r="I10" s="1">
        <v>6</v>
      </c>
      <c r="J10" s="1">
        <v>7</v>
      </c>
      <c r="K10" s="1">
        <v>8</v>
      </c>
      <c r="L10" s="1">
        <v>9</v>
      </c>
      <c r="M10" s="1">
        <v>10</v>
      </c>
      <c r="N10" s="1">
        <v>11</v>
      </c>
      <c r="O10" s="1">
        <v>12</v>
      </c>
      <c r="Q10" s="1">
        <v>13</v>
      </c>
      <c r="R10" s="1">
        <v>14</v>
      </c>
      <c r="S10" s="1">
        <v>15</v>
      </c>
      <c r="T10" s="1">
        <v>16</v>
      </c>
      <c r="U10" s="1">
        <v>17</v>
      </c>
      <c r="V10" s="1">
        <v>18</v>
      </c>
      <c r="W10" s="1">
        <v>19</v>
      </c>
      <c r="X10" s="1">
        <v>20</v>
      </c>
      <c r="Y10" s="1">
        <v>21</v>
      </c>
      <c r="Z10" s="1">
        <v>22</v>
      </c>
      <c r="AA10" s="1">
        <v>23</v>
      </c>
      <c r="AB10" s="1">
        <v>24</v>
      </c>
      <c r="AD10" s="1">
        <v>25</v>
      </c>
      <c r="AE10" s="1">
        <v>26</v>
      </c>
      <c r="AF10" s="1">
        <v>27</v>
      </c>
      <c r="AG10" s="1">
        <v>28</v>
      </c>
      <c r="AH10" s="1">
        <v>29</v>
      </c>
      <c r="AI10" s="1">
        <v>30</v>
      </c>
      <c r="AJ10" s="1">
        <v>31</v>
      </c>
      <c r="AK10" s="1">
        <v>32</v>
      </c>
      <c r="AL10" s="1">
        <v>33</v>
      </c>
      <c r="AM10" s="1">
        <v>34</v>
      </c>
      <c r="AN10" s="1">
        <v>35</v>
      </c>
      <c r="AO10" s="1">
        <v>36</v>
      </c>
      <c r="AQ10" s="1">
        <v>37</v>
      </c>
      <c r="AR10" s="1">
        <v>38</v>
      </c>
      <c r="AS10" s="1">
        <v>39</v>
      </c>
      <c r="AT10" s="1">
        <v>40</v>
      </c>
      <c r="AU10" s="1">
        <v>41</v>
      </c>
      <c r="AV10" s="1">
        <v>42</v>
      </c>
      <c r="AW10" s="1">
        <v>43</v>
      </c>
      <c r="AX10" s="1">
        <v>44</v>
      </c>
      <c r="AY10" s="1">
        <v>45</v>
      </c>
      <c r="AZ10" s="1">
        <v>46</v>
      </c>
      <c r="BA10" s="1">
        <v>47</v>
      </c>
      <c r="BB10" s="1">
        <v>48</v>
      </c>
      <c r="BD10" s="1">
        <v>49</v>
      </c>
      <c r="BE10" s="1">
        <v>50</v>
      </c>
      <c r="BF10" s="1">
        <v>51</v>
      </c>
      <c r="BG10" s="1">
        <v>52</v>
      </c>
      <c r="BH10" s="1">
        <v>53</v>
      </c>
      <c r="BI10" s="1">
        <v>54</v>
      </c>
      <c r="BJ10" s="1">
        <v>55</v>
      </c>
      <c r="BK10" s="1">
        <v>56</v>
      </c>
      <c r="BL10" s="1">
        <v>57</v>
      </c>
      <c r="BM10" s="1">
        <v>58</v>
      </c>
      <c r="BN10" s="1">
        <v>59</v>
      </c>
      <c r="BO10" s="1">
        <v>60</v>
      </c>
      <c r="BP10" s="1"/>
    </row>
    <row r="11" spans="1:68" ht="13.5" thickBot="1" x14ac:dyDescent="0.25">
      <c r="A11" t="str">
        <f>'7. Funding Plan'!A23</f>
        <v>Term Loan 2</v>
      </c>
      <c r="D11" s="49">
        <f>D3</f>
        <v>43466</v>
      </c>
      <c r="E11" s="49">
        <f>D11+31</f>
        <v>43497</v>
      </c>
      <c r="F11" s="49">
        <f>E11+31</f>
        <v>43528</v>
      </c>
      <c r="G11" s="49">
        <f>F11+31</f>
        <v>43559</v>
      </c>
      <c r="H11" s="49">
        <f t="shared" ref="H11:O11" si="22">G11+31</f>
        <v>43590</v>
      </c>
      <c r="I11" s="49">
        <f t="shared" si="22"/>
        <v>43621</v>
      </c>
      <c r="J11" s="49">
        <f t="shared" si="22"/>
        <v>43652</v>
      </c>
      <c r="K11" s="49">
        <f t="shared" si="22"/>
        <v>43683</v>
      </c>
      <c r="L11" s="49">
        <f t="shared" si="22"/>
        <v>43714</v>
      </c>
      <c r="M11" s="49">
        <f t="shared" si="22"/>
        <v>43745</v>
      </c>
      <c r="N11" s="49">
        <f t="shared" si="22"/>
        <v>43776</v>
      </c>
      <c r="O11" s="49">
        <f t="shared" si="22"/>
        <v>43807</v>
      </c>
      <c r="P11" s="1">
        <f>P3</f>
        <v>2019</v>
      </c>
      <c r="Q11" s="49">
        <f>D11</f>
        <v>43466</v>
      </c>
      <c r="R11" s="49">
        <f>Q11+31</f>
        <v>43497</v>
      </c>
      <c r="S11" s="49">
        <f>R11+31</f>
        <v>43528</v>
      </c>
      <c r="T11" s="49">
        <f>S11+31</f>
        <v>43559</v>
      </c>
      <c r="U11" s="49">
        <f t="shared" ref="U11:AB11" si="23">T11+31</f>
        <v>43590</v>
      </c>
      <c r="V11" s="49">
        <f t="shared" si="23"/>
        <v>43621</v>
      </c>
      <c r="W11" s="49">
        <f t="shared" si="23"/>
        <v>43652</v>
      </c>
      <c r="X11" s="49">
        <f t="shared" si="23"/>
        <v>43683</v>
      </c>
      <c r="Y11" s="49">
        <f t="shared" si="23"/>
        <v>43714</v>
      </c>
      <c r="Z11" s="49">
        <f t="shared" si="23"/>
        <v>43745</v>
      </c>
      <c r="AA11" s="49">
        <f t="shared" si="23"/>
        <v>43776</v>
      </c>
      <c r="AB11" s="49">
        <f t="shared" si="23"/>
        <v>43807</v>
      </c>
      <c r="AC11" s="1">
        <f>AC3</f>
        <v>2020</v>
      </c>
      <c r="AD11" s="49">
        <f>Q11</f>
        <v>43466</v>
      </c>
      <c r="AE11" s="49">
        <f>AD11+31</f>
        <v>43497</v>
      </c>
      <c r="AF11" s="49">
        <f>AE11+31</f>
        <v>43528</v>
      </c>
      <c r="AG11" s="49">
        <f>AF11+31</f>
        <v>43559</v>
      </c>
      <c r="AH11" s="49">
        <f t="shared" ref="AH11:AO11" si="24">AG11+31</f>
        <v>43590</v>
      </c>
      <c r="AI11" s="49">
        <f t="shared" si="24"/>
        <v>43621</v>
      </c>
      <c r="AJ11" s="49">
        <f t="shared" si="24"/>
        <v>43652</v>
      </c>
      <c r="AK11" s="49">
        <f t="shared" si="24"/>
        <v>43683</v>
      </c>
      <c r="AL11" s="49">
        <f t="shared" si="24"/>
        <v>43714</v>
      </c>
      <c r="AM11" s="49">
        <f t="shared" si="24"/>
        <v>43745</v>
      </c>
      <c r="AN11" s="49">
        <f t="shared" si="24"/>
        <v>43776</v>
      </c>
      <c r="AO11" s="49">
        <f t="shared" si="24"/>
        <v>43807</v>
      </c>
      <c r="AP11" s="1">
        <f>AP3</f>
        <v>2021</v>
      </c>
      <c r="AQ11" s="49">
        <f>AD11</f>
        <v>43466</v>
      </c>
      <c r="AR11" s="49">
        <f>AQ11+31</f>
        <v>43497</v>
      </c>
      <c r="AS11" s="49">
        <f>AR11+31</f>
        <v>43528</v>
      </c>
      <c r="AT11" s="49">
        <f>AS11+31</f>
        <v>43559</v>
      </c>
      <c r="AU11" s="49">
        <f t="shared" ref="AU11:BB11" si="25">AT11+31</f>
        <v>43590</v>
      </c>
      <c r="AV11" s="49">
        <f t="shared" si="25"/>
        <v>43621</v>
      </c>
      <c r="AW11" s="49">
        <f t="shared" si="25"/>
        <v>43652</v>
      </c>
      <c r="AX11" s="49">
        <f t="shared" si="25"/>
        <v>43683</v>
      </c>
      <c r="AY11" s="49">
        <f t="shared" si="25"/>
        <v>43714</v>
      </c>
      <c r="AZ11" s="49">
        <f t="shared" si="25"/>
        <v>43745</v>
      </c>
      <c r="BA11" s="49">
        <f t="shared" si="25"/>
        <v>43776</v>
      </c>
      <c r="BB11" s="49">
        <f t="shared" si="25"/>
        <v>43807</v>
      </c>
      <c r="BC11" s="1">
        <f>BC3</f>
        <v>2022</v>
      </c>
      <c r="BD11" s="49">
        <f>AQ11</f>
        <v>43466</v>
      </c>
      <c r="BE11" s="49">
        <f>BD11+31</f>
        <v>43497</v>
      </c>
      <c r="BF11" s="49">
        <f>BE11+31</f>
        <v>43528</v>
      </c>
      <c r="BG11" s="49">
        <f>BF11+31</f>
        <v>43559</v>
      </c>
      <c r="BH11" s="49">
        <f t="shared" ref="BH11:BO11" si="26">BG11+31</f>
        <v>43590</v>
      </c>
      <c r="BI11" s="49">
        <f t="shared" si="26"/>
        <v>43621</v>
      </c>
      <c r="BJ11" s="49">
        <f t="shared" si="26"/>
        <v>43652</v>
      </c>
      <c r="BK11" s="49">
        <f t="shared" si="26"/>
        <v>43683</v>
      </c>
      <c r="BL11" s="49">
        <f t="shared" si="26"/>
        <v>43714</v>
      </c>
      <c r="BM11" s="49">
        <f t="shared" si="26"/>
        <v>43745</v>
      </c>
      <c r="BN11" s="49">
        <f t="shared" si="26"/>
        <v>43776</v>
      </c>
      <c r="BO11" s="49">
        <f t="shared" si="26"/>
        <v>43807</v>
      </c>
      <c r="BP11" s="1">
        <f>BP3</f>
        <v>2023</v>
      </c>
    </row>
    <row r="12" spans="1:68" x14ac:dyDescent="0.2">
      <c r="A12" s="50">
        <f>'7. Funding Plan'!C23</f>
        <v>10000</v>
      </c>
      <c r="B12" s="51" t="s">
        <v>23</v>
      </c>
      <c r="C12" s="9" t="s">
        <v>52</v>
      </c>
      <c r="D12" s="56">
        <f>A12</f>
        <v>10000</v>
      </c>
      <c r="E12" s="58">
        <f>D16</f>
        <v>9935.6011514275906</v>
      </c>
      <c r="F12" s="58">
        <f t="shared" ref="F12" si="27">E16</f>
        <v>9870.9339743194632</v>
      </c>
      <c r="G12" s="58">
        <f t="shared" ref="G12" si="28">F16</f>
        <v>9805.9973506400529</v>
      </c>
      <c r="H12" s="58">
        <f t="shared" ref="H12" si="29">G16</f>
        <v>9740.7901576953118</v>
      </c>
      <c r="I12" s="58">
        <f t="shared" ref="I12" si="30">H16</f>
        <v>9675.3112681133007</v>
      </c>
      <c r="J12" s="58">
        <f t="shared" ref="J12" si="31">I16</f>
        <v>9609.5595498246967</v>
      </c>
      <c r="K12" s="58">
        <f t="shared" ref="K12" si="32">J16</f>
        <v>9543.5338660432244</v>
      </c>
      <c r="L12" s="58">
        <f t="shared" ref="L12" si="33">K16</f>
        <v>9477.2330752459966</v>
      </c>
      <c r="M12" s="58">
        <f t="shared" ref="M12" si="34">L16</f>
        <v>9410.6560311537796</v>
      </c>
      <c r="N12" s="58">
        <f t="shared" ref="N12" si="35">M16</f>
        <v>9343.8015827111776</v>
      </c>
      <c r="O12" s="58">
        <f t="shared" ref="O12" si="36">N16</f>
        <v>9276.6685740667326</v>
      </c>
      <c r="P12" s="56">
        <f>D12</f>
        <v>10000</v>
      </c>
      <c r="Q12" s="56">
        <f>O16</f>
        <v>9209.2558445529357</v>
      </c>
      <c r="R12" s="58">
        <f>Q16</f>
        <v>9141.5622286661637</v>
      </c>
      <c r="S12" s="58">
        <f t="shared" ref="S12" si="37">R16</f>
        <v>9073.5865560465299</v>
      </c>
      <c r="T12" s="58">
        <f t="shared" ref="T12" si="38">S16</f>
        <v>9005.3276514576482</v>
      </c>
      <c r="U12" s="58">
        <f t="shared" ref="U12" si="39">T16</f>
        <v>8936.7843347663129</v>
      </c>
      <c r="V12" s="58">
        <f t="shared" ref="V12" si="40">U16</f>
        <v>8867.9554209220969</v>
      </c>
      <c r="W12" s="58">
        <f t="shared" ref="W12" si="41">V16</f>
        <v>8798.8397199368628</v>
      </c>
      <c r="X12" s="58">
        <f t="shared" ref="X12" si="42">W16</f>
        <v>8729.4360368641919</v>
      </c>
      <c r="Y12" s="58">
        <f t="shared" ref="Y12" si="43">X16</f>
        <v>8659.7431717787167</v>
      </c>
      <c r="Z12" s="58">
        <f t="shared" ref="Z12" si="44">Y16</f>
        <v>8589.7599197553864</v>
      </c>
      <c r="AA12" s="58">
        <f t="shared" ref="AA12" si="45">Z16</f>
        <v>8519.4850708486247</v>
      </c>
      <c r="AB12" s="58">
        <f t="shared" ref="AB12" si="46">AA16</f>
        <v>8448.917410071419</v>
      </c>
      <c r="AC12" s="56">
        <f>Q12</f>
        <v>9209.2558445529357</v>
      </c>
      <c r="AD12" s="56">
        <f>IF(AB16&lt;0.1,0,AB16)</f>
        <v>8378.0557173743073</v>
      </c>
      <c r="AE12" s="58">
        <f>AD16</f>
        <v>8306.8987676242923</v>
      </c>
      <c r="AF12" s="58">
        <f t="shared" ref="AF12" si="47">AE16</f>
        <v>8235.4453305836523</v>
      </c>
      <c r="AG12" s="58">
        <f t="shared" ref="AG12" si="48">AF16</f>
        <v>8163.6941708886752</v>
      </c>
      <c r="AH12" s="58">
        <f t="shared" ref="AH12" si="49">AG16</f>
        <v>8091.6440480283027</v>
      </c>
      <c r="AI12" s="58">
        <f t="shared" ref="AI12" si="50">AH16</f>
        <v>8019.2937163226788</v>
      </c>
      <c r="AJ12" s="58">
        <f t="shared" ref="AJ12" si="51">AI16</f>
        <v>7946.6419249016144</v>
      </c>
      <c r="AK12" s="58">
        <f t="shared" ref="AK12" si="52">AJ16</f>
        <v>7873.6874176829624</v>
      </c>
      <c r="AL12" s="58">
        <f t="shared" ref="AL12" si="53">AK16</f>
        <v>7800.4289333508996</v>
      </c>
      <c r="AM12" s="58">
        <f t="shared" ref="AM12" si="54">AL16</f>
        <v>7726.8652053341193</v>
      </c>
      <c r="AN12" s="58">
        <f t="shared" ref="AN12" si="55">AM16</f>
        <v>7652.9949617839366</v>
      </c>
      <c r="AO12" s="58">
        <f t="shared" ref="AO12" si="56">AN16</f>
        <v>7578.8169255522944</v>
      </c>
      <c r="AP12" s="56">
        <f>AO12</f>
        <v>7578.8169255522944</v>
      </c>
      <c r="AQ12" s="56">
        <f>IF(AO16&lt;0.1,0,AO16)</f>
        <v>7504.3298141696869</v>
      </c>
      <c r="AR12" s="58">
        <f>AQ16</f>
        <v>7429.5323398229857</v>
      </c>
      <c r="AS12" s="58">
        <f t="shared" ref="AS12" si="57">AR16</f>
        <v>7354.423209333173</v>
      </c>
      <c r="AT12" s="58">
        <f t="shared" ref="AT12" si="58">AS16</f>
        <v>7279.0011241329858</v>
      </c>
      <c r="AU12" s="58">
        <f t="shared" ref="AU12" si="59">AT16</f>
        <v>7203.2647802444644</v>
      </c>
      <c r="AV12" s="58">
        <f t="shared" ref="AV12" si="60">AU16</f>
        <v>7127.212868256408</v>
      </c>
      <c r="AW12" s="58">
        <f t="shared" ref="AW12" si="61">AV16</f>
        <v>7050.8440733017342</v>
      </c>
      <c r="AX12" s="58">
        <f t="shared" ref="AX12" si="62">AW16</f>
        <v>6974.1570750347491</v>
      </c>
      <c r="AY12" s="58">
        <f t="shared" ref="AY12" si="63">AX16</f>
        <v>6897.1505476083184</v>
      </c>
      <c r="AZ12" s="58">
        <f t="shared" ref="AZ12" si="64">AY16</f>
        <v>6819.8231596509449</v>
      </c>
      <c r="BA12" s="58">
        <f t="shared" ref="BA12" si="65">AZ16</f>
        <v>6742.1735742437486</v>
      </c>
      <c r="BB12" s="58">
        <f t="shared" ref="BB12" si="66">BA16</f>
        <v>6664.2004488973553</v>
      </c>
      <c r="BC12" s="56">
        <f>BB12</f>
        <v>6664.2004488973553</v>
      </c>
      <c r="BD12" s="56">
        <f>IF(BB16&lt;0.1,0,BB16)</f>
        <v>6585.9024355286856</v>
      </c>
      <c r="BE12" s="58">
        <f>BD16</f>
        <v>6507.2781804376464</v>
      </c>
      <c r="BF12" s="58">
        <f t="shared" ref="BF12" si="67">BE16</f>
        <v>6428.3263242837284</v>
      </c>
      <c r="BG12" s="58">
        <f t="shared" ref="BG12" si="68">BF16</f>
        <v>6349.0455020625022</v>
      </c>
      <c r="BH12" s="58">
        <f t="shared" ref="BH12" si="69">BG16</f>
        <v>6269.4343430820209</v>
      </c>
      <c r="BI12" s="58">
        <f t="shared" ref="BI12" si="70">BH16</f>
        <v>6189.4914709391205</v>
      </c>
      <c r="BJ12" s="58">
        <f t="shared" ref="BJ12" si="71">BI16</f>
        <v>6109.2155034956249</v>
      </c>
      <c r="BK12" s="58">
        <f t="shared" ref="BK12" si="72">BJ16</f>
        <v>6028.6050528544483</v>
      </c>
      <c r="BL12" s="58">
        <f t="shared" ref="BL12" si="73">BK16</f>
        <v>5947.6587253356001</v>
      </c>
      <c r="BM12" s="58">
        <f t="shared" ref="BM12" si="74">BL16</f>
        <v>5866.3751214520898</v>
      </c>
      <c r="BN12" s="58">
        <f t="shared" ref="BN12" si="75">BM16</f>
        <v>5784.7528358857317</v>
      </c>
      <c r="BO12" s="58">
        <f t="shared" ref="BO12" si="76">BN16</f>
        <v>5702.7904574628474</v>
      </c>
      <c r="BP12" s="56">
        <f>BO12</f>
        <v>5702.7904574628474</v>
      </c>
    </row>
    <row r="13" spans="1:68" x14ac:dyDescent="0.2">
      <c r="A13" s="52">
        <f>'7. Funding Plan'!D23</f>
        <v>0.05</v>
      </c>
      <c r="B13" s="53" t="s">
        <v>3</v>
      </c>
      <c r="C13" s="9" t="s">
        <v>53</v>
      </c>
      <c r="D13" s="57">
        <f t="shared" ref="D13:O13" si="77">IF(D12&gt;0,PMT($A13/12,$A14*12,$A12)*-1,0)</f>
        <v>106.06551523907524</v>
      </c>
      <c r="E13" s="57">
        <f t="shared" si="77"/>
        <v>106.06551523907524</v>
      </c>
      <c r="F13" s="57">
        <f t="shared" si="77"/>
        <v>106.06551523907524</v>
      </c>
      <c r="G13" s="57">
        <f t="shared" si="77"/>
        <v>106.06551523907524</v>
      </c>
      <c r="H13" s="57">
        <f t="shared" si="77"/>
        <v>106.06551523907524</v>
      </c>
      <c r="I13" s="57">
        <f t="shared" si="77"/>
        <v>106.06551523907524</v>
      </c>
      <c r="J13" s="57">
        <f t="shared" si="77"/>
        <v>106.06551523907524</v>
      </c>
      <c r="K13" s="57">
        <f t="shared" si="77"/>
        <v>106.06551523907524</v>
      </c>
      <c r="L13" s="57">
        <f t="shared" si="77"/>
        <v>106.06551523907524</v>
      </c>
      <c r="M13" s="57">
        <f t="shared" si="77"/>
        <v>106.06551523907524</v>
      </c>
      <c r="N13" s="57">
        <f t="shared" si="77"/>
        <v>106.06551523907524</v>
      </c>
      <c r="O13" s="57">
        <f t="shared" si="77"/>
        <v>106.06551523907524</v>
      </c>
      <c r="P13" s="58">
        <f>SUM(D13:O13)</f>
        <v>1272.7861828689029</v>
      </c>
      <c r="Q13" s="57">
        <f t="shared" ref="Q13:AB13" si="78">IF(Q12&gt;0,PMT($A13/12,$A14*12,$A12)*-1,0)</f>
        <v>106.06551523907524</v>
      </c>
      <c r="R13" s="57">
        <f t="shared" si="78"/>
        <v>106.06551523907524</v>
      </c>
      <c r="S13" s="57">
        <f t="shared" si="78"/>
        <v>106.06551523907524</v>
      </c>
      <c r="T13" s="57">
        <f t="shared" si="78"/>
        <v>106.06551523907524</v>
      </c>
      <c r="U13" s="57">
        <f t="shared" si="78"/>
        <v>106.06551523907524</v>
      </c>
      <c r="V13" s="57">
        <f t="shared" si="78"/>
        <v>106.06551523907524</v>
      </c>
      <c r="W13" s="57">
        <f t="shared" si="78"/>
        <v>106.06551523907524</v>
      </c>
      <c r="X13" s="57">
        <f t="shared" si="78"/>
        <v>106.06551523907524</v>
      </c>
      <c r="Y13" s="57">
        <f t="shared" si="78"/>
        <v>106.06551523907524</v>
      </c>
      <c r="Z13" s="57">
        <f t="shared" si="78"/>
        <v>106.06551523907524</v>
      </c>
      <c r="AA13" s="57">
        <f t="shared" si="78"/>
        <v>106.06551523907524</v>
      </c>
      <c r="AB13" s="57">
        <f t="shared" si="78"/>
        <v>106.06551523907524</v>
      </c>
      <c r="AC13" s="58">
        <f>SUM(Q13:AB13)</f>
        <v>1272.7861828689029</v>
      </c>
      <c r="AD13" s="57">
        <f t="shared" ref="AD13:AO13" si="79">IF(AD12&gt;0,PMT($A13/12,$A14*12,$A12)*-1,0)</f>
        <v>106.06551523907524</v>
      </c>
      <c r="AE13" s="57">
        <f t="shared" si="79"/>
        <v>106.06551523907524</v>
      </c>
      <c r="AF13" s="57">
        <f t="shared" si="79"/>
        <v>106.06551523907524</v>
      </c>
      <c r="AG13" s="57">
        <f t="shared" si="79"/>
        <v>106.06551523907524</v>
      </c>
      <c r="AH13" s="57">
        <f t="shared" si="79"/>
        <v>106.06551523907524</v>
      </c>
      <c r="AI13" s="57">
        <f t="shared" si="79"/>
        <v>106.06551523907524</v>
      </c>
      <c r="AJ13" s="57">
        <f t="shared" si="79"/>
        <v>106.06551523907524</v>
      </c>
      <c r="AK13" s="57">
        <f t="shared" si="79"/>
        <v>106.06551523907524</v>
      </c>
      <c r="AL13" s="57">
        <f t="shared" si="79"/>
        <v>106.06551523907524</v>
      </c>
      <c r="AM13" s="57">
        <f t="shared" si="79"/>
        <v>106.06551523907524</v>
      </c>
      <c r="AN13" s="57">
        <f t="shared" si="79"/>
        <v>106.06551523907524</v>
      </c>
      <c r="AO13" s="57">
        <f t="shared" si="79"/>
        <v>106.06551523907524</v>
      </c>
      <c r="AP13" s="58">
        <f>SUM(AD13:AO13)</f>
        <v>1272.7861828689029</v>
      </c>
      <c r="AQ13" s="57">
        <f t="shared" ref="AQ13:BB13" si="80">IF(AQ12&gt;0,PMT($A13/12,$A14*12,$A12)*-1,0)</f>
        <v>106.06551523907524</v>
      </c>
      <c r="AR13" s="57">
        <f t="shared" si="80"/>
        <v>106.06551523907524</v>
      </c>
      <c r="AS13" s="57">
        <f t="shared" si="80"/>
        <v>106.06551523907524</v>
      </c>
      <c r="AT13" s="57">
        <f t="shared" si="80"/>
        <v>106.06551523907524</v>
      </c>
      <c r="AU13" s="57">
        <f t="shared" si="80"/>
        <v>106.06551523907524</v>
      </c>
      <c r="AV13" s="57">
        <f t="shared" si="80"/>
        <v>106.06551523907524</v>
      </c>
      <c r="AW13" s="57">
        <f t="shared" si="80"/>
        <v>106.06551523907524</v>
      </c>
      <c r="AX13" s="57">
        <f t="shared" si="80"/>
        <v>106.06551523907524</v>
      </c>
      <c r="AY13" s="57">
        <f t="shared" si="80"/>
        <v>106.06551523907524</v>
      </c>
      <c r="AZ13" s="57">
        <f t="shared" si="80"/>
        <v>106.06551523907524</v>
      </c>
      <c r="BA13" s="57">
        <f t="shared" si="80"/>
        <v>106.06551523907524</v>
      </c>
      <c r="BB13" s="57">
        <f t="shared" si="80"/>
        <v>106.06551523907524</v>
      </c>
      <c r="BC13" s="58">
        <f>SUM(AQ13:BB13)</f>
        <v>1272.7861828689029</v>
      </c>
      <c r="BD13" s="57">
        <f t="shared" ref="BD13:BO13" si="81">IF(BD12&gt;0,PMT($A13/12,$A14*12,$A12)*-1,0)</f>
        <v>106.06551523907524</v>
      </c>
      <c r="BE13" s="57">
        <f t="shared" si="81"/>
        <v>106.06551523907524</v>
      </c>
      <c r="BF13" s="57">
        <f t="shared" si="81"/>
        <v>106.06551523907524</v>
      </c>
      <c r="BG13" s="57">
        <f t="shared" si="81"/>
        <v>106.06551523907524</v>
      </c>
      <c r="BH13" s="57">
        <f t="shared" si="81"/>
        <v>106.06551523907524</v>
      </c>
      <c r="BI13" s="57">
        <f t="shared" si="81"/>
        <v>106.06551523907524</v>
      </c>
      <c r="BJ13" s="57">
        <f t="shared" si="81"/>
        <v>106.06551523907524</v>
      </c>
      <c r="BK13" s="57">
        <f t="shared" si="81"/>
        <v>106.06551523907524</v>
      </c>
      <c r="BL13" s="57">
        <f t="shared" si="81"/>
        <v>106.06551523907524</v>
      </c>
      <c r="BM13" s="57">
        <f t="shared" si="81"/>
        <v>106.06551523907524</v>
      </c>
      <c r="BN13" s="57">
        <f t="shared" si="81"/>
        <v>106.06551523907524</v>
      </c>
      <c r="BO13" s="57">
        <f t="shared" si="81"/>
        <v>106.06551523907524</v>
      </c>
      <c r="BP13" s="58">
        <f>SUM(BD13:BO13)</f>
        <v>1272.7861828689029</v>
      </c>
    </row>
    <row r="14" spans="1:68" ht="13.5" thickBot="1" x14ac:dyDescent="0.25">
      <c r="A14" s="54">
        <f>'7. Funding Plan'!E23</f>
        <v>10</v>
      </c>
      <c r="B14" s="55" t="s">
        <v>25</v>
      </c>
      <c r="C14" s="9" t="s">
        <v>3</v>
      </c>
      <c r="D14" s="58">
        <f t="shared" ref="D14:O14" si="82">$A13/12*D12</f>
        <v>41.666666666666664</v>
      </c>
      <c r="E14" s="58">
        <f t="shared" si="82"/>
        <v>41.398338130948297</v>
      </c>
      <c r="F14" s="58">
        <f t="shared" si="82"/>
        <v>41.128891559664432</v>
      </c>
      <c r="G14" s="58">
        <f t="shared" si="82"/>
        <v>40.858322294333554</v>
      </c>
      <c r="H14" s="58">
        <f t="shared" si="82"/>
        <v>40.586625657063799</v>
      </c>
      <c r="I14" s="58">
        <f t="shared" si="82"/>
        <v>40.313796950472089</v>
      </c>
      <c r="J14" s="58">
        <f t="shared" si="82"/>
        <v>40.039831457602901</v>
      </c>
      <c r="K14" s="58">
        <f t="shared" si="82"/>
        <v>39.764724441846766</v>
      </c>
      <c r="L14" s="58">
        <f t="shared" si="82"/>
        <v>39.488471146858316</v>
      </c>
      <c r="M14" s="58">
        <f t="shared" si="82"/>
        <v>39.211066796474078</v>
      </c>
      <c r="N14" s="58">
        <f t="shared" si="82"/>
        <v>38.932506594629906</v>
      </c>
      <c r="O14" s="58">
        <f t="shared" si="82"/>
        <v>38.652785725278051</v>
      </c>
      <c r="P14" s="58">
        <f>SUM(D14:O14)</f>
        <v>482.04202742183884</v>
      </c>
      <c r="Q14" s="58">
        <f t="shared" ref="Q14:AB14" si="83">$A13/12*Q12</f>
        <v>38.371899352303899</v>
      </c>
      <c r="R14" s="58">
        <f t="shared" si="83"/>
        <v>38.089842619442351</v>
      </c>
      <c r="S14" s="58">
        <f t="shared" si="83"/>
        <v>37.806610650193875</v>
      </c>
      <c r="T14" s="58">
        <f t="shared" si="83"/>
        <v>37.522198547740203</v>
      </c>
      <c r="U14" s="58">
        <f t="shared" si="83"/>
        <v>37.236601394859633</v>
      </c>
      <c r="V14" s="58">
        <f t="shared" si="83"/>
        <v>36.949814253842071</v>
      </c>
      <c r="W14" s="58">
        <f t="shared" si="83"/>
        <v>36.661832166403592</v>
      </c>
      <c r="X14" s="58">
        <f t="shared" si="83"/>
        <v>36.372650153600802</v>
      </c>
      <c r="Y14" s="58">
        <f t="shared" si="83"/>
        <v>36.082263215744653</v>
      </c>
      <c r="Z14" s="58">
        <f t="shared" si="83"/>
        <v>35.79066633231411</v>
      </c>
      <c r="AA14" s="58">
        <f t="shared" si="83"/>
        <v>35.497854461869267</v>
      </c>
      <c r="AB14" s="58">
        <f t="shared" si="83"/>
        <v>35.203822541964243</v>
      </c>
      <c r="AC14" s="58">
        <f>SUM(Q14:AB14)</f>
        <v>441.58605569027873</v>
      </c>
      <c r="AD14" s="58">
        <f t="shared" ref="AD14:AO14" si="84">$A13/12*AD12</f>
        <v>34.908565489059612</v>
      </c>
      <c r="AE14" s="58">
        <f t="shared" si="84"/>
        <v>34.612078198434553</v>
      </c>
      <c r="AF14" s="58">
        <f t="shared" si="84"/>
        <v>34.314355544098554</v>
      </c>
      <c r="AG14" s="58">
        <f t="shared" si="84"/>
        <v>34.015392378702813</v>
      </c>
      <c r="AH14" s="58">
        <f t="shared" si="84"/>
        <v>33.71518353345126</v>
      </c>
      <c r="AI14" s="58">
        <f t="shared" si="84"/>
        <v>33.413723818011164</v>
      </c>
      <c r="AJ14" s="58">
        <f t="shared" si="84"/>
        <v>33.111008020423391</v>
      </c>
      <c r="AK14" s="58">
        <f t="shared" si="84"/>
        <v>32.80703090701234</v>
      </c>
      <c r="AL14" s="58">
        <f t="shared" si="84"/>
        <v>32.501787222295413</v>
      </c>
      <c r="AM14" s="58">
        <f t="shared" si="84"/>
        <v>32.195271688892163</v>
      </c>
      <c r="AN14" s="58">
        <f t="shared" si="84"/>
        <v>31.887479007433068</v>
      </c>
      <c r="AO14" s="58">
        <f t="shared" si="84"/>
        <v>31.578403856467894</v>
      </c>
      <c r="AP14" s="58">
        <f>SUM(AD14:AO14)</f>
        <v>399.06027966428223</v>
      </c>
      <c r="AQ14" s="58">
        <f t="shared" ref="AQ14:BB14" si="85">$A13/12*AQ12</f>
        <v>31.268040892373694</v>
      </c>
      <c r="AR14" s="58">
        <f t="shared" si="85"/>
        <v>30.95638474926244</v>
      </c>
      <c r="AS14" s="58">
        <f t="shared" si="85"/>
        <v>30.643430038888219</v>
      </c>
      <c r="AT14" s="58">
        <f t="shared" si="85"/>
        <v>30.329171350554105</v>
      </c>
      <c r="AU14" s="58">
        <f t="shared" si="85"/>
        <v>30.013603251018601</v>
      </c>
      <c r="AV14" s="58">
        <f t="shared" si="85"/>
        <v>29.6967202844017</v>
      </c>
      <c r="AW14" s="58">
        <f t="shared" si="85"/>
        <v>29.378516972090559</v>
      </c>
      <c r="AX14" s="58">
        <f t="shared" si="85"/>
        <v>29.058987812644787</v>
      </c>
      <c r="AY14" s="58">
        <f t="shared" si="85"/>
        <v>28.738127281701328</v>
      </c>
      <c r="AZ14" s="58">
        <f t="shared" si="85"/>
        <v>28.415929831878938</v>
      </c>
      <c r="BA14" s="58">
        <f t="shared" si="85"/>
        <v>28.092389892682284</v>
      </c>
      <c r="BB14" s="58">
        <f t="shared" si="85"/>
        <v>27.767501870405646</v>
      </c>
      <c r="BC14" s="58">
        <f>SUM(AQ14:BB14)</f>
        <v>354.35880422790223</v>
      </c>
      <c r="BD14" s="58">
        <f t="shared" ref="BD14:BO14" si="86">$A13/12*BD12</f>
        <v>27.441260148036189</v>
      </c>
      <c r="BE14" s="58">
        <f t="shared" si="86"/>
        <v>27.113659085156858</v>
      </c>
      <c r="BF14" s="58">
        <f t="shared" si="86"/>
        <v>26.784693017848866</v>
      </c>
      <c r="BG14" s="58">
        <f t="shared" si="86"/>
        <v>26.454356258593759</v>
      </c>
      <c r="BH14" s="58">
        <f t="shared" si="86"/>
        <v>26.122643096175086</v>
      </c>
      <c r="BI14" s="58">
        <f t="shared" si="86"/>
        <v>25.789547795579669</v>
      </c>
      <c r="BJ14" s="58">
        <f t="shared" si="86"/>
        <v>25.455064597898438</v>
      </c>
      <c r="BK14" s="58">
        <f t="shared" si="86"/>
        <v>25.119187720226869</v>
      </c>
      <c r="BL14" s="58">
        <f t="shared" si="86"/>
        <v>24.781911355565001</v>
      </c>
      <c r="BM14" s="58">
        <f t="shared" si="86"/>
        <v>24.443229672717042</v>
      </c>
      <c r="BN14" s="58">
        <f t="shared" si="86"/>
        <v>24.103136816190549</v>
      </c>
      <c r="BO14" s="58">
        <f t="shared" si="86"/>
        <v>23.761626906095199</v>
      </c>
      <c r="BP14" s="58">
        <f>SUM(BD14:BO14)</f>
        <v>307.37031647008354</v>
      </c>
    </row>
    <row r="15" spans="1:68" x14ac:dyDescent="0.2">
      <c r="C15" s="9" t="s">
        <v>54</v>
      </c>
      <c r="D15" s="58">
        <f t="shared" ref="D15:O15" si="87">D13-D14</f>
        <v>64.398848572408582</v>
      </c>
      <c r="E15" s="58">
        <f t="shared" si="87"/>
        <v>64.667177108126936</v>
      </c>
      <c r="F15" s="58">
        <f t="shared" si="87"/>
        <v>64.936623679410815</v>
      </c>
      <c r="G15" s="58">
        <f t="shared" si="87"/>
        <v>65.207192944741678</v>
      </c>
      <c r="H15" s="58">
        <f t="shared" si="87"/>
        <v>65.478889582011448</v>
      </c>
      <c r="I15" s="58">
        <f t="shared" si="87"/>
        <v>65.751718288603143</v>
      </c>
      <c r="J15" s="58">
        <f t="shared" si="87"/>
        <v>66.025683781472338</v>
      </c>
      <c r="K15" s="58">
        <f t="shared" si="87"/>
        <v>66.300790797228473</v>
      </c>
      <c r="L15" s="58">
        <f t="shared" si="87"/>
        <v>66.577044092216923</v>
      </c>
      <c r="M15" s="58">
        <f t="shared" si="87"/>
        <v>66.854448442601154</v>
      </c>
      <c r="N15" s="58">
        <f t="shared" si="87"/>
        <v>67.13300864444534</v>
      </c>
      <c r="O15" s="58">
        <f t="shared" si="87"/>
        <v>67.412729513797188</v>
      </c>
      <c r="P15" s="58">
        <f>SUM(D15:O15)</f>
        <v>790.74415544706403</v>
      </c>
      <c r="Q15" s="58">
        <f t="shared" ref="Q15:AB15" si="88">Q13-Q14</f>
        <v>67.69361588677134</v>
      </c>
      <c r="R15" s="58">
        <f t="shared" si="88"/>
        <v>67.975672619632888</v>
      </c>
      <c r="S15" s="58">
        <f t="shared" si="88"/>
        <v>68.258904588881364</v>
      </c>
      <c r="T15" s="58">
        <f t="shared" si="88"/>
        <v>68.543316691335036</v>
      </c>
      <c r="U15" s="58">
        <f t="shared" si="88"/>
        <v>68.828913844215606</v>
      </c>
      <c r="V15" s="58">
        <f t="shared" si="88"/>
        <v>69.115700985233161</v>
      </c>
      <c r="W15" s="58">
        <f t="shared" si="88"/>
        <v>69.40368307267164</v>
      </c>
      <c r="X15" s="58">
        <f t="shared" si="88"/>
        <v>69.692865085474438</v>
      </c>
      <c r="Y15" s="58">
        <f t="shared" si="88"/>
        <v>69.983252023330579</v>
      </c>
      <c r="Z15" s="58">
        <f t="shared" si="88"/>
        <v>70.274848906761122</v>
      </c>
      <c r="AA15" s="58">
        <f t="shared" si="88"/>
        <v>70.567660777205973</v>
      </c>
      <c r="AB15" s="58">
        <f t="shared" si="88"/>
        <v>70.861692697110996</v>
      </c>
      <c r="AC15" s="58">
        <f>SUM(Q15:AB15)</f>
        <v>831.20012717862426</v>
      </c>
      <c r="AD15" s="58">
        <f t="shared" ref="AD15:AO15" si="89">AD13-AD14</f>
        <v>71.156949750015627</v>
      </c>
      <c r="AE15" s="58">
        <f t="shared" si="89"/>
        <v>71.453437040640694</v>
      </c>
      <c r="AF15" s="58">
        <f t="shared" si="89"/>
        <v>71.751159694976678</v>
      </c>
      <c r="AG15" s="58">
        <f t="shared" si="89"/>
        <v>72.050122860372426</v>
      </c>
      <c r="AH15" s="58">
        <f t="shared" si="89"/>
        <v>72.350331705623972</v>
      </c>
      <c r="AI15" s="58">
        <f t="shared" si="89"/>
        <v>72.651791421064075</v>
      </c>
      <c r="AJ15" s="58">
        <f t="shared" si="89"/>
        <v>72.954507218651855</v>
      </c>
      <c r="AK15" s="58">
        <f t="shared" si="89"/>
        <v>73.258484332062892</v>
      </c>
      <c r="AL15" s="58">
        <f t="shared" si="89"/>
        <v>73.563728016779834</v>
      </c>
      <c r="AM15" s="58">
        <f t="shared" si="89"/>
        <v>73.870243550183076</v>
      </c>
      <c r="AN15" s="58">
        <f t="shared" si="89"/>
        <v>74.178036231642167</v>
      </c>
      <c r="AO15" s="58">
        <f t="shared" si="89"/>
        <v>74.487111382607338</v>
      </c>
      <c r="AP15" s="58">
        <f>SUM(AD15:AO15)</f>
        <v>873.72590320462064</v>
      </c>
      <c r="AQ15" s="58">
        <f t="shared" ref="AQ15:BB15" si="90">AQ13-AQ14</f>
        <v>74.797474346701549</v>
      </c>
      <c r="AR15" s="58">
        <f t="shared" si="90"/>
        <v>75.109130489812799</v>
      </c>
      <c r="AS15" s="58">
        <f t="shared" si="90"/>
        <v>75.422085200187013</v>
      </c>
      <c r="AT15" s="58">
        <f t="shared" si="90"/>
        <v>75.736343888521134</v>
      </c>
      <c r="AU15" s="58">
        <f t="shared" si="90"/>
        <v>76.051911988056645</v>
      </c>
      <c r="AV15" s="58">
        <f t="shared" si="90"/>
        <v>76.368794954673547</v>
      </c>
      <c r="AW15" s="58">
        <f t="shared" si="90"/>
        <v>76.686998266984688</v>
      </c>
      <c r="AX15" s="58">
        <f t="shared" si="90"/>
        <v>77.006527426430452</v>
      </c>
      <c r="AY15" s="58">
        <f t="shared" si="90"/>
        <v>77.327387957373915</v>
      </c>
      <c r="AZ15" s="58">
        <f t="shared" si="90"/>
        <v>77.649585407196298</v>
      </c>
      <c r="BA15" s="58">
        <f t="shared" si="90"/>
        <v>77.973125346392948</v>
      </c>
      <c r="BB15" s="58">
        <f t="shared" si="90"/>
        <v>78.298013368669586</v>
      </c>
      <c r="BC15" s="58">
        <f>SUM(AQ15:BB15)</f>
        <v>918.42737864100059</v>
      </c>
      <c r="BD15" s="58">
        <f t="shared" ref="BD15:BO15" si="91">BD13-BD14</f>
        <v>78.624255091039046</v>
      </c>
      <c r="BE15" s="58">
        <f t="shared" si="91"/>
        <v>78.951856153918385</v>
      </c>
      <c r="BF15" s="58">
        <f t="shared" si="91"/>
        <v>79.280822221226373</v>
      </c>
      <c r="BG15" s="58">
        <f t="shared" si="91"/>
        <v>79.611158980481477</v>
      </c>
      <c r="BH15" s="58">
        <f t="shared" si="91"/>
        <v>79.942872142900157</v>
      </c>
      <c r="BI15" s="58">
        <f t="shared" si="91"/>
        <v>80.275967443495574</v>
      </c>
      <c r="BJ15" s="58">
        <f t="shared" si="91"/>
        <v>80.610450641176797</v>
      </c>
      <c r="BK15" s="58">
        <f t="shared" si="91"/>
        <v>80.946327518848364</v>
      </c>
      <c r="BL15" s="58">
        <f t="shared" si="91"/>
        <v>81.283603883510239</v>
      </c>
      <c r="BM15" s="58">
        <f t="shared" si="91"/>
        <v>81.622285566358201</v>
      </c>
      <c r="BN15" s="58">
        <f t="shared" si="91"/>
        <v>81.962378422884683</v>
      </c>
      <c r="BO15" s="58">
        <f t="shared" si="91"/>
        <v>82.303888332980037</v>
      </c>
      <c r="BP15" s="58">
        <f>SUM(BD15:BO15)</f>
        <v>965.41586639881939</v>
      </c>
    </row>
    <row r="16" spans="1:68" x14ac:dyDescent="0.2">
      <c r="C16" s="9" t="s">
        <v>55</v>
      </c>
      <c r="D16" s="58">
        <f t="shared" ref="D16:O16" si="92">IF(D12-D15&lt;0,0,D12-D15)</f>
        <v>9935.6011514275906</v>
      </c>
      <c r="E16" s="58">
        <f t="shared" si="92"/>
        <v>9870.9339743194632</v>
      </c>
      <c r="F16" s="58">
        <f t="shared" si="92"/>
        <v>9805.9973506400529</v>
      </c>
      <c r="G16" s="58">
        <f t="shared" si="92"/>
        <v>9740.7901576953118</v>
      </c>
      <c r="H16" s="58">
        <f t="shared" si="92"/>
        <v>9675.3112681133007</v>
      </c>
      <c r="I16" s="58">
        <f t="shared" si="92"/>
        <v>9609.5595498246967</v>
      </c>
      <c r="J16" s="58">
        <f t="shared" si="92"/>
        <v>9543.5338660432244</v>
      </c>
      <c r="K16" s="58">
        <f t="shared" si="92"/>
        <v>9477.2330752459966</v>
      </c>
      <c r="L16" s="58">
        <f t="shared" si="92"/>
        <v>9410.6560311537796</v>
      </c>
      <c r="M16" s="58">
        <f t="shared" si="92"/>
        <v>9343.8015827111776</v>
      </c>
      <c r="N16" s="58">
        <f t="shared" si="92"/>
        <v>9276.6685740667326</v>
      </c>
      <c r="O16" s="58">
        <f t="shared" si="92"/>
        <v>9209.2558445529357</v>
      </c>
      <c r="P16" s="58">
        <f>O16</f>
        <v>9209.2558445529357</v>
      </c>
      <c r="Q16" s="58">
        <f t="shared" ref="Q16:AB16" si="93">IF(Q12-Q15&lt;0,0,Q12-Q15)</f>
        <v>9141.5622286661637</v>
      </c>
      <c r="R16" s="58">
        <f t="shared" si="93"/>
        <v>9073.5865560465299</v>
      </c>
      <c r="S16" s="58">
        <f t="shared" si="93"/>
        <v>9005.3276514576482</v>
      </c>
      <c r="T16" s="58">
        <f t="shared" si="93"/>
        <v>8936.7843347663129</v>
      </c>
      <c r="U16" s="58">
        <f t="shared" si="93"/>
        <v>8867.9554209220969</v>
      </c>
      <c r="V16" s="58">
        <f t="shared" si="93"/>
        <v>8798.8397199368628</v>
      </c>
      <c r="W16" s="58">
        <f t="shared" si="93"/>
        <v>8729.4360368641919</v>
      </c>
      <c r="X16" s="58">
        <f t="shared" si="93"/>
        <v>8659.7431717787167</v>
      </c>
      <c r="Y16" s="58">
        <f t="shared" si="93"/>
        <v>8589.7599197553864</v>
      </c>
      <c r="Z16" s="58">
        <f t="shared" si="93"/>
        <v>8519.4850708486247</v>
      </c>
      <c r="AA16" s="58">
        <f t="shared" si="93"/>
        <v>8448.917410071419</v>
      </c>
      <c r="AB16" s="58">
        <f t="shared" si="93"/>
        <v>8378.0557173743073</v>
      </c>
      <c r="AC16" s="58">
        <f>AB16</f>
        <v>8378.0557173743073</v>
      </c>
      <c r="AD16" s="58">
        <f t="shared" ref="AD16:AO16" si="94">IF(AD12-AD15&lt;0,0,AD12-AD15)</f>
        <v>8306.8987676242923</v>
      </c>
      <c r="AE16" s="58">
        <f t="shared" si="94"/>
        <v>8235.4453305836523</v>
      </c>
      <c r="AF16" s="58">
        <f t="shared" si="94"/>
        <v>8163.6941708886752</v>
      </c>
      <c r="AG16" s="58">
        <f t="shared" si="94"/>
        <v>8091.6440480283027</v>
      </c>
      <c r="AH16" s="58">
        <f t="shared" si="94"/>
        <v>8019.2937163226788</v>
      </c>
      <c r="AI16" s="58">
        <f t="shared" si="94"/>
        <v>7946.6419249016144</v>
      </c>
      <c r="AJ16" s="58">
        <f t="shared" si="94"/>
        <v>7873.6874176829624</v>
      </c>
      <c r="AK16" s="58">
        <f t="shared" si="94"/>
        <v>7800.4289333508996</v>
      </c>
      <c r="AL16" s="58">
        <f t="shared" si="94"/>
        <v>7726.8652053341193</v>
      </c>
      <c r="AM16" s="58">
        <f t="shared" si="94"/>
        <v>7652.9949617839366</v>
      </c>
      <c r="AN16" s="58">
        <f t="shared" si="94"/>
        <v>7578.8169255522944</v>
      </c>
      <c r="AO16" s="58">
        <f t="shared" si="94"/>
        <v>7504.3298141696869</v>
      </c>
      <c r="AP16" s="58">
        <f>AO16</f>
        <v>7504.3298141696869</v>
      </c>
      <c r="AQ16" s="58">
        <f t="shared" ref="AQ16:BB16" si="95">IF(AQ12-AQ15&lt;0,0,AQ12-AQ15)</f>
        <v>7429.5323398229857</v>
      </c>
      <c r="AR16" s="58">
        <f t="shared" si="95"/>
        <v>7354.423209333173</v>
      </c>
      <c r="AS16" s="58">
        <f t="shared" si="95"/>
        <v>7279.0011241329858</v>
      </c>
      <c r="AT16" s="58">
        <f t="shared" si="95"/>
        <v>7203.2647802444644</v>
      </c>
      <c r="AU16" s="58">
        <f t="shared" si="95"/>
        <v>7127.212868256408</v>
      </c>
      <c r="AV16" s="58">
        <f t="shared" si="95"/>
        <v>7050.8440733017342</v>
      </c>
      <c r="AW16" s="58">
        <f t="shared" si="95"/>
        <v>6974.1570750347491</v>
      </c>
      <c r="AX16" s="58">
        <f t="shared" si="95"/>
        <v>6897.1505476083184</v>
      </c>
      <c r="AY16" s="58">
        <f t="shared" si="95"/>
        <v>6819.8231596509449</v>
      </c>
      <c r="AZ16" s="58">
        <f t="shared" si="95"/>
        <v>6742.1735742437486</v>
      </c>
      <c r="BA16" s="58">
        <f t="shared" si="95"/>
        <v>6664.2004488973553</v>
      </c>
      <c r="BB16" s="58">
        <f t="shared" si="95"/>
        <v>6585.9024355286856</v>
      </c>
      <c r="BC16" s="58">
        <f>BB16</f>
        <v>6585.9024355286856</v>
      </c>
      <c r="BD16" s="58">
        <f t="shared" ref="BD16:BO16" si="96">IF(BD12-BD15&lt;0,0,BD12-BD15)</f>
        <v>6507.2781804376464</v>
      </c>
      <c r="BE16" s="58">
        <f t="shared" si="96"/>
        <v>6428.3263242837284</v>
      </c>
      <c r="BF16" s="58">
        <f t="shared" si="96"/>
        <v>6349.0455020625022</v>
      </c>
      <c r="BG16" s="58">
        <f t="shared" si="96"/>
        <v>6269.4343430820209</v>
      </c>
      <c r="BH16" s="58">
        <f t="shared" si="96"/>
        <v>6189.4914709391205</v>
      </c>
      <c r="BI16" s="58">
        <f t="shared" si="96"/>
        <v>6109.2155034956249</v>
      </c>
      <c r="BJ16" s="58">
        <f t="shared" si="96"/>
        <v>6028.6050528544483</v>
      </c>
      <c r="BK16" s="58">
        <f t="shared" si="96"/>
        <v>5947.6587253356001</v>
      </c>
      <c r="BL16" s="58">
        <f t="shared" si="96"/>
        <v>5866.3751214520898</v>
      </c>
      <c r="BM16" s="58">
        <f t="shared" si="96"/>
        <v>5784.7528358857317</v>
      </c>
      <c r="BN16" s="58">
        <f t="shared" si="96"/>
        <v>5702.7904574628474</v>
      </c>
      <c r="BO16" s="58">
        <f t="shared" si="96"/>
        <v>5620.4865691298673</v>
      </c>
      <c r="BP16" s="58">
        <f>BO16</f>
        <v>5620.4865691298673</v>
      </c>
    </row>
    <row r="18" spans="1:68" x14ac:dyDescent="0.2">
      <c r="A18" s="9" t="s">
        <v>56</v>
      </c>
      <c r="D18" s="1">
        <v>1</v>
      </c>
      <c r="E18" s="1">
        <v>2</v>
      </c>
      <c r="F18" s="1">
        <v>3</v>
      </c>
      <c r="G18" s="1">
        <v>4</v>
      </c>
      <c r="H18" s="1">
        <v>5</v>
      </c>
      <c r="I18" s="1">
        <v>6</v>
      </c>
      <c r="J18" s="1">
        <v>7</v>
      </c>
      <c r="K18" s="1">
        <v>8</v>
      </c>
      <c r="L18" s="1">
        <v>9</v>
      </c>
      <c r="M18" s="1">
        <v>10</v>
      </c>
      <c r="N18" s="1">
        <v>11</v>
      </c>
      <c r="O18" s="1">
        <v>12</v>
      </c>
      <c r="Q18" s="1">
        <v>13</v>
      </c>
      <c r="R18" s="1">
        <v>14</v>
      </c>
      <c r="S18" s="1">
        <v>15</v>
      </c>
      <c r="T18" s="1">
        <v>16</v>
      </c>
      <c r="U18" s="1">
        <v>17</v>
      </c>
      <c r="V18" s="1">
        <v>18</v>
      </c>
      <c r="W18" s="1">
        <v>19</v>
      </c>
      <c r="X18" s="1">
        <v>20</v>
      </c>
      <c r="Y18" s="1">
        <v>21</v>
      </c>
      <c r="Z18" s="1">
        <v>22</v>
      </c>
      <c r="AA18" s="1">
        <v>23</v>
      </c>
      <c r="AB18" s="1">
        <v>24</v>
      </c>
      <c r="AD18" s="1">
        <v>25</v>
      </c>
      <c r="AE18" s="1">
        <v>26</v>
      </c>
      <c r="AF18" s="1">
        <v>27</v>
      </c>
      <c r="AG18" s="1">
        <v>28</v>
      </c>
      <c r="AH18" s="1">
        <v>29</v>
      </c>
      <c r="AI18" s="1">
        <v>30</v>
      </c>
      <c r="AJ18" s="1">
        <v>31</v>
      </c>
      <c r="AK18" s="1">
        <v>32</v>
      </c>
      <c r="AL18" s="1">
        <v>33</v>
      </c>
      <c r="AM18" s="1">
        <v>34</v>
      </c>
      <c r="AN18" s="1">
        <v>35</v>
      </c>
      <c r="AO18" s="1">
        <v>36</v>
      </c>
      <c r="AQ18" s="1">
        <v>37</v>
      </c>
      <c r="AR18" s="1">
        <v>38</v>
      </c>
      <c r="AS18" s="1">
        <v>39</v>
      </c>
      <c r="AT18" s="1">
        <v>40</v>
      </c>
      <c r="AU18" s="1">
        <v>41</v>
      </c>
      <c r="AV18" s="1">
        <v>42</v>
      </c>
      <c r="AW18" s="1">
        <v>43</v>
      </c>
      <c r="AX18" s="1">
        <v>44</v>
      </c>
      <c r="AY18" s="1">
        <v>45</v>
      </c>
      <c r="AZ18" s="1">
        <v>46</v>
      </c>
      <c r="BA18" s="1">
        <v>47</v>
      </c>
      <c r="BB18" s="1">
        <v>48</v>
      </c>
      <c r="BD18" s="1">
        <v>49</v>
      </c>
      <c r="BE18" s="1">
        <v>50</v>
      </c>
      <c r="BF18" s="1">
        <v>51</v>
      </c>
      <c r="BG18" s="1">
        <v>52</v>
      </c>
      <c r="BH18" s="1">
        <v>53</v>
      </c>
      <c r="BI18" s="1">
        <v>54</v>
      </c>
      <c r="BJ18" s="1">
        <v>55</v>
      </c>
      <c r="BK18" s="1">
        <v>56</v>
      </c>
      <c r="BL18" s="1">
        <v>57</v>
      </c>
      <c r="BM18" s="1">
        <v>58</v>
      </c>
      <c r="BN18" s="1">
        <v>59</v>
      </c>
      <c r="BO18" s="1">
        <v>60</v>
      </c>
      <c r="BP18" s="1"/>
    </row>
    <row r="19" spans="1:68" ht="13.5" thickBot="1" x14ac:dyDescent="0.25">
      <c r="A19" s="59"/>
      <c r="B19" s="59" t="s">
        <v>57</v>
      </c>
      <c r="D19" s="49">
        <f>D11</f>
        <v>43466</v>
      </c>
      <c r="E19" s="49">
        <f>D19+31</f>
        <v>43497</v>
      </c>
      <c r="F19" s="49">
        <f>E19+31</f>
        <v>43528</v>
      </c>
      <c r="G19" s="49">
        <f>F19+31</f>
        <v>43559</v>
      </c>
      <c r="H19" s="49">
        <f t="shared" ref="H19:O19" si="97">G19+31</f>
        <v>43590</v>
      </c>
      <c r="I19" s="49">
        <f t="shared" si="97"/>
        <v>43621</v>
      </c>
      <c r="J19" s="49">
        <f t="shared" si="97"/>
        <v>43652</v>
      </c>
      <c r="K19" s="49">
        <f t="shared" si="97"/>
        <v>43683</v>
      </c>
      <c r="L19" s="49">
        <f t="shared" si="97"/>
        <v>43714</v>
      </c>
      <c r="M19" s="49">
        <f t="shared" si="97"/>
        <v>43745</v>
      </c>
      <c r="N19" s="49">
        <f t="shared" si="97"/>
        <v>43776</v>
      </c>
      <c r="O19" s="49">
        <f t="shared" si="97"/>
        <v>43807</v>
      </c>
      <c r="P19" s="1">
        <f>P11</f>
        <v>2019</v>
      </c>
      <c r="Q19" s="49">
        <f>D19</f>
        <v>43466</v>
      </c>
      <c r="R19" s="49">
        <f>Q19+31</f>
        <v>43497</v>
      </c>
      <c r="S19" s="49">
        <f>R19+31</f>
        <v>43528</v>
      </c>
      <c r="T19" s="49">
        <f>S19+31</f>
        <v>43559</v>
      </c>
      <c r="U19" s="49">
        <f t="shared" ref="U19:AB19" si="98">T19+31</f>
        <v>43590</v>
      </c>
      <c r="V19" s="49">
        <f t="shared" si="98"/>
        <v>43621</v>
      </c>
      <c r="W19" s="49">
        <f t="shared" si="98"/>
        <v>43652</v>
      </c>
      <c r="X19" s="49">
        <f t="shared" si="98"/>
        <v>43683</v>
      </c>
      <c r="Y19" s="49">
        <f t="shared" si="98"/>
        <v>43714</v>
      </c>
      <c r="Z19" s="49">
        <f t="shared" si="98"/>
        <v>43745</v>
      </c>
      <c r="AA19" s="49">
        <f t="shared" si="98"/>
        <v>43776</v>
      </c>
      <c r="AB19" s="49">
        <f t="shared" si="98"/>
        <v>43807</v>
      </c>
      <c r="AC19" s="1">
        <f>AC11</f>
        <v>2020</v>
      </c>
      <c r="AD19" s="49">
        <f>Q19</f>
        <v>43466</v>
      </c>
      <c r="AE19" s="49">
        <f>AD19+31</f>
        <v>43497</v>
      </c>
      <c r="AF19" s="49">
        <f>AE19+31</f>
        <v>43528</v>
      </c>
      <c r="AG19" s="49">
        <f>AF19+31</f>
        <v>43559</v>
      </c>
      <c r="AH19" s="49">
        <f t="shared" ref="AH19:AO19" si="99">AG19+31</f>
        <v>43590</v>
      </c>
      <c r="AI19" s="49">
        <f t="shared" si="99"/>
        <v>43621</v>
      </c>
      <c r="AJ19" s="49">
        <f t="shared" si="99"/>
        <v>43652</v>
      </c>
      <c r="AK19" s="49">
        <f t="shared" si="99"/>
        <v>43683</v>
      </c>
      <c r="AL19" s="49">
        <f t="shared" si="99"/>
        <v>43714</v>
      </c>
      <c r="AM19" s="49">
        <f t="shared" si="99"/>
        <v>43745</v>
      </c>
      <c r="AN19" s="49">
        <f t="shared" si="99"/>
        <v>43776</v>
      </c>
      <c r="AO19" s="49">
        <f t="shared" si="99"/>
        <v>43807</v>
      </c>
      <c r="AP19" s="1">
        <f>AP11</f>
        <v>2021</v>
      </c>
      <c r="AQ19" s="49">
        <f>AD19</f>
        <v>43466</v>
      </c>
      <c r="AR19" s="49">
        <f>AQ19+31</f>
        <v>43497</v>
      </c>
      <c r="AS19" s="49">
        <f>AR19+31</f>
        <v>43528</v>
      </c>
      <c r="AT19" s="49">
        <f>AS19+31</f>
        <v>43559</v>
      </c>
      <c r="AU19" s="49">
        <f t="shared" ref="AU19:BB19" si="100">AT19+31</f>
        <v>43590</v>
      </c>
      <c r="AV19" s="49">
        <f t="shared" si="100"/>
        <v>43621</v>
      </c>
      <c r="AW19" s="49">
        <f t="shared" si="100"/>
        <v>43652</v>
      </c>
      <c r="AX19" s="49">
        <f t="shared" si="100"/>
        <v>43683</v>
      </c>
      <c r="AY19" s="49">
        <f t="shared" si="100"/>
        <v>43714</v>
      </c>
      <c r="AZ19" s="49">
        <f t="shared" si="100"/>
        <v>43745</v>
      </c>
      <c r="BA19" s="49">
        <f t="shared" si="100"/>
        <v>43776</v>
      </c>
      <c r="BB19" s="49">
        <f t="shared" si="100"/>
        <v>43807</v>
      </c>
      <c r="BC19" s="1">
        <f>BC11</f>
        <v>2022</v>
      </c>
      <c r="BD19" s="49">
        <f>AQ19</f>
        <v>43466</v>
      </c>
      <c r="BE19" s="49">
        <f>BD19+31</f>
        <v>43497</v>
      </c>
      <c r="BF19" s="49">
        <f>BE19+31</f>
        <v>43528</v>
      </c>
      <c r="BG19" s="49">
        <f>BF19+31</f>
        <v>43559</v>
      </c>
      <c r="BH19" s="49">
        <f t="shared" ref="BH19:BO19" si="101">BG19+31</f>
        <v>43590</v>
      </c>
      <c r="BI19" s="49">
        <f t="shared" si="101"/>
        <v>43621</v>
      </c>
      <c r="BJ19" s="49">
        <f t="shared" si="101"/>
        <v>43652</v>
      </c>
      <c r="BK19" s="49">
        <f t="shared" si="101"/>
        <v>43683</v>
      </c>
      <c r="BL19" s="49">
        <f t="shared" si="101"/>
        <v>43714</v>
      </c>
      <c r="BM19" s="49">
        <f t="shared" si="101"/>
        <v>43745</v>
      </c>
      <c r="BN19" s="49">
        <f t="shared" si="101"/>
        <v>43776</v>
      </c>
      <c r="BO19" s="49">
        <f t="shared" si="101"/>
        <v>43807</v>
      </c>
      <c r="BP19" s="1">
        <f>BP11</f>
        <v>2023</v>
      </c>
    </row>
    <row r="20" spans="1:68" x14ac:dyDescent="0.2">
      <c r="A20" s="50">
        <f>'7. Funding Plan'!C18</f>
        <v>0</v>
      </c>
      <c r="B20" s="51" t="s">
        <v>59</v>
      </c>
      <c r="C20" s="9" t="s">
        <v>52</v>
      </c>
      <c r="D20" s="56">
        <f>A20</f>
        <v>0</v>
      </c>
      <c r="E20" s="56">
        <f>D25</f>
        <v>0</v>
      </c>
      <c r="F20" s="56">
        <f t="shared" ref="F20:O20" si="102">E25</f>
        <v>0</v>
      </c>
      <c r="G20" s="56">
        <f t="shared" si="102"/>
        <v>0</v>
      </c>
      <c r="H20" s="56">
        <f t="shared" si="102"/>
        <v>0</v>
      </c>
      <c r="I20" s="56">
        <f t="shared" si="102"/>
        <v>0</v>
      </c>
      <c r="J20" s="56">
        <f t="shared" si="102"/>
        <v>0</v>
      </c>
      <c r="K20" s="56">
        <f t="shared" si="102"/>
        <v>0</v>
      </c>
      <c r="L20" s="56">
        <f t="shared" si="102"/>
        <v>0</v>
      </c>
      <c r="M20" s="56">
        <f t="shared" si="102"/>
        <v>0</v>
      </c>
      <c r="N20" s="56">
        <f t="shared" si="102"/>
        <v>0</v>
      </c>
      <c r="O20" s="56">
        <f t="shared" si="102"/>
        <v>0</v>
      </c>
      <c r="P20" s="56">
        <f>D20</f>
        <v>0</v>
      </c>
      <c r="Q20" s="56">
        <f>O25</f>
        <v>0</v>
      </c>
      <c r="R20" s="56">
        <f t="shared" ref="R20:AB20" si="103">Q25</f>
        <v>0</v>
      </c>
      <c r="S20" s="56">
        <f t="shared" si="103"/>
        <v>0</v>
      </c>
      <c r="T20" s="56">
        <f t="shared" si="103"/>
        <v>0</v>
      </c>
      <c r="U20" s="56">
        <f t="shared" si="103"/>
        <v>0</v>
      </c>
      <c r="V20" s="56">
        <f t="shared" si="103"/>
        <v>0</v>
      </c>
      <c r="W20" s="56">
        <f t="shared" si="103"/>
        <v>0</v>
      </c>
      <c r="X20" s="56">
        <f t="shared" si="103"/>
        <v>0</v>
      </c>
      <c r="Y20" s="56">
        <f t="shared" si="103"/>
        <v>0</v>
      </c>
      <c r="Z20" s="56">
        <f t="shared" si="103"/>
        <v>0</v>
      </c>
      <c r="AA20" s="56">
        <f t="shared" si="103"/>
        <v>0</v>
      </c>
      <c r="AB20" s="56">
        <f t="shared" si="103"/>
        <v>0</v>
      </c>
      <c r="AC20" s="56">
        <f>Q20</f>
        <v>0</v>
      </c>
      <c r="AD20" s="56">
        <f>AB25</f>
        <v>0</v>
      </c>
      <c r="AE20" s="56">
        <f t="shared" ref="AE20" si="104">AD25</f>
        <v>0</v>
      </c>
      <c r="AF20" s="56">
        <f t="shared" ref="AF20" si="105">AE25</f>
        <v>0</v>
      </c>
      <c r="AG20" s="56">
        <f t="shared" ref="AG20" si="106">AF25</f>
        <v>0</v>
      </c>
      <c r="AH20" s="56">
        <f t="shared" ref="AH20" si="107">AG25</f>
        <v>0</v>
      </c>
      <c r="AI20" s="56">
        <f t="shared" ref="AI20" si="108">AH25</f>
        <v>0</v>
      </c>
      <c r="AJ20" s="56">
        <f t="shared" ref="AJ20" si="109">AI25</f>
        <v>0</v>
      </c>
      <c r="AK20" s="56">
        <f t="shared" ref="AK20" si="110">AJ25</f>
        <v>0</v>
      </c>
      <c r="AL20" s="56">
        <f t="shared" ref="AL20" si="111">AK25</f>
        <v>0</v>
      </c>
      <c r="AM20" s="56">
        <f t="shared" ref="AM20" si="112">AL25</f>
        <v>0</v>
      </c>
      <c r="AN20" s="56">
        <f t="shared" ref="AN20" si="113">AM25</f>
        <v>0</v>
      </c>
      <c r="AO20" s="56">
        <f t="shared" ref="AO20" si="114">AN25</f>
        <v>0</v>
      </c>
      <c r="AP20" s="56">
        <f>AO25</f>
        <v>0</v>
      </c>
      <c r="AQ20" s="56">
        <f>AO25</f>
        <v>0</v>
      </c>
      <c r="AR20" s="56">
        <f t="shared" ref="AR20" si="115">AQ25</f>
        <v>0</v>
      </c>
      <c r="AS20" s="56">
        <f t="shared" ref="AS20" si="116">AR25</f>
        <v>0</v>
      </c>
      <c r="AT20" s="56">
        <f t="shared" ref="AT20" si="117">AS25</f>
        <v>0</v>
      </c>
      <c r="AU20" s="56">
        <f t="shared" ref="AU20" si="118">AT25</f>
        <v>0</v>
      </c>
      <c r="AV20" s="56">
        <f t="shared" ref="AV20" si="119">AU25</f>
        <v>0</v>
      </c>
      <c r="AW20" s="56">
        <f t="shared" ref="AW20" si="120">AV25</f>
        <v>0</v>
      </c>
      <c r="AX20" s="56">
        <f t="shared" ref="AX20" si="121">AW25</f>
        <v>0</v>
      </c>
      <c r="AY20" s="56">
        <f t="shared" ref="AY20" si="122">AX25</f>
        <v>0</v>
      </c>
      <c r="AZ20" s="56">
        <f t="shared" ref="AZ20" si="123">AY25</f>
        <v>0</v>
      </c>
      <c r="BA20" s="56">
        <f t="shared" ref="BA20" si="124">AZ25</f>
        <v>0</v>
      </c>
      <c r="BB20" s="56">
        <f t="shared" ref="BB20" si="125">BA25</f>
        <v>0</v>
      </c>
      <c r="BC20" s="56">
        <f>BB23</f>
        <v>0</v>
      </c>
      <c r="BD20" s="56">
        <f>BB25</f>
        <v>0</v>
      </c>
      <c r="BE20" s="56">
        <f t="shared" ref="BE20" si="126">BD25</f>
        <v>0</v>
      </c>
      <c r="BF20" s="56">
        <f t="shared" ref="BF20" si="127">BE25</f>
        <v>0</v>
      </c>
      <c r="BG20" s="56">
        <f t="shared" ref="BG20" si="128">BF25</f>
        <v>0</v>
      </c>
      <c r="BH20" s="56">
        <f t="shared" ref="BH20" si="129">BG25</f>
        <v>0</v>
      </c>
      <c r="BI20" s="56">
        <f t="shared" ref="BI20" si="130">BH25</f>
        <v>0</v>
      </c>
      <c r="BJ20" s="56">
        <f t="shared" ref="BJ20" si="131">BI25</f>
        <v>0</v>
      </c>
      <c r="BK20" s="56">
        <f t="shared" ref="BK20" si="132">BJ25</f>
        <v>0</v>
      </c>
      <c r="BL20" s="56">
        <f t="shared" ref="BL20" si="133">BK25</f>
        <v>0</v>
      </c>
      <c r="BM20" s="56">
        <f t="shared" ref="BM20" si="134">BL25</f>
        <v>0</v>
      </c>
      <c r="BN20" s="56">
        <f t="shared" ref="BN20" si="135">BM25</f>
        <v>0</v>
      </c>
      <c r="BO20" s="56">
        <f t="shared" ref="BO20" si="136">BN25</f>
        <v>0</v>
      </c>
      <c r="BP20" s="56">
        <f>BO23</f>
        <v>0</v>
      </c>
    </row>
    <row r="21" spans="1:68" ht="13.5" thickBot="1" x14ac:dyDescent="0.25">
      <c r="A21" s="60">
        <f>'7. Funding Plan'!D19</f>
        <v>0.15</v>
      </c>
      <c r="B21" s="55" t="s">
        <v>3</v>
      </c>
      <c r="C21" s="9" t="s">
        <v>3</v>
      </c>
      <c r="D21" s="18">
        <f>IF(D20&lt;0,0,$A21/12*D20)</f>
        <v>0</v>
      </c>
      <c r="E21" s="18">
        <f>IF(E20&lt;0,0,$A21/12*E20)</f>
        <v>0</v>
      </c>
      <c r="F21" s="18">
        <f t="shared" ref="F21:O21" si="137">IF(F20&lt;0,0,$A21/12*F20)</f>
        <v>0</v>
      </c>
      <c r="G21" s="18">
        <f t="shared" si="137"/>
        <v>0</v>
      </c>
      <c r="H21" s="18">
        <f t="shared" si="137"/>
        <v>0</v>
      </c>
      <c r="I21" s="18">
        <f t="shared" si="137"/>
        <v>0</v>
      </c>
      <c r="J21" s="18">
        <f t="shared" si="137"/>
        <v>0</v>
      </c>
      <c r="K21" s="18">
        <f t="shared" si="137"/>
        <v>0</v>
      </c>
      <c r="L21" s="18">
        <f t="shared" si="137"/>
        <v>0</v>
      </c>
      <c r="M21" s="18">
        <f t="shared" si="137"/>
        <v>0</v>
      </c>
      <c r="N21" s="18">
        <f t="shared" si="137"/>
        <v>0</v>
      </c>
      <c r="O21" s="18">
        <f t="shared" si="137"/>
        <v>0</v>
      </c>
      <c r="P21" s="58">
        <f>SUM(D21:O21)</f>
        <v>0</v>
      </c>
      <c r="Q21" s="18">
        <f t="shared" ref="Q21:AB21" si="138">IF(Q20&lt;0,0,$A21/12*Q20)</f>
        <v>0</v>
      </c>
      <c r="R21" s="18">
        <f t="shared" si="138"/>
        <v>0</v>
      </c>
      <c r="S21" s="18">
        <f t="shared" si="138"/>
        <v>0</v>
      </c>
      <c r="T21" s="18">
        <f t="shared" si="138"/>
        <v>0</v>
      </c>
      <c r="U21" s="18">
        <f t="shared" si="138"/>
        <v>0</v>
      </c>
      <c r="V21" s="18">
        <f t="shared" si="138"/>
        <v>0</v>
      </c>
      <c r="W21" s="18">
        <f t="shared" si="138"/>
        <v>0</v>
      </c>
      <c r="X21" s="18">
        <f t="shared" si="138"/>
        <v>0</v>
      </c>
      <c r="Y21" s="18">
        <f t="shared" si="138"/>
        <v>0</v>
      </c>
      <c r="Z21" s="18">
        <f t="shared" si="138"/>
        <v>0</v>
      </c>
      <c r="AA21" s="18">
        <f t="shared" si="138"/>
        <v>0</v>
      </c>
      <c r="AB21" s="18">
        <f t="shared" si="138"/>
        <v>0</v>
      </c>
      <c r="AC21" s="58">
        <f>SUM(Q21:AB21)</f>
        <v>0</v>
      </c>
      <c r="AD21" s="18">
        <f t="shared" ref="AD21:AO21" si="139">IF(AD20&lt;0,0,$A21/12*AD20)</f>
        <v>0</v>
      </c>
      <c r="AE21" s="18">
        <f t="shared" si="139"/>
        <v>0</v>
      </c>
      <c r="AF21" s="18">
        <f t="shared" si="139"/>
        <v>0</v>
      </c>
      <c r="AG21" s="18">
        <f t="shared" si="139"/>
        <v>0</v>
      </c>
      <c r="AH21" s="18">
        <f t="shared" si="139"/>
        <v>0</v>
      </c>
      <c r="AI21" s="18">
        <f t="shared" si="139"/>
        <v>0</v>
      </c>
      <c r="AJ21" s="18">
        <f t="shared" si="139"/>
        <v>0</v>
      </c>
      <c r="AK21" s="18">
        <f t="shared" si="139"/>
        <v>0</v>
      </c>
      <c r="AL21" s="18">
        <f t="shared" si="139"/>
        <v>0</v>
      </c>
      <c r="AM21" s="18">
        <f t="shared" si="139"/>
        <v>0</v>
      </c>
      <c r="AN21" s="18">
        <f t="shared" si="139"/>
        <v>0</v>
      </c>
      <c r="AO21" s="18">
        <f t="shared" si="139"/>
        <v>0</v>
      </c>
      <c r="AP21" s="18">
        <f t="shared" ref="AP21:BB21" si="140">IF(AP20&lt;0,0,$A21/12*AP20)</f>
        <v>0</v>
      </c>
      <c r="AQ21" s="18">
        <f t="shared" si="140"/>
        <v>0</v>
      </c>
      <c r="AR21" s="18">
        <f t="shared" si="140"/>
        <v>0</v>
      </c>
      <c r="AS21" s="18">
        <f t="shared" si="140"/>
        <v>0</v>
      </c>
      <c r="AT21" s="18">
        <f t="shared" si="140"/>
        <v>0</v>
      </c>
      <c r="AU21" s="18">
        <f t="shared" si="140"/>
        <v>0</v>
      </c>
      <c r="AV21" s="18">
        <f t="shared" si="140"/>
        <v>0</v>
      </c>
      <c r="AW21" s="18">
        <f t="shared" si="140"/>
        <v>0</v>
      </c>
      <c r="AX21" s="18">
        <f t="shared" si="140"/>
        <v>0</v>
      </c>
      <c r="AY21" s="18">
        <f t="shared" si="140"/>
        <v>0</v>
      </c>
      <c r="AZ21" s="18">
        <f t="shared" si="140"/>
        <v>0</v>
      </c>
      <c r="BA21" s="18">
        <f t="shared" si="140"/>
        <v>0</v>
      </c>
      <c r="BB21" s="18">
        <f t="shared" si="140"/>
        <v>0</v>
      </c>
      <c r="BC21" s="18">
        <f t="shared" ref="BC21:BO21" si="141">IF(BC20&lt;0,0,$A21/12*BC20)</f>
        <v>0</v>
      </c>
      <c r="BD21" s="18">
        <f t="shared" si="141"/>
        <v>0</v>
      </c>
      <c r="BE21" s="18">
        <f t="shared" si="141"/>
        <v>0</v>
      </c>
      <c r="BF21" s="18">
        <f t="shared" si="141"/>
        <v>0</v>
      </c>
      <c r="BG21" s="18">
        <f t="shared" si="141"/>
        <v>0</v>
      </c>
      <c r="BH21" s="18">
        <f t="shared" si="141"/>
        <v>0</v>
      </c>
      <c r="BI21" s="18">
        <f t="shared" si="141"/>
        <v>0</v>
      </c>
      <c r="BJ21" s="18">
        <f t="shared" si="141"/>
        <v>0</v>
      </c>
      <c r="BK21" s="18">
        <f t="shared" si="141"/>
        <v>0</v>
      </c>
      <c r="BL21" s="18">
        <f t="shared" si="141"/>
        <v>0</v>
      </c>
      <c r="BM21" s="18">
        <f t="shared" si="141"/>
        <v>0</v>
      </c>
      <c r="BN21" s="18">
        <f t="shared" si="141"/>
        <v>0</v>
      </c>
      <c r="BO21" s="18">
        <f t="shared" si="141"/>
        <v>0</v>
      </c>
      <c r="BP21" s="18">
        <f t="shared" ref="BP21" si="142">IF(BP20&lt;0,0,$A21/12*BP20)</f>
        <v>0</v>
      </c>
    </row>
    <row r="22" spans="1:68" x14ac:dyDescent="0.2">
      <c r="C22" s="9" t="s">
        <v>53</v>
      </c>
      <c r="D22">
        <f>'8. P&amp;L and Cashflow'!D75</f>
        <v>2500</v>
      </c>
      <c r="E22">
        <f>'8. P&amp;L and Cashflow'!E75</f>
        <v>0</v>
      </c>
      <c r="F22">
        <f>'8. P&amp;L and Cashflow'!F75</f>
        <v>0</v>
      </c>
      <c r="G22">
        <f>'8. P&amp;L and Cashflow'!G75</f>
        <v>0</v>
      </c>
      <c r="H22">
        <f>'8. P&amp;L and Cashflow'!H75</f>
        <v>0</v>
      </c>
      <c r="I22">
        <f>'8. P&amp;L and Cashflow'!I75</f>
        <v>0</v>
      </c>
      <c r="J22">
        <f>'8. P&amp;L and Cashflow'!J75</f>
        <v>0</v>
      </c>
      <c r="K22">
        <f>'8. P&amp;L and Cashflow'!K75</f>
        <v>0</v>
      </c>
      <c r="L22">
        <f>'8. P&amp;L and Cashflow'!L75</f>
        <v>0</v>
      </c>
      <c r="M22">
        <f>'8. P&amp;L and Cashflow'!M75</f>
        <v>0</v>
      </c>
      <c r="N22">
        <f>'8. P&amp;L and Cashflow'!N75</f>
        <v>0</v>
      </c>
      <c r="O22">
        <f>'8. P&amp;L and Cashflow'!O75</f>
        <v>0</v>
      </c>
      <c r="P22" s="58">
        <f>SUM(D22:O22)</f>
        <v>2500</v>
      </c>
      <c r="Q22">
        <f>'8. P&amp;L and Cashflow'!Q75</f>
        <v>0</v>
      </c>
      <c r="R22">
        <f>'8. P&amp;L and Cashflow'!R75</f>
        <v>0</v>
      </c>
      <c r="S22">
        <f>'8. P&amp;L and Cashflow'!S75</f>
        <v>0</v>
      </c>
      <c r="T22">
        <f>'8. P&amp;L and Cashflow'!T75</f>
        <v>0</v>
      </c>
      <c r="U22">
        <f>'8. P&amp;L and Cashflow'!U75</f>
        <v>0</v>
      </c>
      <c r="V22">
        <f>'8. P&amp;L and Cashflow'!V75</f>
        <v>0</v>
      </c>
      <c r="W22">
        <f>'8. P&amp;L and Cashflow'!W75</f>
        <v>0</v>
      </c>
      <c r="X22">
        <f>'8. P&amp;L and Cashflow'!X75</f>
        <v>0</v>
      </c>
      <c r="Y22">
        <f>'8. P&amp;L and Cashflow'!Y75</f>
        <v>0</v>
      </c>
      <c r="Z22">
        <f>'8. P&amp;L and Cashflow'!Z75</f>
        <v>0</v>
      </c>
      <c r="AA22">
        <f>'8. P&amp;L and Cashflow'!AA75</f>
        <v>0</v>
      </c>
      <c r="AB22">
        <f>'8. P&amp;L and Cashflow'!AB75</f>
        <v>0</v>
      </c>
      <c r="AC22" s="58">
        <f>SUM(Q22:AB22)</f>
        <v>0</v>
      </c>
      <c r="AD22">
        <f>'8. P&amp;L and Cashflow'!AD75</f>
        <v>0</v>
      </c>
      <c r="AE22">
        <f>'8. P&amp;L and Cashflow'!AE75</f>
        <v>0</v>
      </c>
      <c r="AF22">
        <f>'8. P&amp;L and Cashflow'!AF75</f>
        <v>0</v>
      </c>
      <c r="AG22">
        <f>'8. P&amp;L and Cashflow'!AG75</f>
        <v>0</v>
      </c>
      <c r="AH22">
        <f>'8. P&amp;L and Cashflow'!AH75</f>
        <v>0</v>
      </c>
      <c r="AI22">
        <f>'8. P&amp;L and Cashflow'!AI75</f>
        <v>0</v>
      </c>
      <c r="AJ22">
        <f>'8. P&amp;L and Cashflow'!AJ75</f>
        <v>0</v>
      </c>
      <c r="AK22">
        <f>'8. P&amp;L and Cashflow'!AK75</f>
        <v>0</v>
      </c>
      <c r="AL22">
        <f>'8. P&amp;L and Cashflow'!AL75</f>
        <v>0</v>
      </c>
      <c r="AM22">
        <f>'8. P&amp;L and Cashflow'!AM75</f>
        <v>0</v>
      </c>
      <c r="AN22">
        <f>'8. P&amp;L and Cashflow'!AN75</f>
        <v>0</v>
      </c>
      <c r="AO22">
        <f>'8. P&amp;L and Cashflow'!AO75</f>
        <v>0</v>
      </c>
      <c r="AP22">
        <f>'8. P&amp;L and Cashflow'!AD75</f>
        <v>0</v>
      </c>
      <c r="AQ22">
        <f>'8. P&amp;L and Cashflow'!AQ75</f>
        <v>0</v>
      </c>
      <c r="AR22">
        <f>'8. P&amp;L and Cashflow'!AR75</f>
        <v>0</v>
      </c>
      <c r="AS22">
        <f>'8. P&amp;L and Cashflow'!AS75</f>
        <v>0</v>
      </c>
      <c r="AT22">
        <f>'8. P&amp;L and Cashflow'!AT75</f>
        <v>0</v>
      </c>
      <c r="AU22">
        <f>'8. P&amp;L and Cashflow'!AU75</f>
        <v>0</v>
      </c>
      <c r="AV22">
        <f>'8. P&amp;L and Cashflow'!AV75</f>
        <v>0</v>
      </c>
      <c r="AW22">
        <f>'8. P&amp;L and Cashflow'!AW75</f>
        <v>0</v>
      </c>
      <c r="AX22">
        <f>'8. P&amp;L and Cashflow'!AX75</f>
        <v>0</v>
      </c>
      <c r="AY22">
        <f>'8. P&amp;L and Cashflow'!AY75</f>
        <v>0</v>
      </c>
      <c r="AZ22">
        <f>'8. P&amp;L and Cashflow'!AZ75</f>
        <v>0</v>
      </c>
      <c r="BA22">
        <f>'8. P&amp;L and Cashflow'!BA75</f>
        <v>0</v>
      </c>
      <c r="BB22">
        <f>'8. P&amp;L and Cashflow'!BB75</f>
        <v>0</v>
      </c>
      <c r="BC22">
        <f>'8. P&amp;L and Cashflow'!AE75</f>
        <v>0</v>
      </c>
      <c r="BD22">
        <f>'8. P&amp;L and Cashflow'!BD75</f>
        <v>0</v>
      </c>
      <c r="BE22">
        <f>'8. P&amp;L and Cashflow'!BE75</f>
        <v>0</v>
      </c>
      <c r="BF22">
        <f>'8. P&amp;L and Cashflow'!BF75</f>
        <v>0</v>
      </c>
      <c r="BG22">
        <f>'8. P&amp;L and Cashflow'!BG75</f>
        <v>0</v>
      </c>
      <c r="BH22">
        <f>'8. P&amp;L and Cashflow'!BH75</f>
        <v>0</v>
      </c>
      <c r="BI22">
        <f>'8. P&amp;L and Cashflow'!BI75</f>
        <v>0</v>
      </c>
      <c r="BJ22">
        <f>'8. P&amp;L and Cashflow'!BJ75</f>
        <v>0</v>
      </c>
      <c r="BK22">
        <f>'8. P&amp;L and Cashflow'!BK75</f>
        <v>0</v>
      </c>
      <c r="BL22">
        <f>'8. P&amp;L and Cashflow'!BL75</f>
        <v>0</v>
      </c>
      <c r="BM22">
        <f>'8. P&amp;L and Cashflow'!BM75</f>
        <v>0</v>
      </c>
      <c r="BN22">
        <f>'8. P&amp;L and Cashflow'!BN75</f>
        <v>0</v>
      </c>
      <c r="BO22">
        <f>'8. P&amp;L and Cashflow'!BO75</f>
        <v>0</v>
      </c>
      <c r="BP22">
        <f>'8. P&amp;L and Cashflow'!AF75</f>
        <v>0</v>
      </c>
    </row>
    <row r="23" spans="1:68" x14ac:dyDescent="0.2">
      <c r="C23" s="9" t="s">
        <v>54</v>
      </c>
      <c r="D23" s="56">
        <f>IF(D22-D21&lt;0,0,D22-D21)</f>
        <v>2500</v>
      </c>
      <c r="E23" s="56">
        <f t="shared" ref="E23:BP23" si="143">IF(E22-E21&lt;0,0,E22-E21)</f>
        <v>0</v>
      </c>
      <c r="F23" s="56">
        <f t="shared" si="143"/>
        <v>0</v>
      </c>
      <c r="G23" s="56">
        <f t="shared" si="143"/>
        <v>0</v>
      </c>
      <c r="H23" s="56">
        <f t="shared" si="143"/>
        <v>0</v>
      </c>
      <c r="I23" s="56">
        <f t="shared" si="143"/>
        <v>0</v>
      </c>
      <c r="J23" s="56">
        <f t="shared" si="143"/>
        <v>0</v>
      </c>
      <c r="K23" s="56">
        <f t="shared" si="143"/>
        <v>0</v>
      </c>
      <c r="L23" s="56">
        <f t="shared" si="143"/>
        <v>0</v>
      </c>
      <c r="M23" s="56">
        <f t="shared" si="143"/>
        <v>0</v>
      </c>
      <c r="N23" s="56">
        <f t="shared" si="143"/>
        <v>0</v>
      </c>
      <c r="O23" s="56">
        <f t="shared" si="143"/>
        <v>0</v>
      </c>
      <c r="P23" s="56">
        <f t="shared" si="143"/>
        <v>2500</v>
      </c>
      <c r="Q23" s="56">
        <f t="shared" si="143"/>
        <v>0</v>
      </c>
      <c r="R23" s="56">
        <f t="shared" si="143"/>
        <v>0</v>
      </c>
      <c r="S23" s="56">
        <f t="shared" si="143"/>
        <v>0</v>
      </c>
      <c r="T23" s="56">
        <f t="shared" si="143"/>
        <v>0</v>
      </c>
      <c r="U23" s="56">
        <f t="shared" si="143"/>
        <v>0</v>
      </c>
      <c r="V23" s="56">
        <f t="shared" si="143"/>
        <v>0</v>
      </c>
      <c r="W23" s="56">
        <f t="shared" si="143"/>
        <v>0</v>
      </c>
      <c r="X23" s="56">
        <f t="shared" si="143"/>
        <v>0</v>
      </c>
      <c r="Y23" s="56">
        <f t="shared" si="143"/>
        <v>0</v>
      </c>
      <c r="Z23" s="56">
        <f t="shared" si="143"/>
        <v>0</v>
      </c>
      <c r="AA23" s="56">
        <f t="shared" si="143"/>
        <v>0</v>
      </c>
      <c r="AB23" s="56">
        <f t="shared" si="143"/>
        <v>0</v>
      </c>
      <c r="AC23" s="56">
        <f t="shared" si="143"/>
        <v>0</v>
      </c>
      <c r="AD23" s="56">
        <f t="shared" ref="AD23:AO23" si="144">IF(AD22-AD21&lt;0,0,AD22-AD21)</f>
        <v>0</v>
      </c>
      <c r="AE23" s="56">
        <f t="shared" si="144"/>
        <v>0</v>
      </c>
      <c r="AF23" s="56">
        <f t="shared" si="144"/>
        <v>0</v>
      </c>
      <c r="AG23" s="56">
        <f t="shared" si="144"/>
        <v>0</v>
      </c>
      <c r="AH23" s="56">
        <f t="shared" si="144"/>
        <v>0</v>
      </c>
      <c r="AI23" s="56">
        <f t="shared" si="144"/>
        <v>0</v>
      </c>
      <c r="AJ23" s="56">
        <f t="shared" si="144"/>
        <v>0</v>
      </c>
      <c r="AK23" s="56">
        <f t="shared" si="144"/>
        <v>0</v>
      </c>
      <c r="AL23" s="56">
        <f t="shared" si="144"/>
        <v>0</v>
      </c>
      <c r="AM23" s="56">
        <f t="shared" si="144"/>
        <v>0</v>
      </c>
      <c r="AN23" s="56">
        <f t="shared" si="144"/>
        <v>0</v>
      </c>
      <c r="AO23" s="56">
        <f t="shared" si="144"/>
        <v>0</v>
      </c>
      <c r="AP23" s="56">
        <f t="shared" si="143"/>
        <v>0</v>
      </c>
      <c r="AQ23" s="56">
        <f t="shared" si="143"/>
        <v>0</v>
      </c>
      <c r="AR23" s="56">
        <f t="shared" si="143"/>
        <v>0</v>
      </c>
      <c r="AS23" s="56">
        <f t="shared" si="143"/>
        <v>0</v>
      </c>
      <c r="AT23" s="56">
        <f t="shared" si="143"/>
        <v>0</v>
      </c>
      <c r="AU23" s="56">
        <f t="shared" si="143"/>
        <v>0</v>
      </c>
      <c r="AV23" s="56">
        <f t="shared" si="143"/>
        <v>0</v>
      </c>
      <c r="AW23" s="56">
        <f t="shared" si="143"/>
        <v>0</v>
      </c>
      <c r="AX23" s="56">
        <f t="shared" si="143"/>
        <v>0</v>
      </c>
      <c r="AY23" s="56">
        <f t="shared" si="143"/>
        <v>0</v>
      </c>
      <c r="AZ23" s="56">
        <f t="shared" si="143"/>
        <v>0</v>
      </c>
      <c r="BA23" s="56">
        <f t="shared" si="143"/>
        <v>0</v>
      </c>
      <c r="BB23" s="56">
        <f t="shared" si="143"/>
        <v>0</v>
      </c>
      <c r="BC23" s="56">
        <f t="shared" si="143"/>
        <v>0</v>
      </c>
      <c r="BD23" s="56">
        <f t="shared" ref="BD23:BO23" si="145">IF(BD22-BD21&lt;0,0,BD22-BD21)</f>
        <v>0</v>
      </c>
      <c r="BE23" s="56">
        <f t="shared" si="145"/>
        <v>0</v>
      </c>
      <c r="BF23" s="56">
        <f t="shared" si="145"/>
        <v>0</v>
      </c>
      <c r="BG23" s="56">
        <f t="shared" si="145"/>
        <v>0</v>
      </c>
      <c r="BH23" s="56">
        <f t="shared" si="145"/>
        <v>0</v>
      </c>
      <c r="BI23" s="56">
        <f t="shared" si="145"/>
        <v>0</v>
      </c>
      <c r="BJ23" s="56">
        <f t="shared" si="145"/>
        <v>0</v>
      </c>
      <c r="BK23" s="56">
        <f t="shared" si="145"/>
        <v>0</v>
      </c>
      <c r="BL23" s="56">
        <f t="shared" si="145"/>
        <v>0</v>
      </c>
      <c r="BM23" s="56">
        <f t="shared" si="145"/>
        <v>0</v>
      </c>
      <c r="BN23" s="56">
        <f t="shared" si="145"/>
        <v>0</v>
      </c>
      <c r="BO23" s="56">
        <f t="shared" si="145"/>
        <v>0</v>
      </c>
      <c r="BP23" s="56">
        <f t="shared" si="143"/>
        <v>0</v>
      </c>
    </row>
    <row r="24" spans="1:68" x14ac:dyDescent="0.2">
      <c r="C24" s="9" t="s">
        <v>58</v>
      </c>
      <c r="D24">
        <f>'8. P&amp;L and Cashflow'!D70</f>
        <v>2500</v>
      </c>
      <c r="E24">
        <f>'8. P&amp;L and Cashflow'!E70</f>
        <v>0</v>
      </c>
      <c r="F24">
        <f>'8. P&amp;L and Cashflow'!F70</f>
        <v>0</v>
      </c>
      <c r="G24">
        <f>'8. P&amp;L and Cashflow'!G70</f>
        <v>0</v>
      </c>
      <c r="H24">
        <f>'8. P&amp;L and Cashflow'!H70</f>
        <v>0</v>
      </c>
      <c r="I24">
        <f>'8. P&amp;L and Cashflow'!I70</f>
        <v>0</v>
      </c>
      <c r="J24">
        <f>'8. P&amp;L and Cashflow'!J70</f>
        <v>0</v>
      </c>
      <c r="K24">
        <f>'8. P&amp;L and Cashflow'!K70</f>
        <v>0</v>
      </c>
      <c r="L24">
        <f>'8. P&amp;L and Cashflow'!L70</f>
        <v>0</v>
      </c>
      <c r="M24">
        <f>'8. P&amp;L and Cashflow'!M70</f>
        <v>0</v>
      </c>
      <c r="N24">
        <f>'8. P&amp;L and Cashflow'!N70</f>
        <v>0</v>
      </c>
      <c r="O24">
        <f>'8. P&amp;L and Cashflow'!O70</f>
        <v>0</v>
      </c>
      <c r="P24" s="58">
        <f>SUM(D24:O24)</f>
        <v>2500</v>
      </c>
      <c r="Q24">
        <f>'8. P&amp;L and Cashflow'!Q70</f>
        <v>0</v>
      </c>
      <c r="R24">
        <f>'8. P&amp;L and Cashflow'!R70</f>
        <v>0</v>
      </c>
      <c r="S24">
        <f>'8. P&amp;L and Cashflow'!S70</f>
        <v>0</v>
      </c>
      <c r="T24">
        <f>'8. P&amp;L and Cashflow'!T70</f>
        <v>0</v>
      </c>
      <c r="U24">
        <f>'8. P&amp;L and Cashflow'!U70</f>
        <v>0</v>
      </c>
      <c r="V24">
        <f>'8. P&amp;L and Cashflow'!V70</f>
        <v>0</v>
      </c>
      <c r="W24">
        <f>'8. P&amp;L and Cashflow'!W70</f>
        <v>0</v>
      </c>
      <c r="X24">
        <f>'8. P&amp;L and Cashflow'!X70</f>
        <v>0</v>
      </c>
      <c r="Y24">
        <f>'8. P&amp;L and Cashflow'!Y70</f>
        <v>0</v>
      </c>
      <c r="Z24">
        <f>'8. P&amp;L and Cashflow'!Z70</f>
        <v>0</v>
      </c>
      <c r="AA24">
        <f>'8. P&amp;L and Cashflow'!AA70</f>
        <v>0</v>
      </c>
      <c r="AB24">
        <f>'8. P&amp;L and Cashflow'!AB70</f>
        <v>0</v>
      </c>
      <c r="AC24" s="58">
        <f>SUM(Q24:AB24)</f>
        <v>0</v>
      </c>
      <c r="AD24">
        <f>'8. P&amp;L and Cashflow'!AD70</f>
        <v>0</v>
      </c>
      <c r="AE24">
        <f>'8. P&amp;L and Cashflow'!AE70</f>
        <v>0</v>
      </c>
      <c r="AF24">
        <f>'8. P&amp;L and Cashflow'!AF70</f>
        <v>0</v>
      </c>
      <c r="AG24">
        <f>'8. P&amp;L and Cashflow'!AG70</f>
        <v>0</v>
      </c>
      <c r="AH24">
        <f>'8. P&amp;L and Cashflow'!AH70</f>
        <v>0</v>
      </c>
      <c r="AI24">
        <f>'8. P&amp;L and Cashflow'!AI70</f>
        <v>0</v>
      </c>
      <c r="AJ24">
        <f>'8. P&amp;L and Cashflow'!AJ70</f>
        <v>0</v>
      </c>
      <c r="AK24">
        <f>'8. P&amp;L and Cashflow'!AK70</f>
        <v>0</v>
      </c>
      <c r="AL24">
        <f>'8. P&amp;L and Cashflow'!AL70</f>
        <v>0</v>
      </c>
      <c r="AM24">
        <f>'8. P&amp;L and Cashflow'!AM70</f>
        <v>0</v>
      </c>
      <c r="AN24">
        <f>'8. P&amp;L and Cashflow'!AN70</f>
        <v>0</v>
      </c>
      <c r="AO24">
        <f>'8. P&amp;L and Cashflow'!AO70</f>
        <v>0</v>
      </c>
      <c r="AP24">
        <f>'8. P&amp;L and Cashflow'!AD70</f>
        <v>0</v>
      </c>
      <c r="AQ24">
        <f>'8. P&amp;L and Cashflow'!AQ70</f>
        <v>0</v>
      </c>
      <c r="AR24">
        <f>'8. P&amp;L and Cashflow'!AR70</f>
        <v>0</v>
      </c>
      <c r="AS24">
        <f>'8. P&amp;L and Cashflow'!AS70</f>
        <v>0</v>
      </c>
      <c r="AT24">
        <f>'8. P&amp;L and Cashflow'!AT70</f>
        <v>0</v>
      </c>
      <c r="AU24">
        <f>'8. P&amp;L and Cashflow'!AU70</f>
        <v>0</v>
      </c>
      <c r="AV24">
        <f>'8. P&amp;L and Cashflow'!AV70</f>
        <v>0</v>
      </c>
      <c r="AW24">
        <f>'8. P&amp;L and Cashflow'!AW70</f>
        <v>0</v>
      </c>
      <c r="AX24">
        <f>'8. P&amp;L and Cashflow'!AX70</f>
        <v>0</v>
      </c>
      <c r="AY24">
        <f>'8. P&amp;L and Cashflow'!AY70</f>
        <v>0</v>
      </c>
      <c r="AZ24">
        <f>'8. P&amp;L and Cashflow'!AZ70</f>
        <v>0</v>
      </c>
      <c r="BA24">
        <f>'8. P&amp;L and Cashflow'!BA70</f>
        <v>0</v>
      </c>
      <c r="BB24">
        <f>'8. P&amp;L and Cashflow'!BB70</f>
        <v>0</v>
      </c>
      <c r="BC24">
        <f>'8. P&amp;L and Cashflow'!AE70</f>
        <v>0</v>
      </c>
      <c r="BD24">
        <f>'8. P&amp;L and Cashflow'!BD70</f>
        <v>0</v>
      </c>
      <c r="BE24">
        <f>'8. P&amp;L and Cashflow'!BE70</f>
        <v>0</v>
      </c>
      <c r="BF24">
        <f>'8. P&amp;L and Cashflow'!BF70</f>
        <v>0</v>
      </c>
      <c r="BG24">
        <f>'8. P&amp;L and Cashflow'!BG70</f>
        <v>0</v>
      </c>
      <c r="BH24">
        <f>'8. P&amp;L and Cashflow'!BH70</f>
        <v>0</v>
      </c>
      <c r="BI24">
        <f>'8. P&amp;L and Cashflow'!BI70</f>
        <v>0</v>
      </c>
      <c r="BJ24">
        <f>'8. P&amp;L and Cashflow'!BJ70</f>
        <v>0</v>
      </c>
      <c r="BK24">
        <f>'8. P&amp;L and Cashflow'!BK70</f>
        <v>0</v>
      </c>
      <c r="BL24">
        <f>'8. P&amp;L and Cashflow'!BL70</f>
        <v>0</v>
      </c>
      <c r="BM24">
        <f>'8. P&amp;L and Cashflow'!BM70</f>
        <v>0</v>
      </c>
      <c r="BN24">
        <f>'8. P&amp;L and Cashflow'!BN70</f>
        <v>0</v>
      </c>
      <c r="BO24">
        <f>'8. P&amp;L and Cashflow'!BO70</f>
        <v>0</v>
      </c>
      <c r="BP24">
        <f>'8. P&amp;L and Cashflow'!AF70</f>
        <v>0</v>
      </c>
    </row>
    <row r="25" spans="1:68" x14ac:dyDescent="0.2">
      <c r="C25" s="9" t="s">
        <v>55</v>
      </c>
      <c r="D25" s="56">
        <f>D20-D23+D24</f>
        <v>0</v>
      </c>
      <c r="E25" s="56">
        <f t="shared" ref="E25:O25" si="146">E20-E23+E24</f>
        <v>0</v>
      </c>
      <c r="F25" s="56">
        <f t="shared" si="146"/>
        <v>0</v>
      </c>
      <c r="G25" s="56">
        <f t="shared" si="146"/>
        <v>0</v>
      </c>
      <c r="H25" s="56">
        <f t="shared" si="146"/>
        <v>0</v>
      </c>
      <c r="I25" s="56">
        <f t="shared" si="146"/>
        <v>0</v>
      </c>
      <c r="J25" s="56">
        <f t="shared" si="146"/>
        <v>0</v>
      </c>
      <c r="K25" s="56">
        <f t="shared" si="146"/>
        <v>0</v>
      </c>
      <c r="L25" s="56">
        <f t="shared" si="146"/>
        <v>0</v>
      </c>
      <c r="M25" s="56">
        <f t="shared" si="146"/>
        <v>0</v>
      </c>
      <c r="N25" s="56">
        <f t="shared" si="146"/>
        <v>0</v>
      </c>
      <c r="O25" s="56">
        <f t="shared" si="146"/>
        <v>0</v>
      </c>
      <c r="P25" s="56">
        <f>P20-P23+P24</f>
        <v>0</v>
      </c>
      <c r="Q25" s="56">
        <f>Q20-Q23+Q24</f>
        <v>0</v>
      </c>
      <c r="R25" s="56">
        <f t="shared" ref="R25" si="147">R20-R23+R24</f>
        <v>0</v>
      </c>
      <c r="S25" s="56">
        <f t="shared" ref="S25" si="148">S20-S23+S24</f>
        <v>0</v>
      </c>
      <c r="T25" s="56">
        <f t="shared" ref="T25" si="149">T20-T23+T24</f>
        <v>0</v>
      </c>
      <c r="U25" s="56">
        <f t="shared" ref="U25" si="150">U20-U23+U24</f>
        <v>0</v>
      </c>
      <c r="V25" s="56">
        <f t="shared" ref="V25" si="151">V20-V23+V24</f>
        <v>0</v>
      </c>
      <c r="W25" s="56">
        <f t="shared" ref="W25" si="152">W20-W23+W24</f>
        <v>0</v>
      </c>
      <c r="X25" s="56">
        <f t="shared" ref="X25" si="153">X20-X23+X24</f>
        <v>0</v>
      </c>
      <c r="Y25" s="56">
        <f t="shared" ref="Y25" si="154">Y20-Y23+Y24</f>
        <v>0</v>
      </c>
      <c r="Z25" s="56">
        <f t="shared" ref="Z25" si="155">Z20-Z23+Z24</f>
        <v>0</v>
      </c>
      <c r="AA25" s="56">
        <f t="shared" ref="AA25" si="156">AA20-AA23+AA24</f>
        <v>0</v>
      </c>
      <c r="AB25" s="56">
        <f t="shared" ref="AB25" si="157">AB20-AB23+AB24</f>
        <v>0</v>
      </c>
      <c r="AC25" s="56">
        <f>AC20-AC23+AC24</f>
        <v>0</v>
      </c>
      <c r="AD25" s="56">
        <f>AD20-AD23+AD24</f>
        <v>0</v>
      </c>
      <c r="AE25" s="56">
        <f t="shared" ref="AE25" si="158">AE20-AE23+AE24</f>
        <v>0</v>
      </c>
      <c r="AF25" s="56">
        <f t="shared" ref="AF25" si="159">AF20-AF23+AF24</f>
        <v>0</v>
      </c>
      <c r="AG25" s="56">
        <f t="shared" ref="AG25" si="160">AG20-AG23+AG24</f>
        <v>0</v>
      </c>
      <c r="AH25" s="56">
        <f t="shared" ref="AH25" si="161">AH20-AH23+AH24</f>
        <v>0</v>
      </c>
      <c r="AI25" s="56">
        <f t="shared" ref="AI25" si="162">AI20-AI23+AI24</f>
        <v>0</v>
      </c>
      <c r="AJ25" s="56">
        <f t="shared" ref="AJ25" si="163">AJ20-AJ23+AJ24</f>
        <v>0</v>
      </c>
      <c r="AK25" s="56">
        <f t="shared" ref="AK25" si="164">AK20-AK23+AK24</f>
        <v>0</v>
      </c>
      <c r="AL25" s="56">
        <f t="shared" ref="AL25" si="165">AL20-AL23+AL24</f>
        <v>0</v>
      </c>
      <c r="AM25" s="56">
        <f t="shared" ref="AM25" si="166">AM20-AM23+AM24</f>
        <v>0</v>
      </c>
      <c r="AN25" s="56">
        <f t="shared" ref="AN25" si="167">AN20-AN23+AN24</f>
        <v>0</v>
      </c>
      <c r="AO25" s="56">
        <f t="shared" ref="AO25" si="168">AO20-AO23+AO24</f>
        <v>0</v>
      </c>
      <c r="AP25" s="56">
        <f>AP20-AP23+AP24</f>
        <v>0</v>
      </c>
      <c r="AQ25" s="56">
        <f>AQ20-AQ23+AQ24</f>
        <v>0</v>
      </c>
      <c r="AR25" s="56">
        <f t="shared" ref="AR25" si="169">AR20-AR23+AR24</f>
        <v>0</v>
      </c>
      <c r="AS25" s="56">
        <f t="shared" ref="AS25" si="170">AS20-AS23+AS24</f>
        <v>0</v>
      </c>
      <c r="AT25" s="56">
        <f t="shared" ref="AT25" si="171">AT20-AT23+AT24</f>
        <v>0</v>
      </c>
      <c r="AU25" s="56">
        <f t="shared" ref="AU25" si="172">AU20-AU23+AU24</f>
        <v>0</v>
      </c>
      <c r="AV25" s="56">
        <f t="shared" ref="AV25" si="173">AV20-AV23+AV24</f>
        <v>0</v>
      </c>
      <c r="AW25" s="56">
        <f t="shared" ref="AW25" si="174">AW20-AW23+AW24</f>
        <v>0</v>
      </c>
      <c r="AX25" s="56">
        <f t="shared" ref="AX25" si="175">AX20-AX23+AX24</f>
        <v>0</v>
      </c>
      <c r="AY25" s="56">
        <f t="shared" ref="AY25" si="176">AY20-AY23+AY24</f>
        <v>0</v>
      </c>
      <c r="AZ25" s="56">
        <f t="shared" ref="AZ25" si="177">AZ20-AZ23+AZ24</f>
        <v>0</v>
      </c>
      <c r="BA25" s="56">
        <f t="shared" ref="BA25" si="178">BA20-BA23+BA24</f>
        <v>0</v>
      </c>
      <c r="BB25" s="56">
        <f t="shared" ref="BB25" si="179">BB20-BB23+BB24</f>
        <v>0</v>
      </c>
      <c r="BC25" s="56">
        <f>BC20-BC23+BC24</f>
        <v>0</v>
      </c>
      <c r="BD25" s="56">
        <f>BD20-BD23+BD24</f>
        <v>0</v>
      </c>
      <c r="BE25" s="56">
        <f t="shared" ref="BE25:BO25" si="180">BE20-BE23+BE24</f>
        <v>0</v>
      </c>
      <c r="BF25" s="56">
        <f t="shared" si="180"/>
        <v>0</v>
      </c>
      <c r="BG25" s="56">
        <f t="shared" si="180"/>
        <v>0</v>
      </c>
      <c r="BH25" s="56">
        <f t="shared" si="180"/>
        <v>0</v>
      </c>
      <c r="BI25" s="56">
        <f t="shared" si="180"/>
        <v>0</v>
      </c>
      <c r="BJ25" s="56">
        <f t="shared" si="180"/>
        <v>0</v>
      </c>
      <c r="BK25" s="56">
        <f t="shared" si="180"/>
        <v>0</v>
      </c>
      <c r="BL25" s="56">
        <f t="shared" si="180"/>
        <v>0</v>
      </c>
      <c r="BM25" s="56">
        <f t="shared" si="180"/>
        <v>0</v>
      </c>
      <c r="BN25" s="56">
        <f t="shared" si="180"/>
        <v>0</v>
      </c>
      <c r="BO25" s="56">
        <f t="shared" si="180"/>
        <v>0</v>
      </c>
      <c r="BP25" s="56">
        <f>BP20-BP23+BP24</f>
        <v>0</v>
      </c>
    </row>
    <row r="26" spans="1:68" x14ac:dyDescent="0.2">
      <c r="C26" s="9"/>
      <c r="D26" s="56"/>
      <c r="E26" s="56"/>
      <c r="F26" s="56"/>
      <c r="G26" s="56"/>
      <c r="H26" s="56"/>
      <c r="I26" s="56"/>
      <c r="J26" s="56"/>
      <c r="K26" s="56"/>
      <c r="L26" s="56"/>
      <c r="M26" s="56"/>
      <c r="N26" s="56"/>
      <c r="O26" s="56"/>
      <c r="P26" s="56"/>
      <c r="Q26" s="56"/>
      <c r="R26" s="56"/>
      <c r="S26" s="56"/>
      <c r="T26" s="56"/>
      <c r="U26" s="56"/>
      <c r="V26" s="56"/>
      <c r="W26" s="56"/>
      <c r="X26" s="56"/>
      <c r="Y26" s="56"/>
      <c r="Z26" s="56"/>
      <c r="AA26" s="56"/>
      <c r="AB26" s="56"/>
      <c r="AC26" s="56"/>
      <c r="AD26" s="56"/>
      <c r="AE26" s="56"/>
      <c r="AF26" s="56"/>
      <c r="AG26" s="56"/>
      <c r="AH26" s="56"/>
      <c r="AI26" s="56"/>
      <c r="AJ26" s="56"/>
      <c r="AK26" s="56"/>
      <c r="AL26" s="56"/>
      <c r="AM26" s="56"/>
      <c r="AN26" s="56"/>
      <c r="AO26" s="56"/>
      <c r="AP26" s="56"/>
      <c r="AQ26" s="56"/>
      <c r="AR26" s="56"/>
      <c r="AS26" s="56"/>
      <c r="AT26" s="56"/>
      <c r="AU26" s="56"/>
      <c r="AV26" s="56"/>
      <c r="AW26" s="56"/>
      <c r="AX26" s="56"/>
      <c r="AY26" s="56"/>
      <c r="AZ26" s="56"/>
      <c r="BA26" s="56"/>
      <c r="BB26" s="56"/>
      <c r="BC26" s="56"/>
      <c r="BD26" s="56"/>
      <c r="BE26" s="56"/>
      <c r="BF26" s="56"/>
      <c r="BG26" s="56"/>
      <c r="BH26" s="56"/>
      <c r="BI26" s="56"/>
      <c r="BJ26" s="56"/>
      <c r="BK26" s="56"/>
      <c r="BL26" s="56"/>
      <c r="BM26" s="56"/>
      <c r="BN26" s="56"/>
      <c r="BO26" s="56"/>
      <c r="BP26" s="56"/>
    </row>
    <row r="27" spans="1:68" x14ac:dyDescent="0.2">
      <c r="A27" s="9" t="s">
        <v>65</v>
      </c>
      <c r="C27" s="9"/>
      <c r="D27" s="56"/>
      <c r="E27" s="56"/>
      <c r="F27" s="56"/>
      <c r="G27" s="56"/>
      <c r="H27" s="56"/>
      <c r="I27" s="56"/>
      <c r="J27" s="56"/>
      <c r="K27" s="56"/>
      <c r="L27" s="56"/>
      <c r="M27" s="56"/>
      <c r="N27" s="56"/>
      <c r="O27" s="56"/>
      <c r="P27" s="56"/>
      <c r="Q27" s="56"/>
      <c r="R27" s="56"/>
      <c r="S27" s="56"/>
      <c r="T27" s="56"/>
      <c r="U27" s="56"/>
      <c r="V27" s="56"/>
      <c r="W27" s="56"/>
      <c r="X27" s="56"/>
      <c r="Y27" s="56"/>
      <c r="Z27" s="56"/>
      <c r="AA27" s="56"/>
      <c r="AB27" s="56"/>
      <c r="AC27" s="56"/>
      <c r="AD27" s="56"/>
      <c r="AE27" s="56"/>
      <c r="AF27" s="56"/>
      <c r="AG27" s="56"/>
      <c r="AH27" s="56"/>
      <c r="AI27" s="56"/>
      <c r="AJ27" s="56"/>
      <c r="AK27" s="56"/>
      <c r="AL27" s="56"/>
      <c r="AM27" s="56"/>
      <c r="AN27" s="56"/>
      <c r="AO27" s="56"/>
      <c r="AP27" s="56"/>
      <c r="AQ27" s="56"/>
      <c r="AR27" s="56"/>
      <c r="AS27" s="56"/>
      <c r="AT27" s="56"/>
      <c r="AU27" s="56"/>
      <c r="AV27" s="56"/>
      <c r="AW27" s="56"/>
      <c r="AX27" s="56"/>
      <c r="AY27" s="56"/>
      <c r="AZ27" s="56"/>
      <c r="BA27" s="56"/>
      <c r="BB27" s="56"/>
      <c r="BC27" s="56"/>
      <c r="BD27" s="56"/>
      <c r="BE27" s="56"/>
      <c r="BF27" s="56"/>
      <c r="BG27" s="56"/>
      <c r="BH27" s="56"/>
      <c r="BI27" s="56"/>
      <c r="BJ27" s="56"/>
      <c r="BK27" s="56"/>
      <c r="BL27" s="56"/>
      <c r="BM27" s="56"/>
      <c r="BN27" s="56"/>
      <c r="BO27" s="56"/>
      <c r="BP27" s="56"/>
    </row>
    <row r="28" spans="1:68" x14ac:dyDescent="0.2">
      <c r="C28" s="59" t="s">
        <v>66</v>
      </c>
      <c r="D28" s="56">
        <f>D6+D14+D21</f>
        <v>150</v>
      </c>
      <c r="E28" s="56">
        <f t="shared" ref="E28:BP28" si="181">E6+E14+E21</f>
        <v>146.99816837488194</v>
      </c>
      <c r="F28" s="56">
        <f t="shared" si="181"/>
        <v>143.98041223913083</v>
      </c>
      <c r="G28" s="56">
        <f t="shared" si="181"/>
        <v>140.94664673252515</v>
      </c>
      <c r="H28" s="56">
        <f t="shared" si="181"/>
        <v>137.89678654100706</v>
      </c>
      <c r="I28" s="56">
        <f t="shared" si="181"/>
        <v>134.83074589424814</v>
      </c>
      <c r="J28" s="56">
        <f t="shared" si="181"/>
        <v>131.74843856320251</v>
      </c>
      <c r="K28" s="56">
        <f t="shared" si="181"/>
        <v>128.64977785764648</v>
      </c>
      <c r="L28" s="56">
        <f t="shared" si="181"/>
        <v>125.53467662370504</v>
      </c>
      <c r="M28" s="56">
        <f t="shared" si="181"/>
        <v>122.40304724136516</v>
      </c>
      <c r="N28" s="56">
        <f t="shared" si="181"/>
        <v>119.25480162197559</v>
      </c>
      <c r="O28" s="56">
        <f t="shared" si="181"/>
        <v>116.08985120573331</v>
      </c>
      <c r="P28" s="56">
        <f t="shared" si="181"/>
        <v>1598.3333528954211</v>
      </c>
      <c r="Q28" s="56">
        <f t="shared" si="181"/>
        <v>112.90810695915638</v>
      </c>
      <c r="R28" s="56">
        <f t="shared" si="181"/>
        <v>109.7094793725434</v>
      </c>
      <c r="S28" s="56">
        <f t="shared" si="181"/>
        <v>106.49387845741899</v>
      </c>
      <c r="T28" s="56">
        <f t="shared" si="181"/>
        <v>103.2612137439659</v>
      </c>
      <c r="U28" s="56">
        <f t="shared" si="181"/>
        <v>100.01139427844299</v>
      </c>
      <c r="V28" s="56">
        <f t="shared" si="181"/>
        <v>96.744328620589613</v>
      </c>
      <c r="W28" s="56">
        <f t="shared" si="181"/>
        <v>93.459924841015777</v>
      </c>
      <c r="X28" s="56">
        <f t="shared" si="181"/>
        <v>90.158090518578575</v>
      </c>
      <c r="Y28" s="56">
        <f t="shared" si="181"/>
        <v>86.838732737744166</v>
      </c>
      <c r="Z28" s="56">
        <f t="shared" si="181"/>
        <v>83.501758085935904</v>
      </c>
      <c r="AA28" s="56">
        <f t="shared" si="181"/>
        <v>80.147072650867955</v>
      </c>
      <c r="AB28" s="56">
        <f t="shared" si="181"/>
        <v>76.774582017864773</v>
      </c>
      <c r="AC28" s="56">
        <f t="shared" si="181"/>
        <v>1140.0085622841243</v>
      </c>
      <c r="AD28" s="56">
        <f t="shared" si="181"/>
        <v>73.384191267166045</v>
      </c>
      <c r="AE28" s="56">
        <f t="shared" si="181"/>
        <v>69.975804971217173</v>
      </c>
      <c r="AF28" s="56">
        <f t="shared" si="181"/>
        <v>66.549327191945167</v>
      </c>
      <c r="AG28" s="56">
        <f t="shared" si="181"/>
        <v>63.104661478020049</v>
      </c>
      <c r="AH28" s="56">
        <f t="shared" si="181"/>
        <v>59.641710862101235</v>
      </c>
      <c r="AI28" s="56">
        <f t="shared" si="181"/>
        <v>56.160377858069431</v>
      </c>
      <c r="AJ28" s="56">
        <f t="shared" si="181"/>
        <v>52.660564458243414</v>
      </c>
      <c r="AK28" s="56">
        <f t="shared" si="181"/>
        <v>49.142172130581997</v>
      </c>
      <c r="AL28" s="56">
        <f t="shared" si="181"/>
        <v>45.605101815870839</v>
      </c>
      <c r="AM28" s="56">
        <f t="shared" si="181"/>
        <v>42.049253924894231</v>
      </c>
      <c r="AN28" s="56">
        <f t="shared" si="181"/>
        <v>38.474528335591586</v>
      </c>
      <c r="AO28" s="56">
        <f t="shared" si="181"/>
        <v>34.880824390198711</v>
      </c>
      <c r="AP28" s="56">
        <f t="shared" si="181"/>
        <v>651.62851868389987</v>
      </c>
      <c r="AQ28" s="56">
        <f t="shared" si="181"/>
        <v>31.268040892373694</v>
      </c>
      <c r="AR28" s="56">
        <f t="shared" si="181"/>
        <v>30.95638474926244</v>
      </c>
      <c r="AS28" s="56">
        <f t="shared" si="181"/>
        <v>30.643430038888219</v>
      </c>
      <c r="AT28" s="56">
        <f t="shared" si="181"/>
        <v>30.329171350554105</v>
      </c>
      <c r="AU28" s="56">
        <f t="shared" si="181"/>
        <v>30.013603251018601</v>
      </c>
      <c r="AV28" s="56">
        <f t="shared" si="181"/>
        <v>29.6967202844017</v>
      </c>
      <c r="AW28" s="56">
        <f t="shared" si="181"/>
        <v>29.378516972090559</v>
      </c>
      <c r="AX28" s="56">
        <f t="shared" si="181"/>
        <v>29.058987812644787</v>
      </c>
      <c r="AY28" s="56">
        <f t="shared" si="181"/>
        <v>28.738127281701328</v>
      </c>
      <c r="AZ28" s="56">
        <f t="shared" si="181"/>
        <v>28.415929831878938</v>
      </c>
      <c r="BA28" s="56">
        <f t="shared" si="181"/>
        <v>28.092389892682284</v>
      </c>
      <c r="BB28" s="56">
        <f t="shared" si="181"/>
        <v>27.767501870405646</v>
      </c>
      <c r="BC28" s="56">
        <f t="shared" si="181"/>
        <v>354.35880422790223</v>
      </c>
      <c r="BD28" s="56">
        <f t="shared" si="181"/>
        <v>27.441260148036189</v>
      </c>
      <c r="BE28" s="56">
        <f t="shared" si="181"/>
        <v>27.113659085156858</v>
      </c>
      <c r="BF28" s="56">
        <f t="shared" si="181"/>
        <v>26.784693017848866</v>
      </c>
      <c r="BG28" s="56">
        <f t="shared" si="181"/>
        <v>26.454356258593759</v>
      </c>
      <c r="BH28" s="56">
        <f t="shared" si="181"/>
        <v>26.122643096175086</v>
      </c>
      <c r="BI28" s="56">
        <f t="shared" si="181"/>
        <v>25.789547795579669</v>
      </c>
      <c r="BJ28" s="56">
        <f t="shared" si="181"/>
        <v>25.455064597898438</v>
      </c>
      <c r="BK28" s="56">
        <f t="shared" si="181"/>
        <v>25.119187720226869</v>
      </c>
      <c r="BL28" s="56">
        <f t="shared" si="181"/>
        <v>24.781911355565001</v>
      </c>
      <c r="BM28" s="56">
        <f t="shared" si="181"/>
        <v>24.443229672717042</v>
      </c>
      <c r="BN28" s="56">
        <f t="shared" si="181"/>
        <v>24.103136816190549</v>
      </c>
      <c r="BO28" s="56">
        <f t="shared" si="181"/>
        <v>23.761626906095199</v>
      </c>
      <c r="BP28" s="56">
        <f t="shared" si="181"/>
        <v>307.37031647008354</v>
      </c>
    </row>
    <row r="29" spans="1:68" x14ac:dyDescent="0.2">
      <c r="C29" s="59" t="s">
        <v>54</v>
      </c>
      <c r="D29" s="56">
        <f>D7+D15+D23</f>
        <v>3069.0455727692711</v>
      </c>
      <c r="E29" s="56">
        <f t="shared" ref="E29:BP29" si="182">E7+E15+E23</f>
        <v>572.04740439438899</v>
      </c>
      <c r="F29" s="56">
        <f t="shared" si="182"/>
        <v>575.06516053014013</v>
      </c>
      <c r="G29" s="56">
        <f t="shared" si="182"/>
        <v>578.09892603674575</v>
      </c>
      <c r="H29" s="56">
        <f t="shared" si="182"/>
        <v>581.14878622826393</v>
      </c>
      <c r="I29" s="56">
        <f t="shared" si="182"/>
        <v>584.21482687502282</v>
      </c>
      <c r="J29" s="56">
        <f t="shared" si="182"/>
        <v>587.29713420606845</v>
      </c>
      <c r="K29" s="56">
        <f t="shared" si="182"/>
        <v>590.39579491162453</v>
      </c>
      <c r="L29" s="56">
        <f t="shared" si="182"/>
        <v>593.51089614556599</v>
      </c>
      <c r="M29" s="56">
        <f t="shared" si="182"/>
        <v>596.64252552790572</v>
      </c>
      <c r="N29" s="56">
        <f t="shared" si="182"/>
        <v>599.79077114729535</v>
      </c>
      <c r="O29" s="56">
        <f t="shared" si="182"/>
        <v>602.95572156353762</v>
      </c>
      <c r="P29" s="56">
        <f t="shared" si="182"/>
        <v>9530.2135203358303</v>
      </c>
      <c r="Q29" s="56">
        <f t="shared" si="182"/>
        <v>606.13746581011458</v>
      </c>
      <c r="R29" s="56">
        <f t="shared" si="182"/>
        <v>609.33609339672751</v>
      </c>
      <c r="S29" s="56">
        <f t="shared" si="182"/>
        <v>612.55169431185197</v>
      </c>
      <c r="T29" s="56">
        <f t="shared" si="182"/>
        <v>615.78435902530498</v>
      </c>
      <c r="U29" s="56">
        <f t="shared" si="182"/>
        <v>619.03417849082803</v>
      </c>
      <c r="V29" s="56">
        <f t="shared" si="182"/>
        <v>622.30124414868135</v>
      </c>
      <c r="W29" s="56">
        <f t="shared" si="182"/>
        <v>625.58564792825518</v>
      </c>
      <c r="X29" s="56">
        <f t="shared" si="182"/>
        <v>628.8874822506923</v>
      </c>
      <c r="Y29" s="56">
        <f t="shared" si="182"/>
        <v>632.20684003152678</v>
      </c>
      <c r="Z29" s="56">
        <f t="shared" si="182"/>
        <v>635.54381468333509</v>
      </c>
      <c r="AA29" s="56">
        <f t="shared" si="182"/>
        <v>638.89850011840304</v>
      </c>
      <c r="AB29" s="56">
        <f t="shared" si="182"/>
        <v>642.2709907514062</v>
      </c>
      <c r="AC29" s="56">
        <f t="shared" si="182"/>
        <v>7488.5383109471268</v>
      </c>
      <c r="AD29" s="56">
        <f t="shared" si="182"/>
        <v>645.66138150210497</v>
      </c>
      <c r="AE29" s="56">
        <f t="shared" si="182"/>
        <v>649.06976779805382</v>
      </c>
      <c r="AF29" s="56">
        <f t="shared" si="182"/>
        <v>652.49624557732579</v>
      </c>
      <c r="AG29" s="56">
        <f t="shared" si="182"/>
        <v>655.94091129125093</v>
      </c>
      <c r="AH29" s="56">
        <f t="shared" si="182"/>
        <v>659.4038619071697</v>
      </c>
      <c r="AI29" s="56">
        <f t="shared" si="182"/>
        <v>662.88519491120155</v>
      </c>
      <c r="AJ29" s="56">
        <f t="shared" si="182"/>
        <v>666.3850083110276</v>
      </c>
      <c r="AK29" s="56">
        <f t="shared" si="182"/>
        <v>669.90340063868894</v>
      </c>
      <c r="AL29" s="56">
        <f t="shared" si="182"/>
        <v>673.44047095340011</v>
      </c>
      <c r="AM29" s="56">
        <f t="shared" si="182"/>
        <v>676.99631884437679</v>
      </c>
      <c r="AN29" s="56">
        <f t="shared" si="182"/>
        <v>680.57104443367939</v>
      </c>
      <c r="AO29" s="56">
        <f t="shared" si="182"/>
        <v>684.16474837907231</v>
      </c>
      <c r="AP29" s="56">
        <f t="shared" si="182"/>
        <v>7976.9183545473516</v>
      </c>
      <c r="AQ29" s="56">
        <f t="shared" si="182"/>
        <v>74.797474346701549</v>
      </c>
      <c r="AR29" s="56">
        <f t="shared" si="182"/>
        <v>75.109130489812799</v>
      </c>
      <c r="AS29" s="56">
        <f t="shared" si="182"/>
        <v>75.422085200187013</v>
      </c>
      <c r="AT29" s="56">
        <f t="shared" si="182"/>
        <v>75.736343888521134</v>
      </c>
      <c r="AU29" s="56">
        <f t="shared" si="182"/>
        <v>76.051911988056645</v>
      </c>
      <c r="AV29" s="56">
        <f t="shared" si="182"/>
        <v>76.368794954673547</v>
      </c>
      <c r="AW29" s="56">
        <f t="shared" si="182"/>
        <v>76.686998266984688</v>
      </c>
      <c r="AX29" s="56">
        <f t="shared" si="182"/>
        <v>77.006527426430452</v>
      </c>
      <c r="AY29" s="56">
        <f t="shared" si="182"/>
        <v>77.327387957373915</v>
      </c>
      <c r="AZ29" s="56">
        <f t="shared" si="182"/>
        <v>77.649585407196298</v>
      </c>
      <c r="BA29" s="56">
        <f t="shared" si="182"/>
        <v>77.973125346392948</v>
      </c>
      <c r="BB29" s="56">
        <f t="shared" si="182"/>
        <v>78.298013368669586</v>
      </c>
      <c r="BC29" s="56">
        <f t="shared" si="182"/>
        <v>918.42737864100059</v>
      </c>
      <c r="BD29" s="56">
        <f t="shared" si="182"/>
        <v>78.624255091039046</v>
      </c>
      <c r="BE29" s="56">
        <f t="shared" si="182"/>
        <v>78.951856153918385</v>
      </c>
      <c r="BF29" s="56">
        <f t="shared" si="182"/>
        <v>79.280822221226373</v>
      </c>
      <c r="BG29" s="56">
        <f t="shared" si="182"/>
        <v>79.611158980481477</v>
      </c>
      <c r="BH29" s="56">
        <f t="shared" si="182"/>
        <v>79.942872142900157</v>
      </c>
      <c r="BI29" s="56">
        <f t="shared" si="182"/>
        <v>80.275967443495574</v>
      </c>
      <c r="BJ29" s="56">
        <f t="shared" si="182"/>
        <v>80.610450641176797</v>
      </c>
      <c r="BK29" s="56">
        <f t="shared" si="182"/>
        <v>80.946327518848364</v>
      </c>
      <c r="BL29" s="56">
        <f t="shared" si="182"/>
        <v>81.283603883510239</v>
      </c>
      <c r="BM29" s="56">
        <f t="shared" si="182"/>
        <v>81.622285566358201</v>
      </c>
      <c r="BN29" s="56">
        <f t="shared" si="182"/>
        <v>81.962378422884683</v>
      </c>
      <c r="BO29" s="56">
        <f t="shared" si="182"/>
        <v>82.303888332980037</v>
      </c>
      <c r="BP29" s="56">
        <f t="shared" si="182"/>
        <v>965.41586639881939</v>
      </c>
    </row>
    <row r="31" spans="1:68" ht="12.75" customHeight="1" x14ac:dyDescent="0.2">
      <c r="C31" s="59" t="s">
        <v>274</v>
      </c>
      <c r="D31" s="56">
        <f>D8+D16</f>
        <v>29430.954427230725</v>
      </c>
      <c r="E31" s="56">
        <f t="shared" ref="E31:BP31" si="183">E8+E16</f>
        <v>28858.907022836334</v>
      </c>
      <c r="F31" s="56">
        <f t="shared" si="183"/>
        <v>28283.841862306195</v>
      </c>
      <c r="G31" s="56">
        <f t="shared" si="183"/>
        <v>27705.742936269449</v>
      </c>
      <c r="H31" s="56">
        <f t="shared" si="183"/>
        <v>27124.594150041186</v>
      </c>
      <c r="I31" s="56">
        <f t="shared" si="183"/>
        <v>26540.379323166162</v>
      </c>
      <c r="J31" s="56">
        <f t="shared" si="183"/>
        <v>25953.082188960092</v>
      </c>
      <c r="K31" s="56">
        <f t="shared" si="183"/>
        <v>25362.686394048469</v>
      </c>
      <c r="L31" s="56">
        <f t="shared" si="183"/>
        <v>24769.175497902903</v>
      </c>
      <c r="M31" s="56">
        <f t="shared" si="183"/>
        <v>24172.532972374996</v>
      </c>
      <c r="N31" s="56">
        <f t="shared" si="183"/>
        <v>23572.742201227702</v>
      </c>
      <c r="O31" s="56">
        <f t="shared" si="183"/>
        <v>22969.786479664166</v>
      </c>
      <c r="P31" s="56">
        <f t="shared" si="183"/>
        <v>22969.786479664166</v>
      </c>
      <c r="Q31" s="56">
        <f t="shared" si="183"/>
        <v>22363.649013854047</v>
      </c>
      <c r="R31" s="56">
        <f t="shared" si="183"/>
        <v>21754.31292045732</v>
      </c>
      <c r="S31" s="56">
        <f t="shared" si="183"/>
        <v>21141.761226145467</v>
      </c>
      <c r="T31" s="56">
        <f t="shared" si="183"/>
        <v>20525.97686712016</v>
      </c>
      <c r="U31" s="56">
        <f t="shared" si="183"/>
        <v>19906.942688629333</v>
      </c>
      <c r="V31" s="56">
        <f t="shared" si="183"/>
        <v>19284.641444480651</v>
      </c>
      <c r="W31" s="56">
        <f t="shared" si="183"/>
        <v>18659.055796552399</v>
      </c>
      <c r="X31" s="56">
        <f t="shared" si="183"/>
        <v>18030.168314301704</v>
      </c>
      <c r="Y31" s="56">
        <f t="shared" si="183"/>
        <v>17397.961474270178</v>
      </c>
      <c r="Z31" s="56">
        <f t="shared" si="183"/>
        <v>16762.417659586841</v>
      </c>
      <c r="AA31" s="56">
        <f t="shared" si="183"/>
        <v>16123.51915946844</v>
      </c>
      <c r="AB31" s="56">
        <f t="shared" si="183"/>
        <v>15481.248168717033</v>
      </c>
      <c r="AC31" s="56">
        <f t="shared" si="183"/>
        <v>15481.248168717033</v>
      </c>
      <c r="AD31" s="56">
        <f t="shared" si="183"/>
        <v>14835.586787214928</v>
      </c>
      <c r="AE31" s="56">
        <f t="shared" si="183"/>
        <v>14186.517019416875</v>
      </c>
      <c r="AF31" s="56">
        <f t="shared" si="183"/>
        <v>13534.020773839547</v>
      </c>
      <c r="AG31" s="56">
        <f t="shared" si="183"/>
        <v>12878.079862548297</v>
      </c>
      <c r="AH31" s="56">
        <f t="shared" si="183"/>
        <v>12218.676000641128</v>
      </c>
      <c r="AI31" s="56">
        <f t="shared" si="183"/>
        <v>11555.790805729926</v>
      </c>
      <c r="AJ31" s="56">
        <f t="shared" si="183"/>
        <v>10889.405797418898</v>
      </c>
      <c r="AK31" s="56">
        <f t="shared" si="183"/>
        <v>10219.502396780208</v>
      </c>
      <c r="AL31" s="56">
        <f t="shared" si="183"/>
        <v>9546.0619258268089</v>
      </c>
      <c r="AM31" s="56">
        <f t="shared" si="183"/>
        <v>8869.0656069824327</v>
      </c>
      <c r="AN31" s="56">
        <f t="shared" si="183"/>
        <v>8188.4945625487526</v>
      </c>
      <c r="AO31" s="56">
        <f t="shared" si="183"/>
        <v>7504.3298141696869</v>
      </c>
      <c r="AP31" s="56">
        <f t="shared" si="183"/>
        <v>7504.3298141696869</v>
      </c>
      <c r="AQ31" s="56">
        <f t="shared" si="183"/>
        <v>7429.5323398229857</v>
      </c>
      <c r="AR31" s="56">
        <f t="shared" si="183"/>
        <v>7354.423209333173</v>
      </c>
      <c r="AS31" s="56">
        <f t="shared" si="183"/>
        <v>7279.0011241329858</v>
      </c>
      <c r="AT31" s="56">
        <f t="shared" si="183"/>
        <v>7203.2647802444644</v>
      </c>
      <c r="AU31" s="56">
        <f t="shared" si="183"/>
        <v>7127.212868256408</v>
      </c>
      <c r="AV31" s="56">
        <f t="shared" si="183"/>
        <v>7050.8440733017342</v>
      </c>
      <c r="AW31" s="56">
        <f t="shared" si="183"/>
        <v>6974.1570750347491</v>
      </c>
      <c r="AX31" s="56">
        <f t="shared" si="183"/>
        <v>6897.1505476083184</v>
      </c>
      <c r="AY31" s="56">
        <f t="shared" si="183"/>
        <v>6819.8231596509449</v>
      </c>
      <c r="AZ31" s="56">
        <f t="shared" si="183"/>
        <v>6742.1735742437486</v>
      </c>
      <c r="BA31" s="56">
        <f t="shared" si="183"/>
        <v>6664.2004488973553</v>
      </c>
      <c r="BB31" s="56">
        <f t="shared" si="183"/>
        <v>6585.9024355286856</v>
      </c>
      <c r="BC31" s="56">
        <f t="shared" si="183"/>
        <v>6585.9024355286856</v>
      </c>
      <c r="BD31" s="56">
        <f t="shared" si="183"/>
        <v>6507.2781804376464</v>
      </c>
      <c r="BE31" s="56">
        <f t="shared" si="183"/>
        <v>6428.3263242837284</v>
      </c>
      <c r="BF31" s="56">
        <f t="shared" si="183"/>
        <v>6349.0455020625022</v>
      </c>
      <c r="BG31" s="56">
        <f t="shared" si="183"/>
        <v>6269.4343430820209</v>
      </c>
      <c r="BH31" s="56">
        <f t="shared" si="183"/>
        <v>6189.4914709391205</v>
      </c>
      <c r="BI31" s="56">
        <f t="shared" si="183"/>
        <v>6109.2155034956249</v>
      </c>
      <c r="BJ31" s="56">
        <f t="shared" si="183"/>
        <v>6028.6050528544483</v>
      </c>
      <c r="BK31" s="56">
        <f t="shared" si="183"/>
        <v>5947.6587253356001</v>
      </c>
      <c r="BL31" s="56">
        <f t="shared" si="183"/>
        <v>5866.3751214520898</v>
      </c>
      <c r="BM31" s="56">
        <f t="shared" si="183"/>
        <v>5784.7528358857317</v>
      </c>
      <c r="BN31" s="56">
        <f t="shared" si="183"/>
        <v>5702.7904574628474</v>
      </c>
      <c r="BO31" s="56">
        <f t="shared" si="183"/>
        <v>5620.4865691298673</v>
      </c>
      <c r="BP31" s="56">
        <f t="shared" si="183"/>
        <v>5620.4865691298673</v>
      </c>
    </row>
  </sheetData>
  <mergeCells count="1">
    <mergeCell ref="A2:C2"/>
  </mergeCells>
  <phoneticPr fontId="10" type="noConversion"/>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0"/>
  <dimension ref="A1:H3"/>
  <sheetViews>
    <sheetView workbookViewId="0">
      <selection activeCell="H2" sqref="H2"/>
    </sheetView>
  </sheetViews>
  <sheetFormatPr defaultColWidth="18.7109375" defaultRowHeight="12.75" customHeight="1" x14ac:dyDescent="0.2"/>
  <cols>
    <col min="1" max="1" width="18.85546875" bestFit="1" customWidth="1"/>
    <col min="2" max="2" width="8.85546875" customWidth="1"/>
    <col min="3" max="3" width="15.7109375" bestFit="1" customWidth="1"/>
    <col min="4" max="4" width="17" bestFit="1" customWidth="1"/>
    <col min="5" max="8" width="8.85546875" customWidth="1"/>
  </cols>
  <sheetData>
    <row r="1" spans="1:8" ht="12.75" customHeight="1" x14ac:dyDescent="0.2">
      <c r="A1" t="s">
        <v>85</v>
      </c>
      <c r="B1" t="s">
        <v>86</v>
      </c>
      <c r="C1" t="s">
        <v>60</v>
      </c>
      <c r="D1" t="s">
        <v>87</v>
      </c>
      <c r="E1" t="s">
        <v>88</v>
      </c>
      <c r="F1" t="s">
        <v>89</v>
      </c>
      <c r="G1" t="s">
        <v>90</v>
      </c>
      <c r="H1" t="s">
        <v>94</v>
      </c>
    </row>
    <row r="2" spans="1:8" ht="12.75" customHeight="1" x14ac:dyDescent="0.2">
      <c r="A2">
        <v>2</v>
      </c>
      <c r="B2">
        <v>1</v>
      </c>
      <c r="C2" t="s">
        <v>91</v>
      </c>
      <c r="D2" t="s">
        <v>93</v>
      </c>
    </row>
    <row r="3" spans="1:8" ht="12.75" customHeight="1" x14ac:dyDescent="0.2">
      <c r="B3">
        <v>2</v>
      </c>
      <c r="C3" t="s">
        <v>92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5</vt:i4>
      </vt:variant>
    </vt:vector>
  </HeadingPairs>
  <TitlesOfParts>
    <vt:vector size="20" baseType="lpstr">
      <vt:lpstr>Personal Expense Budget</vt:lpstr>
      <vt:lpstr>0. Basic Info</vt:lpstr>
      <vt:lpstr>1. Sales Forecast</vt:lpstr>
      <vt:lpstr>2. Operating Budget</vt:lpstr>
      <vt:lpstr>3. Startup Costs</vt:lpstr>
      <vt:lpstr>4. Equipment &amp; Vehicle Costs</vt:lpstr>
      <vt:lpstr>5. Facility Costs</vt:lpstr>
      <vt:lpstr>6. Seasonality</vt:lpstr>
      <vt:lpstr>7. Funding Plan</vt:lpstr>
      <vt:lpstr>8. P&amp;L and Cashflow</vt:lpstr>
      <vt:lpstr>9. Sales Summary Tables</vt:lpstr>
      <vt:lpstr>10. Financial Summary Tables</vt:lpstr>
      <vt:lpstr>11. Balance Sheet</vt:lpstr>
      <vt:lpstr>12. Loan Detail</vt:lpstr>
      <vt:lpstr>BP Checklist</vt:lpstr>
      <vt:lpstr>'0. Basic Info'!Print_Area</vt:lpstr>
      <vt:lpstr>'1. Sales Forecast'!Print_Area</vt:lpstr>
      <vt:lpstr>'11. Balance Sheet'!Print_Area</vt:lpstr>
      <vt:lpstr>'2. Operating Budget'!Print_Area</vt:lpstr>
      <vt:lpstr>'8. P&amp;L and Cashflow'!Print_Area</vt:lpstr>
    </vt:vector>
  </TitlesOfParts>
  <Manager>Donald Hill</Manager>
  <Company>Heartland Information Research,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Rapid Business Plan</dc:title>
  <dc:creator>donh</dc:creator>
  <dc:description>C 2014 All Rights Reserved</dc:description>
  <cp:lastModifiedBy>Donald Hill</cp:lastModifiedBy>
  <cp:lastPrinted>2019-02-27T15:36:52Z</cp:lastPrinted>
  <dcterms:created xsi:type="dcterms:W3CDTF">2012-03-21T04:42:13Z</dcterms:created>
  <dcterms:modified xsi:type="dcterms:W3CDTF">2019-04-03T03:46:50Z</dcterms:modified>
  <cp:category>Business Planning</cp:category>
</cp:coreProperties>
</file>